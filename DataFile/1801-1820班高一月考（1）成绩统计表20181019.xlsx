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32256\Documents\GitHub\GradeAnalysis\DataFile\"/>
    </mc:Choice>
  </mc:AlternateContent>
  <xr:revisionPtr revIDLastSave="0" documentId="8_{E096CAE8-EA85-491E-851A-4211A867C649}" xr6:coauthVersionLast="43" xr6:coauthVersionMax="43" xr10:uidLastSave="{00000000-0000-0000-0000-000000000000}"/>
  <bookViews>
    <workbookView xWindow="3465" yWindow="2760" windowWidth="18900" windowHeight="11055" tabRatio="692" activeTab="5"/>
  </bookViews>
  <sheets>
    <sheet name="光荣榜" sheetId="58" r:id="rId1"/>
    <sheet name="机改成绩" sheetId="64" r:id="rId2"/>
    <sheet name="理科" sheetId="68" r:id="rId3"/>
    <sheet name="文科" sheetId="69" r:id="rId4"/>
    <sheet name="总表" sheetId="1" r:id="rId5"/>
    <sheet name="统计表" sheetId="4" r:id="rId6"/>
    <sheet name="贡献值" sheetId="71" r:id="rId7"/>
  </sheets>
  <definedNames>
    <definedName name="_xlnm._FilterDatabase" localSheetId="1" hidden="1">机改成绩!$A$3:$BA$954</definedName>
    <definedName name="_xlnm._FilterDatabase" localSheetId="3" hidden="1">文科!$A$1:$R$1</definedName>
    <definedName name="_xlnm._FilterDatabase" localSheetId="4" hidden="1">总表!$A$2:$M$1073</definedName>
    <definedName name="_xlnm.Print_Area" localSheetId="6">贡献值!$A$1:$S$38</definedName>
    <definedName name="_xlnm.Print_Area">#N/A</definedName>
    <definedName name="_xlnm.Print_Titles">#N/A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X25" i="4" l="1"/>
  <c r="W25" i="4"/>
  <c r="V25" i="4"/>
  <c r="U25" i="4"/>
  <c r="U26" i="4" s="1"/>
  <c r="X24" i="4"/>
  <c r="W24" i="4"/>
  <c r="V24" i="4"/>
  <c r="U24" i="4"/>
  <c r="C29" i="71"/>
  <c r="C28" i="71"/>
  <c r="D28" i="71"/>
  <c r="C21" i="71"/>
  <c r="D21" i="71"/>
  <c r="D29" i="71" s="1"/>
  <c r="S27" i="71"/>
  <c r="R27" i="71"/>
  <c r="Q27" i="71"/>
  <c r="P27" i="71"/>
  <c r="O27" i="71"/>
  <c r="N27" i="71"/>
  <c r="M27" i="71"/>
  <c r="L27" i="71"/>
  <c r="K27" i="71"/>
  <c r="J27" i="71"/>
  <c r="J28" i="71"/>
  <c r="I27" i="71"/>
  <c r="H27" i="71"/>
  <c r="S26" i="71"/>
  <c r="R26" i="71"/>
  <c r="Q26" i="71"/>
  <c r="P26" i="71"/>
  <c r="O26" i="71"/>
  <c r="N26" i="71"/>
  <c r="M26" i="71"/>
  <c r="L26" i="71"/>
  <c r="K26" i="71"/>
  <c r="J26" i="71"/>
  <c r="I26" i="71"/>
  <c r="H26" i="71"/>
  <c r="S25" i="71"/>
  <c r="R25" i="71"/>
  <c r="Q25" i="71"/>
  <c r="P25" i="71"/>
  <c r="P28" i="71" s="1"/>
  <c r="O25" i="71"/>
  <c r="N25" i="71"/>
  <c r="N28" i="71" s="1"/>
  <c r="M25" i="71"/>
  <c r="L25" i="71"/>
  <c r="K25" i="71"/>
  <c r="J25" i="71"/>
  <c r="I25" i="71"/>
  <c r="H25" i="71"/>
  <c r="H28" i="71" s="1"/>
  <c r="S20" i="71"/>
  <c r="R20" i="71"/>
  <c r="Q20" i="71"/>
  <c r="P20" i="71"/>
  <c r="O20" i="71"/>
  <c r="N20" i="71"/>
  <c r="M20" i="71"/>
  <c r="L20" i="71"/>
  <c r="K20" i="71"/>
  <c r="J20" i="71"/>
  <c r="I20" i="71"/>
  <c r="H20" i="71"/>
  <c r="S19" i="71"/>
  <c r="R19" i="71"/>
  <c r="Q19" i="71"/>
  <c r="P19" i="71"/>
  <c r="O19" i="71"/>
  <c r="N19" i="71"/>
  <c r="M19" i="71"/>
  <c r="L19" i="71"/>
  <c r="K19" i="71"/>
  <c r="J19" i="71"/>
  <c r="I19" i="71"/>
  <c r="H19" i="71"/>
  <c r="S18" i="71"/>
  <c r="R18" i="71"/>
  <c r="Q18" i="71"/>
  <c r="P18" i="71"/>
  <c r="O18" i="71"/>
  <c r="N18" i="71"/>
  <c r="M18" i="71"/>
  <c r="L18" i="71"/>
  <c r="K18" i="71"/>
  <c r="J18" i="71"/>
  <c r="I18" i="71"/>
  <c r="H18" i="71"/>
  <c r="S17" i="71"/>
  <c r="R17" i="71"/>
  <c r="Q17" i="71"/>
  <c r="P17" i="71"/>
  <c r="O17" i="71"/>
  <c r="N17" i="71"/>
  <c r="M17" i="71"/>
  <c r="L17" i="71"/>
  <c r="K17" i="71"/>
  <c r="J17" i="71"/>
  <c r="I17" i="71"/>
  <c r="H17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S9" i="71"/>
  <c r="R9" i="71"/>
  <c r="Q9" i="71"/>
  <c r="P9" i="71"/>
  <c r="O9" i="71"/>
  <c r="N9" i="71"/>
  <c r="M9" i="71"/>
  <c r="L9" i="71"/>
  <c r="K9" i="71"/>
  <c r="J9" i="71"/>
  <c r="I9" i="71"/>
  <c r="H9" i="71"/>
  <c r="S8" i="71"/>
  <c r="R8" i="71"/>
  <c r="Q8" i="71"/>
  <c r="P8" i="71"/>
  <c r="O8" i="71"/>
  <c r="N8" i="71"/>
  <c r="M8" i="71"/>
  <c r="L8" i="71"/>
  <c r="K8" i="71"/>
  <c r="J8" i="71"/>
  <c r="I8" i="71"/>
  <c r="H8" i="71"/>
  <c r="S7" i="71"/>
  <c r="R7" i="71"/>
  <c r="Q7" i="71"/>
  <c r="P7" i="71"/>
  <c r="O7" i="71"/>
  <c r="N7" i="71"/>
  <c r="M7" i="71"/>
  <c r="L7" i="71"/>
  <c r="K7" i="71"/>
  <c r="J7" i="71"/>
  <c r="I7" i="71"/>
  <c r="H7" i="71"/>
  <c r="S6" i="71"/>
  <c r="R6" i="71"/>
  <c r="Q6" i="71"/>
  <c r="P6" i="71"/>
  <c r="O6" i="71"/>
  <c r="N6" i="71"/>
  <c r="M6" i="71"/>
  <c r="L6" i="71"/>
  <c r="K6" i="71"/>
  <c r="J6" i="71"/>
  <c r="I6" i="71"/>
  <c r="H6" i="71"/>
  <c r="S5" i="71"/>
  <c r="R5" i="71"/>
  <c r="Q5" i="71"/>
  <c r="P5" i="71"/>
  <c r="O5" i="71"/>
  <c r="N5" i="71"/>
  <c r="M5" i="71"/>
  <c r="L5" i="71"/>
  <c r="K5" i="71"/>
  <c r="J5" i="71"/>
  <c r="I5" i="71"/>
  <c r="H5" i="71"/>
  <c r="S4" i="71"/>
  <c r="S21" i="71" s="1"/>
  <c r="R4" i="71"/>
  <c r="Q4" i="71"/>
  <c r="Q21" i="71" s="1"/>
  <c r="P4" i="71"/>
  <c r="O4" i="71"/>
  <c r="O21" i="71" s="1"/>
  <c r="N4" i="71"/>
  <c r="M4" i="71"/>
  <c r="M21" i="71" s="1"/>
  <c r="L4" i="71"/>
  <c r="K4" i="71"/>
  <c r="K21" i="71" s="1"/>
  <c r="J4" i="71"/>
  <c r="I4" i="71"/>
  <c r="I21" i="71" s="1"/>
  <c r="H4" i="71"/>
  <c r="H63" i="58"/>
  <c r="G63" i="58"/>
  <c r="X37" i="4"/>
  <c r="X36" i="4"/>
  <c r="X34" i="4"/>
  <c r="X31" i="4"/>
  <c r="X30" i="4"/>
  <c r="X28" i="4"/>
  <c r="X22" i="4"/>
  <c r="X19" i="4"/>
  <c r="X18" i="4"/>
  <c r="X16" i="4"/>
  <c r="X13" i="4"/>
  <c r="X12" i="4"/>
  <c r="X10" i="4"/>
  <c r="X7" i="4"/>
  <c r="X6" i="4"/>
  <c r="X4" i="4"/>
  <c r="W37" i="4"/>
  <c r="W38" i="4" s="1"/>
  <c r="W36" i="4"/>
  <c r="W34" i="4"/>
  <c r="W31" i="4"/>
  <c r="W32" i="4" s="1"/>
  <c r="W30" i="4"/>
  <c r="W28" i="4"/>
  <c r="W22" i="4"/>
  <c r="W19" i="4"/>
  <c r="W20" i="4" s="1"/>
  <c r="W18" i="4"/>
  <c r="W16" i="4"/>
  <c r="W13" i="4"/>
  <c r="W14" i="4" s="1"/>
  <c r="W12" i="4"/>
  <c r="W10" i="4"/>
  <c r="W7" i="4"/>
  <c r="W8" i="4" s="1"/>
  <c r="W6" i="4"/>
  <c r="W4" i="4"/>
  <c r="V37" i="4"/>
  <c r="V38" i="4" s="1"/>
  <c r="V36" i="4"/>
  <c r="V34" i="4"/>
  <c r="V31" i="4"/>
  <c r="V32" i="4" s="1"/>
  <c r="V30" i="4"/>
  <c r="V28" i="4"/>
  <c r="V22" i="4"/>
  <c r="V19" i="4"/>
  <c r="V20" i="4" s="1"/>
  <c r="V18" i="4"/>
  <c r="V16" i="4"/>
  <c r="V13" i="4"/>
  <c r="V14" i="4" s="1"/>
  <c r="V12" i="4"/>
  <c r="V10" i="4"/>
  <c r="V7" i="4"/>
  <c r="V8" i="4" s="1"/>
  <c r="V6" i="4"/>
  <c r="V4" i="4"/>
  <c r="U37" i="4"/>
  <c r="U38" i="4" s="1"/>
  <c r="U36" i="4"/>
  <c r="U34" i="4"/>
  <c r="U35" i="4" s="1"/>
  <c r="U31" i="4"/>
  <c r="U32" i="4" s="1"/>
  <c r="U30" i="4"/>
  <c r="U28" i="4"/>
  <c r="U22" i="4"/>
  <c r="W23" i="4"/>
  <c r="U19" i="4"/>
  <c r="U20" i="4" s="1"/>
  <c r="U18" i="4"/>
  <c r="U16" i="4"/>
  <c r="U13" i="4"/>
  <c r="U14" i="4" s="1"/>
  <c r="U12" i="4"/>
  <c r="U10" i="4"/>
  <c r="U7" i="4"/>
  <c r="U8" i="4" s="1"/>
  <c r="U6" i="4"/>
  <c r="U4" i="4"/>
  <c r="T37" i="4"/>
  <c r="T36" i="4"/>
  <c r="T34" i="4"/>
  <c r="T31" i="4"/>
  <c r="T30" i="4"/>
  <c r="T28" i="4"/>
  <c r="T25" i="4"/>
  <c r="T24" i="4"/>
  <c r="T22" i="4"/>
  <c r="T19" i="4"/>
  <c r="T18" i="4"/>
  <c r="T16" i="4"/>
  <c r="T13" i="4"/>
  <c r="T12" i="4"/>
  <c r="T10" i="4"/>
  <c r="T7" i="4"/>
  <c r="T6" i="4"/>
  <c r="T4" i="4"/>
  <c r="S37" i="4"/>
  <c r="S36" i="4"/>
  <c r="S34" i="4"/>
  <c r="S31" i="4"/>
  <c r="S30" i="4"/>
  <c r="S28" i="4"/>
  <c r="S25" i="4"/>
  <c r="S24" i="4"/>
  <c r="S22" i="4"/>
  <c r="S19" i="4"/>
  <c r="S18" i="4"/>
  <c r="S16" i="4"/>
  <c r="S13" i="4"/>
  <c r="S12" i="4"/>
  <c r="S10" i="4"/>
  <c r="S7" i="4"/>
  <c r="S6" i="4"/>
  <c r="S4" i="4"/>
  <c r="R37" i="4"/>
  <c r="R36" i="4"/>
  <c r="R34" i="4"/>
  <c r="R31" i="4"/>
  <c r="R30" i="4"/>
  <c r="R28" i="4"/>
  <c r="R25" i="4"/>
  <c r="R24" i="4"/>
  <c r="R22" i="4"/>
  <c r="R19" i="4"/>
  <c r="R18" i="4"/>
  <c r="R16" i="4"/>
  <c r="R13" i="4"/>
  <c r="R12" i="4"/>
  <c r="R10" i="4"/>
  <c r="R7" i="4"/>
  <c r="R6" i="4"/>
  <c r="R4" i="4"/>
  <c r="Q37" i="4"/>
  <c r="Q36" i="4"/>
  <c r="Q34" i="4"/>
  <c r="Q31" i="4"/>
  <c r="Q30" i="4"/>
  <c r="Q28" i="4"/>
  <c r="Q25" i="4"/>
  <c r="Q24" i="4"/>
  <c r="Q22" i="4"/>
  <c r="Q19" i="4"/>
  <c r="Q18" i="4"/>
  <c r="Q16" i="4"/>
  <c r="Q13" i="4"/>
  <c r="Q12" i="4"/>
  <c r="Q10" i="4"/>
  <c r="Q7" i="4"/>
  <c r="Q6" i="4"/>
  <c r="Q4" i="4"/>
  <c r="P37" i="4"/>
  <c r="P36" i="4"/>
  <c r="P34" i="4"/>
  <c r="P31" i="4"/>
  <c r="P30" i="4"/>
  <c r="P28" i="4"/>
  <c r="P25" i="4"/>
  <c r="P24" i="4"/>
  <c r="P22" i="4"/>
  <c r="P19" i="4"/>
  <c r="P18" i="4"/>
  <c r="P16" i="4"/>
  <c r="P13" i="4"/>
  <c r="P12" i="4"/>
  <c r="P10" i="4"/>
  <c r="P7" i="4"/>
  <c r="P6" i="4"/>
  <c r="P4" i="4"/>
  <c r="O37" i="4"/>
  <c r="O38" i="4" s="1"/>
  <c r="O36" i="4"/>
  <c r="O34" i="4"/>
  <c r="O31" i="4"/>
  <c r="O30" i="4"/>
  <c r="O28" i="4"/>
  <c r="O25" i="4"/>
  <c r="O24" i="4"/>
  <c r="O22" i="4"/>
  <c r="O19" i="4"/>
  <c r="O18" i="4"/>
  <c r="O16" i="4"/>
  <c r="O13" i="4"/>
  <c r="O14" i="4" s="1"/>
  <c r="O12" i="4"/>
  <c r="O10" i="4"/>
  <c r="O7" i="4"/>
  <c r="O6" i="4"/>
  <c r="O4" i="4"/>
  <c r="N37" i="4"/>
  <c r="N36" i="4"/>
  <c r="N34" i="4"/>
  <c r="N31" i="4"/>
  <c r="N30" i="4"/>
  <c r="N28" i="4"/>
  <c r="N25" i="4"/>
  <c r="N26" i="4" s="1"/>
  <c r="N24" i="4"/>
  <c r="N22" i="4"/>
  <c r="N19" i="4"/>
  <c r="N18" i="4"/>
  <c r="N16" i="4"/>
  <c r="N13" i="4"/>
  <c r="N12" i="4"/>
  <c r="N10" i="4"/>
  <c r="N7" i="4"/>
  <c r="N6" i="4"/>
  <c r="N4" i="4"/>
  <c r="M37" i="4"/>
  <c r="M38" i="4" s="1"/>
  <c r="M36" i="4"/>
  <c r="M34" i="4"/>
  <c r="M31" i="4"/>
  <c r="M30" i="4"/>
  <c r="M28" i="4"/>
  <c r="M25" i="4"/>
  <c r="M24" i="4"/>
  <c r="M22" i="4"/>
  <c r="M19" i="4"/>
  <c r="M18" i="4"/>
  <c r="M16" i="4"/>
  <c r="M13" i="4"/>
  <c r="M14" i="4" s="1"/>
  <c r="M12" i="4"/>
  <c r="M10" i="4"/>
  <c r="M7" i="4"/>
  <c r="M6" i="4"/>
  <c r="M4" i="4"/>
  <c r="L37" i="4"/>
  <c r="L36" i="4"/>
  <c r="L34" i="4"/>
  <c r="L31" i="4"/>
  <c r="L30" i="4"/>
  <c r="L28" i="4"/>
  <c r="L25" i="4"/>
  <c r="L24" i="4"/>
  <c r="L22" i="4"/>
  <c r="L19" i="4"/>
  <c r="L18" i="4"/>
  <c r="L16" i="4"/>
  <c r="L13" i="4"/>
  <c r="L12" i="4"/>
  <c r="L10" i="4"/>
  <c r="L7" i="4"/>
  <c r="L6" i="4"/>
  <c r="L4" i="4"/>
  <c r="K37" i="4"/>
  <c r="K36" i="4"/>
  <c r="K34" i="4"/>
  <c r="K31" i="4"/>
  <c r="K30" i="4"/>
  <c r="K28" i="4"/>
  <c r="K25" i="4"/>
  <c r="K24" i="4"/>
  <c r="K22" i="4"/>
  <c r="K19" i="4"/>
  <c r="K18" i="4"/>
  <c r="K16" i="4"/>
  <c r="K13" i="4"/>
  <c r="K12" i="4"/>
  <c r="K10" i="4"/>
  <c r="K7" i="4"/>
  <c r="K6" i="4"/>
  <c r="K4" i="4"/>
  <c r="J37" i="4"/>
  <c r="J36" i="4"/>
  <c r="J34" i="4"/>
  <c r="J31" i="4"/>
  <c r="J30" i="4"/>
  <c r="J28" i="4"/>
  <c r="J25" i="4"/>
  <c r="J24" i="4"/>
  <c r="J22" i="4"/>
  <c r="J19" i="4"/>
  <c r="J20" i="4" s="1"/>
  <c r="J18" i="4"/>
  <c r="J16" i="4"/>
  <c r="J13" i="4"/>
  <c r="J12" i="4"/>
  <c r="J10" i="4"/>
  <c r="J7" i="4"/>
  <c r="J6" i="4"/>
  <c r="J4" i="4"/>
  <c r="I37" i="4"/>
  <c r="I36" i="4"/>
  <c r="I34" i="4"/>
  <c r="I31" i="4"/>
  <c r="I30" i="4"/>
  <c r="I28" i="4"/>
  <c r="I25" i="4"/>
  <c r="I24" i="4"/>
  <c r="I22" i="4"/>
  <c r="I19" i="4"/>
  <c r="I18" i="4"/>
  <c r="I16" i="4"/>
  <c r="I13" i="4"/>
  <c r="I12" i="4"/>
  <c r="I10" i="4"/>
  <c r="I7" i="4"/>
  <c r="I6" i="4"/>
  <c r="I4" i="4"/>
  <c r="H37" i="4"/>
  <c r="H36" i="4"/>
  <c r="H34" i="4"/>
  <c r="H31" i="4"/>
  <c r="H30" i="4"/>
  <c r="H28" i="4"/>
  <c r="H25" i="4"/>
  <c r="H24" i="4"/>
  <c r="H22" i="4"/>
  <c r="H19" i="4"/>
  <c r="H18" i="4"/>
  <c r="H16" i="4"/>
  <c r="H13" i="4"/>
  <c r="H12" i="4"/>
  <c r="H10" i="4"/>
  <c r="H7" i="4"/>
  <c r="H6" i="4"/>
  <c r="H4" i="4"/>
  <c r="G37" i="4"/>
  <c r="G36" i="4"/>
  <c r="G34" i="4"/>
  <c r="G31" i="4"/>
  <c r="G30" i="4"/>
  <c r="G28" i="4"/>
  <c r="G25" i="4"/>
  <c r="G24" i="4"/>
  <c r="G22" i="4"/>
  <c r="G19" i="4"/>
  <c r="G18" i="4"/>
  <c r="G16" i="4"/>
  <c r="G13" i="4"/>
  <c r="G12" i="4"/>
  <c r="G10" i="4"/>
  <c r="G7" i="4"/>
  <c r="G6" i="4"/>
  <c r="G4" i="4"/>
  <c r="F37" i="4"/>
  <c r="F36" i="4"/>
  <c r="F34" i="4"/>
  <c r="F31" i="4"/>
  <c r="F30" i="4"/>
  <c r="F28" i="4"/>
  <c r="F25" i="4"/>
  <c r="F24" i="4"/>
  <c r="F22" i="4"/>
  <c r="F19" i="4"/>
  <c r="P20" i="4" s="1"/>
  <c r="F18" i="4"/>
  <c r="F16" i="4"/>
  <c r="F13" i="4"/>
  <c r="F12" i="4"/>
  <c r="F10" i="4"/>
  <c r="F7" i="4"/>
  <c r="F6" i="4"/>
  <c r="F4" i="4"/>
  <c r="E37" i="4"/>
  <c r="E36" i="4"/>
  <c r="E34" i="4"/>
  <c r="E31" i="4"/>
  <c r="E30" i="4"/>
  <c r="E28" i="4"/>
  <c r="E25" i="4"/>
  <c r="E24" i="4"/>
  <c r="E22" i="4"/>
  <c r="E19" i="4"/>
  <c r="E18" i="4"/>
  <c r="E16" i="4"/>
  <c r="E13" i="4"/>
  <c r="E12" i="4"/>
  <c r="E10" i="4"/>
  <c r="E7" i="4"/>
  <c r="E6" i="4"/>
  <c r="E4" i="4"/>
  <c r="D37" i="4"/>
  <c r="D36" i="4"/>
  <c r="D34" i="4"/>
  <c r="D31" i="4"/>
  <c r="D30" i="4"/>
  <c r="D28" i="4"/>
  <c r="D25" i="4"/>
  <c r="D24" i="4"/>
  <c r="D22" i="4"/>
  <c r="D19" i="4"/>
  <c r="D18" i="4"/>
  <c r="D16" i="4"/>
  <c r="D13" i="4"/>
  <c r="D12" i="4"/>
  <c r="D10" i="4"/>
  <c r="D7" i="4"/>
  <c r="D6" i="4"/>
  <c r="D4" i="4"/>
  <c r="C37" i="4"/>
  <c r="C36" i="4"/>
  <c r="C34" i="4"/>
  <c r="C31" i="4"/>
  <c r="C30" i="4"/>
  <c r="C28" i="4"/>
  <c r="C25" i="4"/>
  <c r="C24" i="4"/>
  <c r="C22" i="4"/>
  <c r="C19" i="4"/>
  <c r="C18" i="4"/>
  <c r="C16" i="4"/>
  <c r="C13" i="4"/>
  <c r="C12" i="4"/>
  <c r="C10" i="4"/>
  <c r="C7" i="4"/>
  <c r="C6" i="4"/>
  <c r="C4" i="4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L171" i="1" s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L226" i="1" s="1"/>
  <c r="K227" i="1"/>
  <c r="K228" i="1"/>
  <c r="K229" i="1"/>
  <c r="K230" i="1"/>
  <c r="K231" i="1"/>
  <c r="K232" i="1"/>
  <c r="F8" i="71" s="1"/>
  <c r="K233" i="1"/>
  <c r="K234" i="1"/>
  <c r="K235" i="1"/>
  <c r="K236" i="1"/>
  <c r="K237" i="1"/>
  <c r="K238" i="1"/>
  <c r="K239" i="1"/>
  <c r="L235" i="1" s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L455" i="1" s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L463" i="1" s="1"/>
  <c r="K496" i="1"/>
  <c r="K497" i="1"/>
  <c r="K498" i="1"/>
  <c r="K499" i="1"/>
  <c r="K500" i="1"/>
  <c r="K501" i="1"/>
  <c r="K502" i="1"/>
  <c r="K503" i="1"/>
  <c r="L503" i="1" s="1"/>
  <c r="K504" i="1"/>
  <c r="K505" i="1"/>
  <c r="K506" i="1"/>
  <c r="K507" i="1"/>
  <c r="L507" i="1" s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L520" i="1" s="1"/>
  <c r="K525" i="1"/>
  <c r="K526" i="1"/>
  <c r="K527" i="1"/>
  <c r="K528" i="1"/>
  <c r="K529" i="1"/>
  <c r="K530" i="1"/>
  <c r="K531" i="1"/>
  <c r="L531" i="1" s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L559" i="1"/>
  <c r="K560" i="1"/>
  <c r="F14" i="71" s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L584" i="1" s="1"/>
  <c r="K589" i="1"/>
  <c r="K590" i="1"/>
  <c r="K591" i="1"/>
  <c r="K592" i="1"/>
  <c r="K593" i="1"/>
  <c r="K594" i="1"/>
  <c r="K595" i="1"/>
  <c r="K596" i="1"/>
  <c r="L596" i="1" s="1"/>
  <c r="K597" i="1"/>
  <c r="K598" i="1"/>
  <c r="K599" i="1"/>
  <c r="K600" i="1"/>
  <c r="K601" i="1"/>
  <c r="K602" i="1"/>
  <c r="K603" i="1"/>
  <c r="K604" i="1"/>
  <c r="K605" i="1"/>
  <c r="L605" i="1" s="1"/>
  <c r="K606" i="1"/>
  <c r="K607" i="1"/>
  <c r="K608" i="1"/>
  <c r="K609" i="1"/>
  <c r="K610" i="1"/>
  <c r="K611" i="1"/>
  <c r="K612" i="1"/>
  <c r="K613" i="1"/>
  <c r="K614" i="1"/>
  <c r="K615" i="1"/>
  <c r="L615" i="1" s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L680" i="1" s="1"/>
  <c r="K685" i="1"/>
  <c r="K686" i="1"/>
  <c r="K687" i="1"/>
  <c r="K688" i="1"/>
  <c r="K689" i="1"/>
  <c r="K690" i="1"/>
  <c r="K691" i="1"/>
  <c r="K692" i="1"/>
  <c r="L692" i="1" s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P39" i="4" s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L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L810" i="1" s="1"/>
  <c r="K815" i="1"/>
  <c r="L815" i="1" s="1"/>
  <c r="K816" i="1"/>
  <c r="K817" i="1"/>
  <c r="K818" i="1"/>
  <c r="L818" i="1" s="1"/>
  <c r="K819" i="1"/>
  <c r="K820" i="1"/>
  <c r="K821" i="1"/>
  <c r="K822" i="1"/>
  <c r="K823" i="1"/>
  <c r="K824" i="1"/>
  <c r="K825" i="1"/>
  <c r="K826" i="1"/>
  <c r="L790" i="1" s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L874" i="1" s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L907" i="1" s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L935" i="1" s="1"/>
  <c r="K936" i="1"/>
  <c r="K937" i="1"/>
  <c r="K938" i="1"/>
  <c r="K939" i="1"/>
  <c r="K940" i="1"/>
  <c r="K941" i="1"/>
  <c r="K942" i="1"/>
  <c r="K943" i="1"/>
  <c r="K944" i="1"/>
  <c r="K945" i="1"/>
  <c r="K946" i="1"/>
  <c r="K947" i="1"/>
  <c r="L947" i="1" s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L999" i="1" s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L1002" i="1" s="1"/>
  <c r="K1003" i="1"/>
  <c r="K1004" i="1"/>
  <c r="K1005" i="1"/>
  <c r="K1006" i="1"/>
  <c r="K1007" i="1"/>
  <c r="K1008" i="1"/>
  <c r="K1009" i="1"/>
  <c r="K1010" i="1"/>
  <c r="K1011" i="1"/>
  <c r="K1012" i="1"/>
  <c r="L1012" i="1" s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L1032" i="1" s="1"/>
  <c r="K1033" i="1"/>
  <c r="K1034" i="1"/>
  <c r="K1035" i="1"/>
  <c r="K1036" i="1"/>
  <c r="K1037" i="1"/>
  <c r="K1038" i="1"/>
  <c r="K1039" i="1"/>
  <c r="K1040" i="1"/>
  <c r="K1041" i="1"/>
  <c r="K1042" i="1"/>
  <c r="K1043" i="1"/>
  <c r="L1043" i="1" s="1"/>
  <c r="K1044" i="1"/>
  <c r="K1045" i="1"/>
  <c r="K1046" i="1"/>
  <c r="L1046" i="1" s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L1059" i="1" s="1"/>
  <c r="K1060" i="1"/>
  <c r="K1061" i="1"/>
  <c r="K1062" i="1"/>
  <c r="K1063" i="1"/>
  <c r="L1063" i="1" s="1"/>
  <c r="K1064" i="1"/>
  <c r="K1065" i="1"/>
  <c r="K1066" i="1"/>
  <c r="K1067" i="1"/>
  <c r="K1068" i="1"/>
  <c r="K1069" i="1"/>
  <c r="K1070" i="1"/>
  <c r="K1071" i="1"/>
  <c r="K1072" i="1"/>
  <c r="K1073" i="1"/>
  <c r="L1048" i="1"/>
  <c r="L1041" i="1"/>
  <c r="L972" i="1"/>
  <c r="L964" i="1"/>
  <c r="L1019" i="1"/>
  <c r="L971" i="1"/>
  <c r="L963" i="1"/>
  <c r="L927" i="1"/>
  <c r="L903" i="1"/>
  <c r="L899" i="1"/>
  <c r="L867" i="1"/>
  <c r="L847" i="1"/>
  <c r="L843" i="1"/>
  <c r="L811" i="1"/>
  <c r="L791" i="1"/>
  <c r="L775" i="1"/>
  <c r="L751" i="1"/>
  <c r="L735" i="1"/>
  <c r="L719" i="1"/>
  <c r="L691" i="1"/>
  <c r="L611" i="1"/>
  <c r="L603" i="1"/>
  <c r="L599" i="1"/>
  <c r="L591" i="1"/>
  <c r="L587" i="1"/>
  <c r="L579" i="1"/>
  <c r="L571" i="1"/>
  <c r="L567" i="1"/>
  <c r="L563" i="1"/>
  <c r="L551" i="1"/>
  <c r="L523" i="1"/>
  <c r="L487" i="1"/>
  <c r="L483" i="1"/>
  <c r="L443" i="1"/>
  <c r="L423" i="1"/>
  <c r="L419" i="1"/>
  <c r="L391" i="1"/>
  <c r="L371" i="1"/>
  <c r="L363" i="1"/>
  <c r="L335" i="1"/>
  <c r="L331" i="1"/>
  <c r="L323" i="1"/>
  <c r="L311" i="1"/>
  <c r="L303" i="1"/>
  <c r="L299" i="1"/>
  <c r="L291" i="1"/>
  <c r="L287" i="1"/>
  <c r="L292" i="1"/>
  <c r="L324" i="1"/>
  <c r="L340" i="1"/>
  <c r="L279" i="1"/>
  <c r="L263" i="1"/>
  <c r="L255" i="1"/>
  <c r="L243" i="1"/>
  <c r="L231" i="1"/>
  <c r="L268" i="1"/>
  <c r="L280" i="1"/>
  <c r="L219" i="1"/>
  <c r="L207" i="1"/>
  <c r="L199" i="1"/>
  <c r="L187" i="1"/>
  <c r="L167" i="1"/>
  <c r="L159" i="1"/>
  <c r="L147" i="1"/>
  <c r="L139" i="1"/>
  <c r="L135" i="1"/>
  <c r="L111" i="1"/>
  <c r="L103" i="1"/>
  <c r="L95" i="1"/>
  <c r="L83" i="1"/>
  <c r="L75" i="1"/>
  <c r="L71" i="1"/>
  <c r="L160" i="1"/>
  <c r="L194" i="1"/>
  <c r="L316" i="1"/>
  <c r="L606" i="1"/>
  <c r="L769" i="1"/>
  <c r="L1042" i="1"/>
  <c r="L1062" i="1"/>
  <c r="L1054" i="1"/>
  <c r="L1030" i="1"/>
  <c r="L1022" i="1"/>
  <c r="L1014" i="1"/>
  <c r="L994" i="1"/>
  <c r="L990" i="1"/>
  <c r="L978" i="1"/>
  <c r="L966" i="1"/>
  <c r="L954" i="1"/>
  <c r="L946" i="1"/>
  <c r="L930" i="1"/>
  <c r="L922" i="1"/>
  <c r="L914" i="1"/>
  <c r="L898" i="1"/>
  <c r="L890" i="1"/>
  <c r="L878" i="1"/>
  <c r="L866" i="1"/>
  <c r="L854" i="1"/>
  <c r="L846" i="1"/>
  <c r="L838" i="1"/>
  <c r="L830" i="1"/>
  <c r="L826" i="1"/>
  <c r="L806" i="1"/>
  <c r="L802" i="1"/>
  <c r="L794" i="1"/>
  <c r="L786" i="1"/>
  <c r="L809" i="1"/>
  <c r="L782" i="1"/>
  <c r="L778" i="1"/>
  <c r="L770" i="1"/>
  <c r="L766" i="1"/>
  <c r="L762" i="1"/>
  <c r="L754" i="1"/>
  <c r="L750" i="1"/>
  <c r="L746" i="1"/>
  <c r="L614" i="1"/>
  <c r="L506" i="1"/>
  <c r="L498" i="1"/>
  <c r="L482" i="1"/>
  <c r="L474" i="1"/>
  <c r="L466" i="1"/>
  <c r="L374" i="1"/>
  <c r="L358" i="1"/>
  <c r="L274" i="1"/>
  <c r="L258" i="1"/>
  <c r="L250" i="1"/>
  <c r="L242" i="1"/>
  <c r="L230" i="1"/>
  <c r="L214" i="1"/>
  <c r="L210" i="1"/>
  <c r="L182" i="1"/>
  <c r="L178" i="1"/>
  <c r="L177" i="1"/>
  <c r="L106" i="1"/>
  <c r="L98" i="1"/>
  <c r="L90" i="1"/>
  <c r="L74" i="1"/>
  <c r="L66" i="1"/>
  <c r="L65" i="1"/>
  <c r="L70" i="1"/>
  <c r="L300" i="1"/>
  <c r="L585" i="1"/>
  <c r="L1044" i="1"/>
  <c r="L1020" i="1"/>
  <c r="L976" i="1"/>
  <c r="L968" i="1"/>
  <c r="L956" i="1"/>
  <c r="L1055" i="1"/>
  <c r="L1047" i="1"/>
  <c r="L1035" i="1"/>
  <c r="L1015" i="1"/>
  <c r="L1003" i="1"/>
  <c r="L991" i="1"/>
  <c r="L967" i="1"/>
  <c r="L955" i="1"/>
  <c r="L943" i="1"/>
  <c r="L923" i="1"/>
  <c r="L911" i="1"/>
  <c r="L883" i="1"/>
  <c r="L863" i="1"/>
  <c r="L851" i="1"/>
  <c r="L827" i="1"/>
  <c r="L807" i="1"/>
  <c r="L795" i="1"/>
  <c r="L787" i="1"/>
  <c r="L755" i="1"/>
  <c r="L743" i="1"/>
  <c r="L731" i="1"/>
  <c r="L699" i="1"/>
  <c r="L687" i="1"/>
  <c r="L675" i="1"/>
  <c r="L607" i="1"/>
  <c r="L595" i="1"/>
  <c r="L583" i="1"/>
  <c r="L575" i="1"/>
  <c r="L539" i="1"/>
  <c r="L527" i="1"/>
  <c r="L519" i="1"/>
  <c r="L495" i="1"/>
  <c r="L479" i="1"/>
  <c r="L447" i="1"/>
  <c r="L427" i="1"/>
  <c r="L415" i="1"/>
  <c r="L387" i="1"/>
  <c r="L379" i="1"/>
  <c r="L367" i="1"/>
  <c r="L359" i="1"/>
  <c r="L347" i="1"/>
  <c r="L327" i="1"/>
  <c r="L315" i="1"/>
  <c r="L307" i="1"/>
  <c r="L271" i="1"/>
  <c r="L259" i="1"/>
  <c r="L247" i="1"/>
  <c r="L211" i="1"/>
  <c r="L203" i="1"/>
  <c r="L191" i="1"/>
  <c r="L179" i="1"/>
  <c r="L175" i="1"/>
  <c r="L163" i="1"/>
  <c r="L155" i="1"/>
  <c r="L143" i="1"/>
  <c r="L131" i="1"/>
  <c r="L119" i="1"/>
  <c r="L99" i="1"/>
  <c r="L87" i="1"/>
  <c r="L79" i="1"/>
  <c r="L67" i="1"/>
  <c r="L78" i="1"/>
  <c r="L264" i="1"/>
  <c r="L416" i="1"/>
  <c r="L1070" i="1"/>
  <c r="L1058" i="1"/>
  <c r="L1050" i="1"/>
  <c r="L1038" i="1"/>
  <c r="L1026" i="1"/>
  <c r="L1006" i="1"/>
  <c r="L998" i="1"/>
  <c r="L982" i="1"/>
  <c r="L970" i="1"/>
  <c r="L962" i="1"/>
  <c r="L950" i="1"/>
  <c r="L938" i="1"/>
  <c r="L926" i="1"/>
  <c r="L918" i="1"/>
  <c r="L906" i="1"/>
  <c r="L894" i="1"/>
  <c r="L882" i="1"/>
  <c r="L870" i="1"/>
  <c r="L862" i="1"/>
  <c r="L850" i="1"/>
  <c r="L834" i="1"/>
  <c r="L814" i="1"/>
  <c r="L1065" i="1"/>
  <c r="L1037" i="1"/>
  <c r="L94" i="1"/>
  <c r="L62" i="1"/>
  <c r="L144" i="1"/>
  <c r="L286" i="1"/>
  <c r="L398" i="1"/>
  <c r="L448" i="1"/>
  <c r="L529" i="1"/>
  <c r="L564" i="1"/>
  <c r="L742" i="1"/>
  <c r="L734" i="1"/>
  <c r="L730" i="1"/>
  <c r="L726" i="1"/>
  <c r="L722" i="1"/>
  <c r="L718" i="1"/>
  <c r="L714" i="1"/>
  <c r="L710" i="1"/>
  <c r="L706" i="1"/>
  <c r="L702" i="1"/>
  <c r="L698" i="1"/>
  <c r="L694" i="1"/>
  <c r="L690" i="1"/>
  <c r="L686" i="1"/>
  <c r="L682" i="1"/>
  <c r="L678" i="1"/>
  <c r="L674" i="1"/>
  <c r="L610" i="1"/>
  <c r="L602" i="1"/>
  <c r="L598" i="1"/>
  <c r="L594" i="1"/>
  <c r="L590" i="1"/>
  <c r="L586" i="1"/>
  <c r="L582" i="1"/>
  <c r="L578" i="1"/>
  <c r="L574" i="1"/>
  <c r="L570" i="1"/>
  <c r="L566" i="1"/>
  <c r="L562" i="1"/>
  <c r="L558" i="1"/>
  <c r="L554" i="1"/>
  <c r="L550" i="1"/>
  <c r="L546" i="1"/>
  <c r="L542" i="1"/>
  <c r="L538" i="1"/>
  <c r="L534" i="1"/>
  <c r="L530" i="1"/>
  <c r="L526" i="1"/>
  <c r="L522" i="1"/>
  <c r="L518" i="1"/>
  <c r="L514" i="1"/>
  <c r="L510" i="1"/>
  <c r="L502" i="1"/>
  <c r="L494" i="1"/>
  <c r="L486" i="1"/>
  <c r="L478" i="1"/>
  <c r="L470" i="1"/>
  <c r="L462" i="1"/>
  <c r="L458" i="1"/>
  <c r="L454" i="1"/>
  <c r="L450" i="1"/>
  <c r="L446" i="1"/>
  <c r="L442" i="1"/>
  <c r="L438" i="1"/>
  <c r="L434" i="1"/>
  <c r="L430" i="1"/>
  <c r="L426" i="1"/>
  <c r="L422" i="1"/>
  <c r="L418" i="1"/>
  <c r="L414" i="1"/>
  <c r="L410" i="1"/>
  <c r="L406" i="1"/>
  <c r="L402" i="1"/>
  <c r="L394" i="1"/>
  <c r="L386" i="1"/>
  <c r="L378" i="1"/>
  <c r="L370" i="1"/>
  <c r="L362" i="1"/>
  <c r="L354" i="1"/>
  <c r="L346" i="1"/>
  <c r="L342" i="1"/>
  <c r="L338" i="1"/>
  <c r="L334" i="1"/>
  <c r="L330" i="1"/>
  <c r="L326" i="1"/>
  <c r="L322" i="1"/>
  <c r="L318" i="1"/>
  <c r="L314" i="1"/>
  <c r="L310" i="1"/>
  <c r="L306" i="1"/>
  <c r="L302" i="1"/>
  <c r="L298" i="1"/>
  <c r="L294" i="1"/>
  <c r="L290" i="1"/>
  <c r="L282" i="1"/>
  <c r="L278" i="1"/>
  <c r="L266" i="1"/>
  <c r="L262" i="1"/>
  <c r="L254" i="1"/>
  <c r="L246" i="1"/>
  <c r="L238" i="1"/>
  <c r="L222" i="1"/>
  <c r="L218" i="1"/>
  <c r="L206" i="1"/>
  <c r="L202" i="1"/>
  <c r="L190" i="1"/>
  <c r="L186" i="1"/>
  <c r="L170" i="1"/>
  <c r="L166" i="1"/>
  <c r="L162" i="1"/>
  <c r="L158" i="1"/>
  <c r="L154" i="1"/>
  <c r="L150" i="1"/>
  <c r="L146" i="1"/>
  <c r="L142" i="1"/>
  <c r="L138" i="1"/>
  <c r="L134" i="1"/>
  <c r="L130" i="1"/>
  <c r="L126" i="1"/>
  <c r="L122" i="1"/>
  <c r="L118" i="1"/>
  <c r="L60" i="1"/>
  <c r="L109" i="1"/>
  <c r="L101" i="1"/>
  <c r="L93" i="1"/>
  <c r="L85" i="1"/>
  <c r="L77" i="1"/>
  <c r="L69" i="1"/>
  <c r="L61" i="1"/>
  <c r="L132" i="1"/>
  <c r="L121" i="1"/>
  <c r="L225" i="1"/>
  <c r="L193" i="1"/>
  <c r="L397" i="1"/>
  <c r="L381" i="1"/>
  <c r="L365" i="1"/>
  <c r="L349" i="1"/>
  <c r="L508" i="1"/>
  <c r="L701" i="1"/>
  <c r="L1073" i="1"/>
  <c r="L1069" i="1"/>
  <c r="L1061" i="1"/>
  <c r="L1057" i="1"/>
  <c r="L1053" i="1"/>
  <c r="L1049" i="1"/>
  <c r="L1045" i="1"/>
  <c r="L1033" i="1"/>
  <c r="L1029" i="1"/>
  <c r="L1025" i="1"/>
  <c r="L1021" i="1"/>
  <c r="L1017" i="1"/>
  <c r="L1013" i="1"/>
  <c r="L1009" i="1"/>
  <c r="L1005" i="1"/>
  <c r="L1001" i="1"/>
  <c r="L997" i="1"/>
  <c r="L993" i="1"/>
  <c r="L989" i="1"/>
  <c r="L985" i="1"/>
  <c r="L981" i="1"/>
  <c r="L977" i="1"/>
  <c r="L973" i="1"/>
  <c r="L969" i="1"/>
  <c r="L965" i="1"/>
  <c r="L961" i="1"/>
  <c r="L957" i="1"/>
  <c r="L889" i="1"/>
  <c r="L849" i="1"/>
  <c r="L801" i="1"/>
  <c r="L785" i="1"/>
  <c r="L717" i="1"/>
  <c r="L697" i="1"/>
  <c r="L685" i="1"/>
  <c r="L673" i="1"/>
  <c r="L609" i="1"/>
  <c r="L601" i="1"/>
  <c r="L589" i="1"/>
  <c r="L569" i="1"/>
  <c r="L557" i="1"/>
  <c r="L549" i="1"/>
  <c r="L541" i="1"/>
  <c r="L533" i="1"/>
  <c r="L525" i="1"/>
  <c r="L517" i="1"/>
  <c r="L509" i="1"/>
  <c r="L393" i="1"/>
  <c r="L385" i="1"/>
  <c r="L377" i="1"/>
  <c r="L369" i="1"/>
  <c r="L361" i="1"/>
  <c r="L353" i="1"/>
  <c r="L345" i="1"/>
  <c r="L229" i="1"/>
  <c r="L217" i="1"/>
  <c r="L213" i="1"/>
  <c r="L201" i="1"/>
  <c r="L197" i="1"/>
  <c r="L185" i="1"/>
  <c r="L181" i="1"/>
  <c r="L173" i="1"/>
  <c r="L169" i="1"/>
  <c r="L165" i="1"/>
  <c r="L161" i="1"/>
  <c r="L157" i="1"/>
  <c r="L153" i="1"/>
  <c r="L149" i="1"/>
  <c r="L145" i="1"/>
  <c r="L141" i="1"/>
  <c r="L129" i="1"/>
  <c r="L125" i="1"/>
  <c r="L117" i="1"/>
  <c r="L172" i="1"/>
  <c r="L164" i="1"/>
  <c r="L156" i="1"/>
  <c r="L148" i="1"/>
  <c r="L128" i="1"/>
  <c r="L174" i="1"/>
  <c r="L221" i="1"/>
  <c r="L189" i="1"/>
  <c r="L456" i="1"/>
  <c r="L440" i="1"/>
  <c r="L424" i="1"/>
  <c r="L408" i="1"/>
  <c r="L553" i="1"/>
  <c r="L537" i="1"/>
  <c r="L713" i="1"/>
  <c r="L952" i="1"/>
  <c r="L948" i="1"/>
  <c r="L944" i="1"/>
  <c r="L940" i="1"/>
  <c r="L936" i="1"/>
  <c r="L932" i="1"/>
  <c r="L928" i="1"/>
  <c r="L924" i="1"/>
  <c r="L920" i="1"/>
  <c r="L916" i="1"/>
  <c r="L912" i="1"/>
  <c r="L908" i="1"/>
  <c r="L904" i="1"/>
  <c r="L900" i="1"/>
  <c r="L896" i="1"/>
  <c r="L892" i="1"/>
  <c r="L888" i="1"/>
  <c r="L884" i="1"/>
  <c r="L880" i="1"/>
  <c r="L876" i="1"/>
  <c r="L872" i="1"/>
  <c r="L868" i="1"/>
  <c r="L864" i="1"/>
  <c r="L860" i="1"/>
  <c r="L856" i="1"/>
  <c r="L852" i="1"/>
  <c r="L848" i="1"/>
  <c r="L844" i="1"/>
  <c r="L840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4" i="1"/>
  <c r="L780" i="1"/>
  <c r="L776" i="1"/>
  <c r="L772" i="1"/>
  <c r="L768" i="1"/>
  <c r="L764" i="1"/>
  <c r="L760" i="1"/>
  <c r="L756" i="1"/>
  <c r="L752" i="1"/>
  <c r="L748" i="1"/>
  <c r="L744" i="1"/>
  <c r="L740" i="1"/>
  <c r="L736" i="1"/>
  <c r="L732" i="1"/>
  <c r="L728" i="1"/>
  <c r="L720" i="1"/>
  <c r="L716" i="1"/>
  <c r="L708" i="1"/>
  <c r="L704" i="1"/>
  <c r="L700" i="1"/>
  <c r="L696" i="1"/>
  <c r="L688" i="1"/>
  <c r="L684" i="1"/>
  <c r="L676" i="1"/>
  <c r="L624" i="1"/>
  <c r="L616" i="1"/>
  <c r="L612" i="1"/>
  <c r="L608" i="1"/>
  <c r="L604" i="1"/>
  <c r="L600" i="1"/>
  <c r="L592" i="1"/>
  <c r="L588" i="1"/>
  <c r="L580" i="1"/>
  <c r="L576" i="1"/>
  <c r="L572" i="1"/>
  <c r="L568" i="1"/>
  <c r="L560" i="1"/>
  <c r="L556" i="1"/>
  <c r="L548" i="1"/>
  <c r="L540" i="1"/>
  <c r="L532" i="1"/>
  <c r="L524" i="1"/>
  <c r="L516" i="1"/>
  <c r="L504" i="1"/>
  <c r="L500" i="1"/>
  <c r="L496" i="1"/>
  <c r="L492" i="1"/>
  <c r="L488" i="1"/>
  <c r="L452" i="1"/>
  <c r="L444" i="1"/>
  <c r="L436" i="1"/>
  <c r="L428" i="1"/>
  <c r="L420" i="1"/>
  <c r="L412" i="1"/>
  <c r="L404" i="1"/>
  <c r="L344" i="1"/>
  <c r="L336" i="1"/>
  <c r="L328" i="1"/>
  <c r="L320" i="1"/>
  <c r="L312" i="1"/>
  <c r="L304" i="1"/>
  <c r="L296" i="1"/>
  <c r="L288" i="1"/>
  <c r="L276" i="1"/>
  <c r="L272" i="1"/>
  <c r="L260" i="1"/>
  <c r="L140" i="1"/>
  <c r="L136" i="1"/>
  <c r="L124" i="1"/>
  <c r="L120" i="1"/>
  <c r="L116" i="1"/>
  <c r="L112" i="1"/>
  <c r="L108" i="1"/>
  <c r="L104" i="1"/>
  <c r="L100" i="1"/>
  <c r="L96" i="1"/>
  <c r="L92" i="1"/>
  <c r="L88" i="1"/>
  <c r="L84" i="1"/>
  <c r="L80" i="1"/>
  <c r="L76" i="1"/>
  <c r="L72" i="1"/>
  <c r="L68" i="1"/>
  <c r="L64" i="1"/>
  <c r="L113" i="1"/>
  <c r="L105" i="1"/>
  <c r="L97" i="1"/>
  <c r="L89" i="1"/>
  <c r="L81" i="1"/>
  <c r="L73" i="1"/>
  <c r="L137" i="1"/>
  <c r="L209" i="1"/>
  <c r="L389" i="1"/>
  <c r="L373" i="1"/>
  <c r="L357" i="1"/>
  <c r="L613" i="1"/>
  <c r="L573" i="1"/>
  <c r="L781" i="1"/>
  <c r="L753" i="1"/>
  <c r="L953" i="1"/>
  <c r="L949" i="1"/>
  <c r="L945" i="1"/>
  <c r="L941" i="1"/>
  <c r="L937" i="1"/>
  <c r="L933" i="1"/>
  <c r="L929" i="1"/>
  <c r="L925" i="1"/>
  <c r="L921" i="1"/>
  <c r="L917" i="1"/>
  <c r="L913" i="1"/>
  <c r="L909" i="1"/>
  <c r="L905" i="1"/>
  <c r="L901" i="1"/>
  <c r="L897" i="1"/>
  <c r="L893" i="1"/>
  <c r="L885" i="1"/>
  <c r="L877" i="1"/>
  <c r="L873" i="1"/>
  <c r="L869" i="1"/>
  <c r="L865" i="1"/>
  <c r="L861" i="1"/>
  <c r="L853" i="1"/>
  <c r="L845" i="1"/>
  <c r="L841" i="1"/>
  <c r="L837" i="1"/>
  <c r="L829" i="1"/>
  <c r="L825" i="1"/>
  <c r="L821" i="1"/>
  <c r="L817" i="1"/>
  <c r="L813" i="1"/>
  <c r="L805" i="1"/>
  <c r="L797" i="1"/>
  <c r="L793" i="1"/>
  <c r="L789" i="1"/>
  <c r="L777" i="1"/>
  <c r="L773" i="1"/>
  <c r="L765" i="1"/>
  <c r="L761" i="1"/>
  <c r="L757" i="1"/>
  <c r="L749" i="1"/>
  <c r="L745" i="1"/>
  <c r="L737" i="1"/>
  <c r="L733" i="1"/>
  <c r="L729" i="1"/>
  <c r="L725" i="1"/>
  <c r="L721" i="1"/>
  <c r="L709" i="1"/>
  <c r="L705" i="1"/>
  <c r="L693" i="1"/>
  <c r="L689" i="1"/>
  <c r="L677" i="1"/>
  <c r="L641" i="1"/>
  <c r="L597" i="1"/>
  <c r="L593" i="1"/>
  <c r="L581" i="1"/>
  <c r="L577" i="1"/>
  <c r="L565" i="1"/>
  <c r="L561" i="1"/>
  <c r="L505" i="1"/>
  <c r="L501" i="1"/>
  <c r="L497" i="1"/>
  <c r="L493" i="1"/>
  <c r="L489" i="1"/>
  <c r="L485" i="1"/>
  <c r="L481" i="1"/>
  <c r="L477" i="1"/>
  <c r="L473" i="1"/>
  <c r="L469" i="1"/>
  <c r="L465" i="1"/>
  <c r="L461" i="1"/>
  <c r="L457" i="1"/>
  <c r="L453" i="1"/>
  <c r="L449" i="1"/>
  <c r="L445" i="1"/>
  <c r="L441" i="1"/>
  <c r="L437" i="1"/>
  <c r="L433" i="1"/>
  <c r="L429" i="1"/>
  <c r="L425" i="1"/>
  <c r="L421" i="1"/>
  <c r="L417" i="1"/>
  <c r="L413" i="1"/>
  <c r="L409" i="1"/>
  <c r="L405" i="1"/>
  <c r="L401" i="1"/>
  <c r="L341" i="1"/>
  <c r="L337" i="1"/>
  <c r="L333" i="1"/>
  <c r="L329" i="1"/>
  <c r="L325" i="1"/>
  <c r="L321" i="1"/>
  <c r="L317" i="1"/>
  <c r="L313" i="1"/>
  <c r="L309" i="1"/>
  <c r="L305" i="1"/>
  <c r="L301" i="1"/>
  <c r="L297" i="1"/>
  <c r="L293" i="1"/>
  <c r="L289" i="1"/>
  <c r="L285" i="1"/>
  <c r="L281" i="1"/>
  <c r="L277" i="1"/>
  <c r="L273" i="1"/>
  <c r="L269" i="1"/>
  <c r="L265" i="1"/>
  <c r="L261" i="1"/>
  <c r="L257" i="1"/>
  <c r="L253" i="1"/>
  <c r="L249" i="1"/>
  <c r="L245" i="1"/>
  <c r="L241" i="1"/>
  <c r="L237" i="1"/>
  <c r="L233" i="1"/>
  <c r="L484" i="1"/>
  <c r="L480" i="1"/>
  <c r="L476" i="1"/>
  <c r="L472" i="1"/>
  <c r="L468" i="1"/>
  <c r="L464" i="1"/>
  <c r="L460" i="1"/>
  <c r="L400" i="1"/>
  <c r="L396" i="1"/>
  <c r="L392" i="1"/>
  <c r="L388" i="1"/>
  <c r="L384" i="1"/>
  <c r="L380" i="1"/>
  <c r="L376" i="1"/>
  <c r="L372" i="1"/>
  <c r="L368" i="1"/>
  <c r="L364" i="1"/>
  <c r="L360" i="1"/>
  <c r="L356" i="1"/>
  <c r="L352" i="1"/>
  <c r="L348" i="1"/>
  <c r="L256" i="1"/>
  <c r="L252" i="1"/>
  <c r="L248" i="1"/>
  <c r="L244" i="1"/>
  <c r="L240" i="1"/>
  <c r="L236" i="1"/>
  <c r="L232" i="1"/>
  <c r="L228" i="1"/>
  <c r="L224" i="1"/>
  <c r="L220" i="1"/>
  <c r="L216" i="1"/>
  <c r="L212" i="1"/>
  <c r="L208" i="1"/>
  <c r="L204" i="1"/>
  <c r="L200" i="1"/>
  <c r="L196" i="1"/>
  <c r="L192" i="1"/>
  <c r="L188" i="1"/>
  <c r="L184" i="1"/>
  <c r="L180" i="1"/>
  <c r="L176" i="1"/>
  <c r="M956" i="1"/>
  <c r="M1072" i="1"/>
  <c r="M1068" i="1"/>
  <c r="M1056" i="1"/>
  <c r="M1048" i="1"/>
  <c r="M1044" i="1"/>
  <c r="M1036" i="1"/>
  <c r="M1028" i="1"/>
  <c r="M1020" i="1"/>
  <c r="M1012" i="1"/>
  <c r="M1004" i="1"/>
  <c r="M996" i="1"/>
  <c r="M988" i="1"/>
  <c r="M980" i="1"/>
  <c r="M972" i="1"/>
  <c r="M964" i="1"/>
  <c r="M1070" i="1"/>
  <c r="M1062" i="1"/>
  <c r="M1054" i="1"/>
  <c r="M1046" i="1"/>
  <c r="M1038" i="1"/>
  <c r="M1030" i="1"/>
  <c r="M1022" i="1"/>
  <c r="M1014" i="1"/>
  <c r="M1006" i="1"/>
  <c r="M998" i="1"/>
  <c r="M990" i="1"/>
  <c r="M982" i="1"/>
  <c r="M974" i="1"/>
  <c r="M966" i="1"/>
  <c r="M954" i="1"/>
  <c r="M1064" i="1"/>
  <c r="M1060" i="1"/>
  <c r="M1052" i="1"/>
  <c r="M1040" i="1"/>
  <c r="M1032" i="1"/>
  <c r="M1024" i="1"/>
  <c r="M1016" i="1"/>
  <c r="M1008" i="1"/>
  <c r="M1000" i="1"/>
  <c r="M992" i="1"/>
  <c r="M984" i="1"/>
  <c r="M976" i="1"/>
  <c r="M968" i="1"/>
  <c r="M960" i="1"/>
  <c r="M1066" i="1"/>
  <c r="M1058" i="1"/>
  <c r="M1050" i="1"/>
  <c r="M1042" i="1"/>
  <c r="M1034" i="1"/>
  <c r="M1026" i="1"/>
  <c r="M1018" i="1"/>
  <c r="M1010" i="1"/>
  <c r="M1002" i="1"/>
  <c r="M994" i="1"/>
  <c r="M986" i="1"/>
  <c r="M978" i="1"/>
  <c r="M970" i="1"/>
  <c r="M962" i="1"/>
  <c r="M958" i="1"/>
  <c r="M1073" i="1"/>
  <c r="M1069" i="1"/>
  <c r="M1065" i="1"/>
  <c r="M1061" i="1"/>
  <c r="M1057" i="1"/>
  <c r="M1053" i="1"/>
  <c r="M1049" i="1"/>
  <c r="M1045" i="1"/>
  <c r="M1041" i="1"/>
  <c r="M1037" i="1"/>
  <c r="M1033" i="1"/>
  <c r="M1029" i="1"/>
  <c r="M1025" i="1"/>
  <c r="M1021" i="1"/>
  <c r="M1017" i="1"/>
  <c r="M1013" i="1"/>
  <c r="M1009" i="1"/>
  <c r="M1005" i="1"/>
  <c r="M1001" i="1"/>
  <c r="M997" i="1"/>
  <c r="M993" i="1"/>
  <c r="M989" i="1"/>
  <c r="M985" i="1"/>
  <c r="M981" i="1"/>
  <c r="M977" i="1"/>
  <c r="M973" i="1"/>
  <c r="M969" i="1"/>
  <c r="M965" i="1"/>
  <c r="M961" i="1"/>
  <c r="M957" i="1"/>
  <c r="M1071" i="1"/>
  <c r="M1067" i="1"/>
  <c r="M1063" i="1"/>
  <c r="M1059" i="1"/>
  <c r="M1055" i="1"/>
  <c r="M1051" i="1"/>
  <c r="M1047" i="1"/>
  <c r="M1043" i="1"/>
  <c r="M1039" i="1"/>
  <c r="M1035" i="1"/>
  <c r="M1031" i="1"/>
  <c r="M1027" i="1"/>
  <c r="M1023" i="1"/>
  <c r="M1019" i="1"/>
  <c r="M1015" i="1"/>
  <c r="M1011" i="1"/>
  <c r="M1007" i="1"/>
  <c r="M1003" i="1"/>
  <c r="M999" i="1"/>
  <c r="M995" i="1"/>
  <c r="M991" i="1"/>
  <c r="M987" i="1"/>
  <c r="M983" i="1"/>
  <c r="M979" i="1"/>
  <c r="M975" i="1"/>
  <c r="M971" i="1"/>
  <c r="M967" i="1"/>
  <c r="M963" i="1"/>
  <c r="M959" i="1"/>
  <c r="M955" i="1"/>
  <c r="K3" i="1"/>
  <c r="L5" i="1" s="1"/>
  <c r="B28" i="71"/>
  <c r="B21" i="71"/>
  <c r="B29" i="71" s="1"/>
  <c r="L9" i="1"/>
  <c r="L13" i="1"/>
  <c r="L21" i="1"/>
  <c r="L29" i="1"/>
  <c r="L37" i="1"/>
  <c r="L41" i="1"/>
  <c r="L53" i="1"/>
  <c r="L57" i="1"/>
  <c r="L8" i="1"/>
  <c r="L32" i="1"/>
  <c r="L40" i="1"/>
  <c r="L56" i="1"/>
  <c r="L44" i="1"/>
  <c r="L4" i="1"/>
  <c r="L20" i="1"/>
  <c r="L36" i="1"/>
  <c r="L10" i="1"/>
  <c r="L26" i="1"/>
  <c r="L23" i="1"/>
  <c r="L19" i="1"/>
  <c r="L14" i="1"/>
  <c r="L46" i="1"/>
  <c r="L27" i="1"/>
  <c r="L51" i="1"/>
  <c r="L38" i="1"/>
  <c r="L54" i="1"/>
  <c r="L11" i="1"/>
  <c r="L39" i="1"/>
  <c r="M285" i="1"/>
  <c r="M497" i="1"/>
  <c r="M549" i="1"/>
  <c r="M533" i="1"/>
  <c r="M72" i="1"/>
  <c r="M201" i="1"/>
  <c r="M199" i="1"/>
  <c r="M166" i="1"/>
  <c r="M545" i="1"/>
  <c r="M490" i="1"/>
  <c r="M55" i="1"/>
  <c r="M278" i="1"/>
  <c r="M847" i="1"/>
  <c r="M813" i="1"/>
  <c r="M227" i="1"/>
  <c r="M194" i="1"/>
  <c r="M482" i="1"/>
  <c r="M721" i="1"/>
  <c r="M560" i="1"/>
  <c r="M3" i="1"/>
  <c r="M423" i="1"/>
  <c r="M569" i="1"/>
  <c r="M697" i="1"/>
  <c r="M907" i="1"/>
  <c r="M261" i="1"/>
  <c r="M585" i="1"/>
  <c r="M415" i="1"/>
  <c r="M867" i="1"/>
  <c r="M37" i="1"/>
  <c r="M209" i="1"/>
  <c r="M75" i="1"/>
  <c r="M139" i="1"/>
  <c r="M42" i="1"/>
  <c r="M106" i="1"/>
  <c r="M170" i="1"/>
  <c r="M362" i="1"/>
  <c r="M426" i="1"/>
  <c r="M359" i="1"/>
  <c r="M571" i="1"/>
  <c r="M699" i="1"/>
  <c r="M535" i="1"/>
  <c r="M28" i="1"/>
  <c r="M60" i="1"/>
  <c r="M92" i="1"/>
  <c r="M188" i="1"/>
  <c r="M149" i="1"/>
  <c r="M313" i="1"/>
  <c r="M393" i="1"/>
  <c r="M425" i="1"/>
  <c r="M457" i="1"/>
  <c r="M521" i="1"/>
  <c r="M553" i="1"/>
  <c r="M609" i="1"/>
  <c r="M737" i="1"/>
  <c r="M801" i="1"/>
  <c r="M865" i="1"/>
  <c r="M653" i="1"/>
  <c r="M757" i="1"/>
  <c r="M821" i="1"/>
  <c r="M949" i="1"/>
  <c r="M690" i="1"/>
  <c r="M750" i="1"/>
  <c r="M874" i="1"/>
  <c r="M934" i="1"/>
  <c r="M252" i="1"/>
  <c r="M380" i="1"/>
  <c r="M448" i="1"/>
  <c r="M512" i="1"/>
  <c r="M640" i="1"/>
  <c r="M704" i="1"/>
  <c r="M768" i="1"/>
  <c r="M892" i="1"/>
  <c r="M498" i="1"/>
  <c r="M530" i="1"/>
  <c r="M594" i="1"/>
  <c r="M626" i="1"/>
  <c r="M678" i="1"/>
  <c r="M814" i="1"/>
  <c r="M878" i="1"/>
  <c r="M946" i="1"/>
  <c r="M304" i="1"/>
  <c r="M368" i="1"/>
  <c r="M432" i="1"/>
  <c r="M556" i="1"/>
  <c r="M620" i="1"/>
  <c r="M684" i="1"/>
  <c r="M812" i="1"/>
  <c r="M880" i="1"/>
  <c r="M940" i="1"/>
  <c r="Q28" i="71"/>
  <c r="M25" i="1"/>
  <c r="M65" i="1"/>
  <c r="M105" i="1"/>
  <c r="M193" i="1"/>
  <c r="M241" i="1"/>
  <c r="M305" i="1"/>
  <c r="M63" i="1"/>
  <c r="M95" i="1"/>
  <c r="M127" i="1"/>
  <c r="M191" i="1"/>
  <c r="M223" i="1"/>
  <c r="M255" i="1"/>
  <c r="M30" i="1"/>
  <c r="M62" i="1"/>
  <c r="M94" i="1"/>
  <c r="M158" i="1"/>
  <c r="M190" i="1"/>
  <c r="M222" i="1"/>
  <c r="M286" i="1"/>
  <c r="M318" i="1"/>
  <c r="M350" i="1"/>
  <c r="M414" i="1"/>
  <c r="M446" i="1"/>
  <c r="M478" i="1"/>
  <c r="M347" i="1"/>
  <c r="M379" i="1"/>
  <c r="M427" i="1"/>
  <c r="M555" i="1"/>
  <c r="M591" i="1"/>
  <c r="M623" i="1"/>
  <c r="M687" i="1"/>
  <c r="M719" i="1"/>
  <c r="M495" i="1"/>
  <c r="M807" i="1"/>
  <c r="M871" i="1"/>
  <c r="M935" i="1"/>
  <c r="M64" i="1"/>
  <c r="M96" i="1"/>
  <c r="M128" i="1"/>
  <c r="M192" i="1"/>
  <c r="M181" i="1"/>
  <c r="M321" i="1"/>
  <c r="M397" i="1"/>
  <c r="M429" i="1"/>
  <c r="M461" i="1"/>
  <c r="M525" i="1"/>
  <c r="M557" i="1"/>
  <c r="M613" i="1"/>
  <c r="M745" i="1"/>
  <c r="M809" i="1"/>
  <c r="M873" i="1"/>
  <c r="M605" i="1"/>
  <c r="M733" i="1"/>
  <c r="M797" i="1"/>
  <c r="M925" i="1"/>
  <c r="M698" i="1"/>
  <c r="M758" i="1"/>
  <c r="M882" i="1"/>
  <c r="M942" i="1"/>
  <c r="M264" i="1"/>
  <c r="M388" i="1"/>
  <c r="M456" i="1"/>
  <c r="M520" i="1"/>
  <c r="M648" i="1"/>
  <c r="M712" i="1"/>
  <c r="M776" i="1"/>
  <c r="M904" i="1"/>
  <c r="M502" i="1"/>
  <c r="M534" i="1"/>
  <c r="M598" i="1"/>
  <c r="M634" i="1"/>
  <c r="M686" i="1"/>
  <c r="M822" i="1"/>
  <c r="M886" i="1"/>
  <c r="M216" i="1"/>
  <c r="M344" i="1"/>
  <c r="M408" i="1"/>
  <c r="M468" i="1"/>
  <c r="M596" i="1"/>
  <c r="M660" i="1"/>
  <c r="M724" i="1"/>
  <c r="M856" i="1"/>
  <c r="M916" i="1"/>
  <c r="L28" i="71"/>
  <c r="R28" i="71"/>
  <c r="K28" i="71"/>
  <c r="I28" i="71"/>
  <c r="M28" i="71"/>
  <c r="O28" i="71"/>
  <c r="S28" i="71"/>
  <c r="L632" i="1"/>
  <c r="L659" i="1"/>
  <c r="L631" i="1"/>
  <c r="L635" i="1"/>
  <c r="L638" i="1"/>
  <c r="L622" i="1"/>
  <c r="L661" i="1"/>
  <c r="L660" i="1"/>
  <c r="L628" i="1"/>
  <c r="L621" i="1"/>
  <c r="L629" i="1"/>
  <c r="M115" i="1"/>
  <c r="M338" i="1"/>
  <c r="M133" i="1"/>
  <c r="M114" i="1"/>
  <c r="M611" i="1"/>
  <c r="M5" i="1"/>
  <c r="M18" i="1"/>
  <c r="M403" i="1"/>
  <c r="M221" i="1"/>
  <c r="M178" i="1"/>
  <c r="M691" i="1"/>
  <c r="M872" i="1"/>
  <c r="M612" i="1"/>
  <c r="M360" i="1"/>
  <c r="M602" i="1"/>
  <c r="M912" i="1"/>
  <c r="M656" i="1"/>
  <c r="M950" i="1"/>
  <c r="M702" i="1"/>
  <c r="M781" i="1"/>
  <c r="M625" i="1"/>
  <c r="M465" i="1"/>
  <c r="M329" i="1"/>
  <c r="M4" i="1"/>
  <c r="M732" i="1"/>
  <c r="M476" i="1"/>
  <c r="M738" i="1"/>
  <c r="M558" i="1"/>
  <c r="M884" i="1"/>
  <c r="M372" i="1"/>
  <c r="M866" i="1"/>
  <c r="M901" i="1"/>
  <c r="M725" i="1"/>
  <c r="M517" i="1"/>
  <c r="M385" i="1"/>
  <c r="M56" i="1"/>
  <c r="M764" i="1"/>
  <c r="M508" i="1"/>
  <c r="M706" i="1"/>
  <c r="M542" i="1"/>
  <c r="M792" i="1"/>
  <c r="M280" i="1"/>
  <c r="M774" i="1"/>
  <c r="M869" i="1"/>
  <c r="M693" i="1"/>
  <c r="M501" i="1"/>
  <c r="L671" i="1"/>
  <c r="L643" i="1"/>
  <c r="L623" i="1"/>
  <c r="L670" i="1"/>
  <c r="L646" i="1"/>
  <c r="L630" i="1"/>
  <c r="L637" i="1"/>
  <c r="L668" i="1"/>
  <c r="L640" i="1"/>
  <c r="L620" i="1"/>
  <c r="L645" i="1"/>
  <c r="L617" i="1"/>
  <c r="M93" i="1"/>
  <c r="M82" i="1"/>
  <c r="M563" i="1"/>
  <c r="M944" i="1"/>
  <c r="M147" i="1"/>
  <c r="M374" i="1"/>
  <c r="M593" i="1"/>
  <c r="M51" i="1"/>
  <c r="M274" i="1"/>
  <c r="M815" i="1"/>
  <c r="M428" i="1"/>
  <c r="M211" i="1"/>
  <c r="M466" i="1"/>
  <c r="M281" i="1"/>
  <c r="M740" i="1"/>
  <c r="M484" i="1"/>
  <c r="M232" i="1"/>
  <c r="M694" i="1"/>
  <c r="M538" i="1"/>
  <c r="M784" i="1"/>
  <c r="M528" i="1"/>
  <c r="M272" i="1"/>
  <c r="M826" i="1"/>
  <c r="M909" i="1"/>
  <c r="M573" i="1"/>
  <c r="M753" i="1"/>
  <c r="M529" i="1"/>
  <c r="M401" i="1"/>
  <c r="M196" i="1"/>
  <c r="M68" i="1"/>
  <c r="M864" i="1"/>
  <c r="M604" i="1"/>
  <c r="M352" i="1"/>
  <c r="M870" i="1"/>
  <c r="M622" i="1"/>
  <c r="M494" i="1"/>
  <c r="M760" i="1"/>
  <c r="M504" i="1"/>
  <c r="M244" i="1"/>
  <c r="M742" i="1"/>
  <c r="M773" i="1"/>
  <c r="M857" i="1"/>
  <c r="M597" i="1"/>
  <c r="M453" i="1"/>
  <c r="M297" i="1"/>
  <c r="M120" i="1"/>
  <c r="M896" i="1"/>
  <c r="M636" i="1"/>
  <c r="M384" i="1"/>
  <c r="M838" i="1"/>
  <c r="M606" i="1"/>
  <c r="M920" i="1"/>
  <c r="M664" i="1"/>
  <c r="M404" i="1"/>
  <c r="M898" i="1"/>
  <c r="M650" i="1"/>
  <c r="M741" i="1"/>
  <c r="M825" i="1"/>
  <c r="M565" i="1"/>
  <c r="M437" i="1"/>
  <c r="M233" i="1"/>
  <c r="M104" i="1"/>
  <c r="M951" i="1"/>
  <c r="M527" i="1"/>
  <c r="M631" i="1"/>
  <c r="M443" i="1"/>
  <c r="M486" i="1"/>
  <c r="L663" i="1"/>
  <c r="L619" i="1"/>
  <c r="L662" i="1"/>
  <c r="L626" i="1"/>
  <c r="L649" i="1"/>
  <c r="L664" i="1"/>
  <c r="L665" i="1"/>
  <c r="M243" i="1"/>
  <c r="M749" i="1"/>
  <c r="M242" i="1"/>
  <c r="M179" i="1"/>
  <c r="M116" i="1"/>
  <c r="M50" i="1"/>
  <c r="M688" i="1"/>
  <c r="M804" i="1"/>
  <c r="M296" i="1"/>
  <c r="M570" i="1"/>
  <c r="M592" i="1"/>
  <c r="M890" i="1"/>
  <c r="M701" i="1"/>
  <c r="M561" i="1"/>
  <c r="M213" i="1"/>
  <c r="M928" i="1"/>
  <c r="M416" i="1"/>
  <c r="M670" i="1"/>
  <c r="M824" i="1"/>
  <c r="M308" i="1"/>
  <c r="M837" i="1"/>
  <c r="M661" i="1"/>
  <c r="M349" i="1"/>
  <c r="M24" i="1"/>
  <c r="M444" i="1"/>
  <c r="M642" i="1"/>
  <c r="M728" i="1"/>
  <c r="M212" i="1"/>
  <c r="M805" i="1"/>
  <c r="M629" i="1"/>
  <c r="M365" i="1"/>
  <c r="M136" i="1"/>
  <c r="M887" i="1"/>
  <c r="M695" i="1"/>
  <c r="M507" i="1"/>
  <c r="M454" i="1"/>
  <c r="M161" i="1"/>
  <c r="M39" i="1"/>
  <c r="M167" i="1"/>
  <c r="M6" i="1"/>
  <c r="M134" i="1"/>
  <c r="M262" i="1"/>
  <c r="M406" i="1"/>
  <c r="M383" i="1"/>
  <c r="M643" i="1"/>
  <c r="M791" i="1"/>
  <c r="M417" i="1"/>
  <c r="M941" i="1"/>
  <c r="M876" i="1"/>
  <c r="M452" i="1"/>
  <c r="M57" i="1"/>
  <c r="M225" i="1"/>
  <c r="M87" i="1"/>
  <c r="M215" i="1"/>
  <c r="M54" i="1"/>
  <c r="M182" i="1"/>
  <c r="M310" i="1"/>
  <c r="M470" i="1"/>
  <c r="M499" i="1"/>
  <c r="M707" i="1"/>
  <c r="M919" i="1"/>
  <c r="M481" i="1"/>
  <c r="M674" i="1"/>
  <c r="M752" i="1"/>
  <c r="M580" i="1"/>
  <c r="M113" i="1"/>
  <c r="M317" i="1"/>
  <c r="M131" i="1"/>
  <c r="M259" i="1"/>
  <c r="M98" i="1"/>
  <c r="M226" i="1"/>
  <c r="M354" i="1"/>
  <c r="M335" i="1"/>
  <c r="M583" i="1"/>
  <c r="L639" i="1"/>
  <c r="L633" i="1"/>
  <c r="L666" i="1"/>
  <c r="L647" i="1"/>
  <c r="L642" i="1"/>
  <c r="L636" i="1"/>
  <c r="L625" i="1"/>
  <c r="M772" i="1"/>
  <c r="M307" i="1"/>
  <c r="M19" i="1"/>
  <c r="M731" i="1"/>
  <c r="M418" i="1"/>
  <c r="M516" i="1"/>
  <c r="M49" i="1"/>
  <c r="M475" i="1"/>
  <c r="M548" i="1"/>
  <c r="M762" i="1"/>
  <c r="M844" i="1"/>
  <c r="M332" i="1"/>
  <c r="M630" i="1"/>
  <c r="M817" i="1"/>
  <c r="M433" i="1"/>
  <c r="M100" i="1"/>
  <c r="M668" i="1"/>
  <c r="M938" i="1"/>
  <c r="M526" i="1"/>
  <c r="M568" i="1"/>
  <c r="M802" i="1"/>
  <c r="M921" i="1"/>
  <c r="M485" i="1"/>
  <c r="M152" i="1"/>
  <c r="M700" i="1"/>
  <c r="M906" i="1"/>
  <c r="M510" i="1"/>
  <c r="M472" i="1"/>
  <c r="M710" i="1"/>
  <c r="M889" i="1"/>
  <c r="M469" i="1"/>
  <c r="M200" i="1"/>
  <c r="M40" i="1"/>
  <c r="M759" i="1"/>
  <c r="M599" i="1"/>
  <c r="M355" i="1"/>
  <c r="M390" i="1"/>
  <c r="M73" i="1"/>
  <c r="M257" i="1"/>
  <c r="M103" i="1"/>
  <c r="M231" i="1"/>
  <c r="M70" i="1"/>
  <c r="M198" i="1"/>
  <c r="M326" i="1"/>
  <c r="M303" i="1"/>
  <c r="M539" i="1"/>
  <c r="M723" i="1"/>
  <c r="M84" i="1"/>
  <c r="M785" i="1"/>
  <c r="M364" i="1"/>
  <c r="M618" i="1"/>
  <c r="M137" i="1"/>
  <c r="M23" i="1"/>
  <c r="M151" i="1"/>
  <c r="M279" i="1"/>
  <c r="M118" i="1"/>
  <c r="M246" i="1"/>
  <c r="M386" i="1"/>
  <c r="M367" i="1"/>
  <c r="M615" i="1"/>
  <c r="M751" i="1"/>
  <c r="M148" i="1"/>
  <c r="M913" i="1"/>
  <c r="M236" i="1"/>
  <c r="M730" i="1"/>
  <c r="M29" i="1"/>
  <c r="M197" i="1"/>
  <c r="M67" i="1"/>
  <c r="M195" i="1"/>
  <c r="M34" i="1"/>
  <c r="M162" i="1"/>
  <c r="M290" i="1"/>
  <c r="M438" i="1"/>
  <c r="M435" i="1"/>
  <c r="M675" i="1"/>
  <c r="M855" i="1"/>
  <c r="L618" i="1"/>
  <c r="M210" i="1"/>
  <c r="M351" i="1"/>
  <c r="M858" i="1"/>
  <c r="M83" i="1"/>
  <c r="M894" i="1"/>
  <c r="M464" i="1"/>
  <c r="M945" i="1"/>
  <c r="M164" i="1"/>
  <c r="M284" i="1"/>
  <c r="M696" i="1"/>
  <c r="M685" i="1"/>
  <c r="M117" i="1"/>
  <c r="M320" i="1"/>
  <c r="M600" i="1"/>
  <c r="M621" i="1"/>
  <c r="M333" i="1"/>
  <c r="M823" i="1"/>
  <c r="M387" i="1"/>
  <c r="M7" i="1"/>
  <c r="M263" i="1"/>
  <c r="M230" i="1"/>
  <c r="M339" i="1"/>
  <c r="M727" i="1"/>
  <c r="M637" i="1"/>
  <c r="M862" i="1"/>
  <c r="M97" i="1"/>
  <c r="M119" i="1"/>
  <c r="M86" i="1"/>
  <c r="M342" i="1"/>
  <c r="M579" i="1"/>
  <c r="M20" i="1"/>
  <c r="M918" i="1"/>
  <c r="M840" i="1"/>
  <c r="M35" i="1"/>
  <c r="M291" i="1"/>
  <c r="M258" i="1"/>
  <c r="M371" i="1"/>
  <c r="M503" i="1"/>
  <c r="M180" i="1"/>
  <c r="M877" i="1"/>
  <c r="M816" i="1"/>
  <c r="M644" i="1"/>
  <c r="M77" i="1"/>
  <c r="M229" i="1"/>
  <c r="M487" i="1"/>
  <c r="M373" i="1"/>
  <c r="M601" i="1"/>
  <c r="M729" i="1"/>
  <c r="M795" i="1"/>
  <c r="M859" i="1"/>
  <c r="M923" i="1"/>
  <c r="M455" i="1"/>
  <c r="M713" i="1"/>
  <c r="M649" i="1"/>
  <c r="M543" i="1"/>
  <c r="M617" i="1"/>
  <c r="M931" i="1"/>
  <c r="M771" i="1"/>
  <c r="M61" i="1"/>
  <c r="M145" i="1"/>
  <c r="M237" i="1"/>
  <c r="M27" i="1"/>
  <c r="M91" i="1"/>
  <c r="M155" i="1"/>
  <c r="M219" i="1"/>
  <c r="M283" i="1"/>
  <c r="M58" i="1"/>
  <c r="M122" i="1"/>
  <c r="M186" i="1"/>
  <c r="M250" i="1"/>
  <c r="M314" i="1"/>
  <c r="M378" i="1"/>
  <c r="M442" i="1"/>
  <c r="M311" i="1"/>
  <c r="M375" i="1"/>
  <c r="M483" i="1"/>
  <c r="M587" i="1"/>
  <c r="M651" i="1"/>
  <c r="M715" i="1"/>
  <c r="M735" i="1"/>
  <c r="L627" i="1"/>
  <c r="L672" i="1"/>
  <c r="M439" i="1"/>
  <c r="M930" i="1"/>
  <c r="M177" i="1"/>
  <c r="M306" i="1"/>
  <c r="M936" i="1"/>
  <c r="M638" i="1"/>
  <c r="M204" i="1"/>
  <c r="M689" i="1"/>
  <c r="M36" i="1"/>
  <c r="M806" i="1"/>
  <c r="M436" i="1"/>
  <c r="M793" i="1"/>
  <c r="M88" i="1"/>
  <c r="M770" i="1"/>
  <c r="M340" i="1"/>
  <c r="M761" i="1"/>
  <c r="M168" i="1"/>
  <c r="M399" i="1"/>
  <c r="M323" i="1"/>
  <c r="M33" i="1"/>
  <c r="M71" i="1"/>
  <c r="M38" i="1"/>
  <c r="M294" i="1"/>
  <c r="M467" i="1"/>
  <c r="M879" i="1"/>
  <c r="M798" i="1"/>
  <c r="M708" i="1"/>
  <c r="M185" i="1"/>
  <c r="M183" i="1"/>
  <c r="M150" i="1"/>
  <c r="M434" i="1"/>
  <c r="M659" i="1"/>
  <c r="M345" i="1"/>
  <c r="M496" i="1"/>
  <c r="M69" i="1"/>
  <c r="M99" i="1"/>
  <c r="M66" i="1"/>
  <c r="M322" i="1"/>
  <c r="M531" i="1"/>
  <c r="M783" i="1"/>
  <c r="M381" i="1"/>
  <c r="M734" i="1"/>
  <c r="M586" i="1"/>
  <c r="M900" i="1"/>
  <c r="M205" i="1"/>
  <c r="M293" i="1"/>
  <c r="M551" i="1"/>
  <c r="M447" i="1"/>
  <c r="M633" i="1"/>
  <c r="M747" i="1"/>
  <c r="M811" i="1"/>
  <c r="M875" i="1"/>
  <c r="M939" i="1"/>
  <c r="M519" i="1"/>
  <c r="M787" i="1"/>
  <c r="M755" i="1"/>
  <c r="M681" i="1"/>
  <c r="M739" i="1"/>
  <c r="M479" i="1"/>
  <c r="M899" i="1"/>
  <c r="M81" i="1"/>
  <c r="M165" i="1"/>
  <c r="M269" i="1"/>
  <c r="M43" i="1"/>
  <c r="M107" i="1"/>
  <c r="M171" i="1"/>
  <c r="M235" i="1"/>
  <c r="M10" i="1"/>
  <c r="M74" i="1"/>
  <c r="M138" i="1"/>
  <c r="M202" i="1"/>
  <c r="M266" i="1"/>
  <c r="M330" i="1"/>
  <c r="M394" i="1"/>
  <c r="M458" i="1"/>
  <c r="M327" i="1"/>
  <c r="M391" i="1"/>
  <c r="M515" i="1"/>
  <c r="M603" i="1"/>
  <c r="M667" i="1"/>
  <c r="M407" i="1"/>
  <c r="M767" i="1"/>
  <c r="M895" i="1"/>
  <c r="L644" i="1"/>
  <c r="M948" i="1"/>
  <c r="M820" i="1"/>
  <c r="M692" i="1"/>
  <c r="M564" i="1"/>
  <c r="M440" i="1"/>
  <c r="M312" i="1"/>
  <c r="M922" i="1"/>
  <c r="M786" i="1"/>
  <c r="M654" i="1"/>
  <c r="M582" i="1"/>
  <c r="M518" i="1"/>
  <c r="M868" i="1"/>
  <c r="M744" i="1"/>
  <c r="M616" i="1"/>
  <c r="M488" i="1"/>
  <c r="M356" i="1"/>
  <c r="M228" i="1"/>
  <c r="M850" i="1"/>
  <c r="M726" i="1"/>
  <c r="M893" i="1"/>
  <c r="M765" i="1"/>
  <c r="M325" i="1"/>
  <c r="M841" i="1"/>
  <c r="M709" i="1"/>
  <c r="M581" i="1"/>
  <c r="M509" i="1"/>
  <c r="M445" i="1"/>
  <c r="M377" i="1"/>
  <c r="M265" i="1"/>
  <c r="M176" i="1"/>
  <c r="M112" i="1"/>
  <c r="M48" i="1"/>
  <c r="M903" i="1"/>
  <c r="M775" i="1"/>
  <c r="M431" i="1"/>
  <c r="M671" i="1"/>
  <c r="M607" i="1"/>
  <c r="M523" i="1"/>
  <c r="M395" i="1"/>
  <c r="M331" i="1"/>
  <c r="M462" i="1"/>
  <c r="M398" i="1"/>
  <c r="M334" i="1"/>
  <c r="M270" i="1"/>
  <c r="M206" i="1"/>
  <c r="M142" i="1"/>
  <c r="M78" i="1"/>
  <c r="M14" i="1"/>
  <c r="M239" i="1"/>
  <c r="M175" i="1"/>
  <c r="M111" i="1"/>
  <c r="M47" i="1"/>
  <c r="M273" i="1"/>
  <c r="M169" i="1"/>
  <c r="M89" i="1"/>
  <c r="M908" i="1"/>
  <c r="M780" i="1"/>
  <c r="M652" i="1"/>
  <c r="M524" i="1"/>
  <c r="M400" i="1"/>
  <c r="M268" i="1"/>
  <c r="M914" i="1"/>
  <c r="M778" i="1"/>
  <c r="M646" i="1"/>
  <c r="M578" i="1"/>
  <c r="M514" i="1"/>
  <c r="M860" i="1"/>
  <c r="M736" i="1"/>
  <c r="M608" i="1"/>
  <c r="M480" i="1"/>
  <c r="M348" i="1"/>
  <c r="M220" i="1"/>
  <c r="M842" i="1"/>
  <c r="M718" i="1"/>
  <c r="M917" i="1"/>
  <c r="M789" i="1"/>
  <c r="M589" i="1"/>
  <c r="M833" i="1"/>
  <c r="M705" i="1"/>
  <c r="M577" i="1"/>
  <c r="M505" i="1"/>
  <c r="M441" i="1"/>
  <c r="M369" i="1"/>
  <c r="M249" i="1"/>
  <c r="M172" i="1"/>
  <c r="M108" i="1"/>
  <c r="M44" i="1"/>
  <c r="M863" i="1"/>
  <c r="M471" i="1"/>
  <c r="M619" i="1"/>
  <c r="M419" i="1"/>
  <c r="M474" i="1"/>
  <c r="M346" i="1"/>
  <c r="M218" i="1"/>
  <c r="M90" i="1"/>
  <c r="M251" i="1"/>
  <c r="M123" i="1"/>
  <c r="M301" i="1"/>
  <c r="M101" i="1"/>
  <c r="M883" i="1"/>
  <c r="M835" i="1"/>
  <c r="M851" i="1"/>
  <c r="M45" i="1"/>
  <c r="M827" i="1"/>
  <c r="M665" i="1"/>
  <c r="M13" i="1"/>
  <c r="M277" i="1"/>
  <c r="M794" i="1"/>
  <c r="M513" i="1"/>
  <c r="M627" i="1"/>
  <c r="M130" i="1"/>
  <c r="M157" i="1"/>
  <c r="M657" i="1"/>
  <c r="M319" i="1"/>
  <c r="M247" i="1"/>
  <c r="M85" i="1"/>
  <c r="M370" i="1"/>
  <c r="M135" i="1"/>
  <c r="M358" i="1"/>
  <c r="M8" i="1"/>
  <c r="M933" i="1"/>
  <c r="M572" i="1"/>
  <c r="M682" i="1"/>
  <c r="M540" i="1"/>
  <c r="M845" i="1"/>
  <c r="M424" i="1"/>
  <c r="M911" i="1"/>
  <c r="M647" i="1"/>
  <c r="L669" i="1"/>
  <c r="L648" i="1"/>
  <c r="M834" i="1"/>
  <c r="M832" i="1"/>
  <c r="M926" i="1"/>
  <c r="M796" i="1"/>
  <c r="M766" i="1"/>
  <c r="M676" i="1"/>
  <c r="M146" i="1"/>
  <c r="M275" i="1"/>
  <c r="L634" i="1"/>
  <c r="M888" i="1"/>
  <c r="M756" i="1"/>
  <c r="M628" i="1"/>
  <c r="M500" i="1"/>
  <c r="M376" i="1"/>
  <c r="M248" i="1"/>
  <c r="M854" i="1"/>
  <c r="M722" i="1"/>
  <c r="M614" i="1"/>
  <c r="M550" i="1"/>
  <c r="M932" i="1"/>
  <c r="M808" i="1"/>
  <c r="M680" i="1"/>
  <c r="M552" i="1"/>
  <c r="M420" i="1"/>
  <c r="M292" i="1"/>
  <c r="M910" i="1"/>
  <c r="M790" i="1"/>
  <c r="M666" i="1"/>
  <c r="M829" i="1"/>
  <c r="M669" i="1"/>
  <c r="M905" i="1"/>
  <c r="M777" i="1"/>
  <c r="M645" i="1"/>
  <c r="M541" i="1"/>
  <c r="M477" i="1"/>
  <c r="M413" i="1"/>
  <c r="M341" i="1"/>
  <c r="M53" i="1"/>
  <c r="M144" i="1"/>
  <c r="M80" i="1"/>
  <c r="M16" i="1"/>
  <c r="M839" i="1"/>
  <c r="M559" i="1"/>
  <c r="M703" i="1"/>
  <c r="M639" i="1"/>
  <c r="M575" i="1"/>
  <c r="M459" i="1"/>
  <c r="M363" i="1"/>
  <c r="M299" i="1"/>
  <c r="M430" i="1"/>
  <c r="M366" i="1"/>
  <c r="M302" i="1"/>
  <c r="M238" i="1"/>
  <c r="M174" i="1"/>
  <c r="M110" i="1"/>
  <c r="M46" i="1"/>
  <c r="M271" i="1"/>
  <c r="M207" i="1"/>
  <c r="M143" i="1"/>
  <c r="M79" i="1"/>
  <c r="M15" i="1"/>
  <c r="M217" i="1"/>
  <c r="M129" i="1"/>
  <c r="M41" i="1"/>
  <c r="M848" i="1"/>
  <c r="M716" i="1"/>
  <c r="M588" i="1"/>
  <c r="M460" i="1"/>
  <c r="M336" i="1"/>
  <c r="M208" i="1"/>
  <c r="M846" i="1"/>
  <c r="M714" i="1"/>
  <c r="M610" i="1"/>
  <c r="M546" i="1"/>
  <c r="M924" i="1"/>
  <c r="M800" i="1"/>
  <c r="M672" i="1"/>
  <c r="M544" i="1"/>
  <c r="M412" i="1"/>
  <c r="M288" i="1"/>
  <c r="M902" i="1"/>
  <c r="M782" i="1"/>
  <c r="M658" i="1"/>
  <c r="M853" i="1"/>
  <c r="M717" i="1"/>
  <c r="M897" i="1"/>
  <c r="M769" i="1"/>
  <c r="M641" i="1"/>
  <c r="M537" i="1"/>
  <c r="M473" i="1"/>
  <c r="M409" i="1"/>
  <c r="M337" i="1"/>
  <c r="M21" i="1"/>
  <c r="M140" i="1"/>
  <c r="M76" i="1"/>
  <c r="M12" i="1"/>
  <c r="M799" i="1"/>
  <c r="M683" i="1"/>
  <c r="M547" i="1"/>
  <c r="M343" i="1"/>
  <c r="M410" i="1"/>
  <c r="M282" i="1"/>
  <c r="M154" i="1"/>
  <c r="M26" i="1"/>
  <c r="M187" i="1"/>
  <c r="M59" i="1"/>
  <c r="M189" i="1"/>
  <c r="M17" i="1"/>
  <c r="M803" i="1"/>
  <c r="M819" i="1"/>
  <c r="M309" i="1"/>
  <c r="M891" i="1"/>
  <c r="M763" i="1"/>
  <c r="M511" i="1"/>
  <c r="M173" i="1"/>
  <c r="M300" i="1"/>
  <c r="M943" i="1"/>
  <c r="M402" i="1"/>
  <c r="M163" i="1"/>
  <c r="M554" i="1"/>
  <c r="M463" i="1"/>
  <c r="M214" i="1"/>
  <c r="M289" i="1"/>
  <c r="M624" i="1"/>
  <c r="M595" i="1"/>
  <c r="M102" i="1"/>
  <c r="M121" i="1"/>
  <c r="M567" i="1"/>
  <c r="M405" i="1"/>
  <c r="M852" i="1"/>
  <c r="M421" i="1"/>
  <c r="M952" i="1"/>
  <c r="M361" i="1"/>
  <c r="M720" i="1"/>
  <c r="M662" i="1"/>
  <c r="L650" i="1"/>
  <c r="V23" i="4"/>
  <c r="U23" i="4"/>
  <c r="E35" i="4"/>
  <c r="K29" i="4"/>
  <c r="V17" i="4"/>
  <c r="K11" i="4"/>
  <c r="O11" i="4"/>
  <c r="S35" i="4"/>
  <c r="S5" i="4"/>
  <c r="C29" i="4"/>
  <c r="L23" i="4"/>
  <c r="L17" i="4"/>
  <c r="N11" i="4"/>
  <c r="G23" i="4"/>
  <c r="W35" i="4"/>
  <c r="D23" i="4"/>
  <c r="F17" i="4"/>
  <c r="G11" i="4"/>
  <c r="E5" i="4"/>
  <c r="I29" i="4"/>
  <c r="J23" i="4"/>
  <c r="L35" i="4"/>
  <c r="M29" i="4"/>
  <c r="P35" i="4"/>
  <c r="Q5" i="4"/>
  <c r="R23" i="4"/>
  <c r="U5" i="4"/>
  <c r="W17" i="4"/>
  <c r="W29" i="4"/>
  <c r="H11" i="4"/>
  <c r="N23" i="4"/>
  <c r="O17" i="4"/>
  <c r="P11" i="4"/>
  <c r="Q29" i="4"/>
  <c r="S11" i="4"/>
  <c r="I5" i="4"/>
  <c r="N5" i="4"/>
  <c r="J5" i="4"/>
  <c r="R5" i="4"/>
  <c r="D5" i="4"/>
  <c r="C5" i="4"/>
  <c r="F29" i="4"/>
  <c r="S29" i="4"/>
  <c r="D29" i="4"/>
  <c r="R29" i="4"/>
  <c r="J29" i="4"/>
  <c r="E29" i="4"/>
  <c r="F35" i="4"/>
  <c r="H5" i="4"/>
  <c r="L5" i="4"/>
  <c r="P29" i="4"/>
  <c r="R17" i="4"/>
  <c r="V5" i="4"/>
  <c r="W5" i="4"/>
  <c r="P17" i="4"/>
  <c r="O23" i="4"/>
  <c r="M11" i="4"/>
  <c r="O5" i="4"/>
  <c r="G29" i="4"/>
  <c r="L29" i="4"/>
  <c r="E23" i="4"/>
  <c r="D17" i="4"/>
  <c r="E11" i="4"/>
  <c r="C35" i="4"/>
  <c r="F5" i="4"/>
  <c r="J11" i="4"/>
  <c r="J35" i="4"/>
  <c r="O29" i="4"/>
  <c r="Q17" i="4"/>
  <c r="R35" i="4"/>
  <c r="U17" i="4"/>
  <c r="V29" i="4"/>
  <c r="G35" i="4"/>
  <c r="D35" i="4"/>
  <c r="I35" i="4"/>
  <c r="O35" i="4"/>
  <c r="H35" i="4"/>
  <c r="K17" i="4"/>
  <c r="L11" i="4"/>
  <c r="M5" i="4"/>
  <c r="S17" i="4"/>
  <c r="V11" i="4"/>
  <c r="U11" i="4"/>
  <c r="F11" i="4"/>
  <c r="I23" i="4"/>
  <c r="W11" i="4"/>
  <c r="P23" i="4"/>
  <c r="E17" i="4"/>
  <c r="G5" i="4"/>
  <c r="H29" i="4"/>
  <c r="P5" i="4"/>
  <c r="Q23" i="4"/>
  <c r="I11" i="4"/>
  <c r="U29" i="4"/>
  <c r="N17" i="4"/>
  <c r="M23" i="4"/>
  <c r="J17" i="4"/>
  <c r="K35" i="4"/>
  <c r="H23" i="4"/>
  <c r="N29" i="4"/>
  <c r="K5" i="4"/>
  <c r="C23" i="4"/>
  <c r="C17" i="4"/>
  <c r="C11" i="4"/>
  <c r="M35" i="4"/>
  <c r="D11" i="4"/>
  <c r="Q11" i="4"/>
  <c r="V35" i="4"/>
  <c r="G17" i="4"/>
  <c r="R11" i="4"/>
  <c r="F23" i="4"/>
  <c r="N35" i="4"/>
  <c r="I17" i="4"/>
  <c r="M17" i="4"/>
  <c r="K23" i="4"/>
  <c r="H17" i="4"/>
  <c r="S23" i="4"/>
  <c r="Q35" i="4"/>
  <c r="M953" i="1" l="1"/>
  <c r="M536" i="1"/>
  <c r="M256" i="1"/>
  <c r="M184" i="1"/>
  <c r="M389" i="1"/>
  <c r="M632" i="1"/>
  <c r="M224" i="1"/>
  <c r="M132" i="1"/>
  <c r="M881" i="1"/>
  <c r="M396" i="1"/>
  <c r="M830" i="1"/>
  <c r="M522" i="1"/>
  <c r="M849" i="1"/>
  <c r="M260" i="1"/>
  <c r="M449" i="1"/>
  <c r="M788" i="1"/>
  <c r="M532" i="1"/>
  <c r="M276" i="1"/>
  <c r="M754" i="1"/>
  <c r="M566" i="1"/>
  <c r="M836" i="1"/>
  <c r="M584" i="1"/>
  <c r="M324" i="1"/>
  <c r="M818" i="1"/>
  <c r="M861" i="1"/>
  <c r="M937" i="1"/>
  <c r="M677" i="1"/>
  <c r="M493" i="1"/>
  <c r="M357" i="1"/>
  <c r="M160" i="1"/>
  <c r="M32" i="1"/>
  <c r="M743" i="1"/>
  <c r="M655" i="1"/>
  <c r="M491" i="1"/>
  <c r="M315" i="1"/>
  <c r="M382" i="1"/>
  <c r="M254" i="1"/>
  <c r="M126" i="1"/>
  <c r="M287" i="1"/>
  <c r="M159" i="1"/>
  <c r="M31" i="1"/>
  <c r="M153" i="1"/>
  <c r="M748" i="1"/>
  <c r="M492" i="1"/>
  <c r="M240" i="1"/>
  <c r="M746" i="1"/>
  <c r="M562" i="1"/>
  <c r="M828" i="1"/>
  <c r="M576" i="1"/>
  <c r="M316" i="1"/>
  <c r="M810" i="1"/>
  <c r="M885" i="1"/>
  <c r="M929" i="1"/>
  <c r="M673" i="1"/>
  <c r="M489" i="1"/>
  <c r="M353" i="1"/>
  <c r="M156" i="1"/>
  <c r="M831" i="1"/>
  <c r="M451" i="1"/>
  <c r="M298" i="1"/>
  <c r="M203" i="1"/>
  <c r="M125" i="1"/>
  <c r="M947" i="1"/>
  <c r="M779" i="1"/>
  <c r="M109" i="1"/>
  <c r="M52" i="1"/>
  <c r="M328" i="1"/>
  <c r="M22" i="1"/>
  <c r="M679" i="1"/>
  <c r="M663" i="1"/>
  <c r="M590" i="1"/>
  <c r="L15" i="1"/>
  <c r="L6" i="1"/>
  <c r="L30" i="1"/>
  <c r="L58" i="1"/>
  <c r="L52" i="1"/>
  <c r="L12" i="1"/>
  <c r="L24" i="1"/>
  <c r="L45" i="1"/>
  <c r="L25" i="1"/>
  <c r="E4" i="71"/>
  <c r="C39" i="4"/>
  <c r="T39" i="4"/>
  <c r="F4" i="71"/>
  <c r="L50" i="1"/>
  <c r="L17" i="1"/>
  <c r="L33" i="1"/>
  <c r="L49" i="1"/>
  <c r="L16" i="1"/>
  <c r="L48" i="1"/>
  <c r="L3" i="1"/>
  <c r="L28" i="1"/>
  <c r="L42" i="1"/>
  <c r="L47" i="1"/>
  <c r="L31" i="1"/>
  <c r="L22" i="1"/>
  <c r="L55" i="1"/>
  <c r="M506" i="1"/>
  <c r="M574" i="1"/>
  <c r="M422" i="1"/>
  <c r="M450" i="1"/>
  <c r="M9" i="1"/>
  <c r="M411" i="1"/>
  <c r="M253" i="1"/>
  <c r="M711" i="1"/>
  <c r="M392" i="1"/>
  <c r="M245" i="1"/>
  <c r="M843" i="1"/>
  <c r="M915" i="1"/>
  <c r="M141" i="1"/>
  <c r="M11" i="1"/>
  <c r="M267" i="1"/>
  <c r="M234" i="1"/>
  <c r="M295" i="1"/>
  <c r="M635" i="1"/>
  <c r="M927" i="1"/>
  <c r="M124" i="1"/>
  <c r="L59" i="1"/>
  <c r="L43" i="1"/>
  <c r="L34" i="1"/>
  <c r="L35" i="1"/>
  <c r="L18" i="1"/>
  <c r="L7" i="1"/>
  <c r="L1028" i="1"/>
  <c r="L1024" i="1"/>
  <c r="L1016" i="1"/>
  <c r="L1018" i="1"/>
  <c r="L986" i="1"/>
  <c r="U39" i="4"/>
  <c r="L939" i="1"/>
  <c r="L931" i="1"/>
  <c r="L919" i="1"/>
  <c r="L915" i="1"/>
  <c r="L934" i="1"/>
  <c r="L910" i="1"/>
  <c r="L879" i="1"/>
  <c r="L528" i="1"/>
  <c r="L513" i="1"/>
  <c r="L515" i="1"/>
  <c r="L547" i="1"/>
  <c r="L511" i="1"/>
  <c r="L451" i="1"/>
  <c r="L432" i="1"/>
  <c r="L439" i="1"/>
  <c r="L411" i="1"/>
  <c r="L431" i="1"/>
  <c r="L407" i="1"/>
  <c r="L435" i="1"/>
  <c r="L383" i="1"/>
  <c r="L355" i="1"/>
  <c r="E10" i="71"/>
  <c r="G10" i="71" s="1"/>
  <c r="L1027" i="1"/>
  <c r="L1051" i="1"/>
  <c r="L1039" i="1"/>
  <c r="L1031" i="1"/>
  <c r="L1023" i="1"/>
  <c r="L1011" i="1"/>
  <c r="L1004" i="1"/>
  <c r="L895" i="1"/>
  <c r="L839" i="1"/>
  <c r="L835" i="1"/>
  <c r="L831" i="1"/>
  <c r="L823" i="1"/>
  <c r="L819" i="1"/>
  <c r="L741" i="1"/>
  <c r="L771" i="1"/>
  <c r="L747" i="1"/>
  <c r="L774" i="1"/>
  <c r="L758" i="1"/>
  <c r="L738" i="1"/>
  <c r="L767" i="1"/>
  <c r="F17" i="71"/>
  <c r="E15" i="71"/>
  <c r="G15" i="71" s="1"/>
  <c r="L543" i="1"/>
  <c r="L535" i="1"/>
  <c r="L39" i="4"/>
  <c r="F12" i="71"/>
  <c r="K39" i="4"/>
  <c r="L471" i="1"/>
  <c r="L467" i="1"/>
  <c r="L490" i="1"/>
  <c r="E12" i="71"/>
  <c r="G12" i="71" s="1"/>
  <c r="F10" i="71"/>
  <c r="L183" i="1"/>
  <c r="L123" i="1"/>
  <c r="F6" i="71"/>
  <c r="L151" i="1"/>
  <c r="L127" i="1"/>
  <c r="L168" i="1"/>
  <c r="L152" i="1"/>
  <c r="L91" i="1"/>
  <c r="L63" i="1"/>
  <c r="L110" i="1"/>
  <c r="L114" i="1"/>
  <c r="L82" i="1"/>
  <c r="L102" i="1"/>
  <c r="E5" i="71"/>
  <c r="G5" i="71" s="1"/>
  <c r="I8" i="4"/>
  <c r="I32" i="4"/>
  <c r="K8" i="4"/>
  <c r="K32" i="4"/>
  <c r="O29" i="71"/>
  <c r="S29" i="71"/>
  <c r="L995" i="1"/>
  <c r="L996" i="1"/>
  <c r="L1066" i="1"/>
  <c r="L1060" i="1"/>
  <c r="L1071" i="1"/>
  <c r="L1064" i="1"/>
  <c r="L1052" i="1"/>
  <c r="L1056" i="1"/>
  <c r="L1067" i="1"/>
  <c r="L1034" i="1"/>
  <c r="L886" i="1"/>
  <c r="L891" i="1"/>
  <c r="L887" i="1"/>
  <c r="L859" i="1"/>
  <c r="L858" i="1"/>
  <c r="L857" i="1"/>
  <c r="L871" i="1"/>
  <c r="L822" i="1"/>
  <c r="L803" i="1"/>
  <c r="L799" i="1"/>
  <c r="L798" i="1"/>
  <c r="L833" i="1"/>
  <c r="F16" i="71"/>
  <c r="E16" i="71"/>
  <c r="G16" i="71" s="1"/>
  <c r="O39" i="4"/>
  <c r="L712" i="1"/>
  <c r="L723" i="1"/>
  <c r="L715" i="1"/>
  <c r="L707" i="1"/>
  <c r="L679" i="1"/>
  <c r="L711" i="1"/>
  <c r="N39" i="4"/>
  <c r="L499" i="1"/>
  <c r="L491" i="1"/>
  <c r="L195" i="1"/>
  <c r="L198" i="1"/>
  <c r="D8" i="4"/>
  <c r="C8" i="4"/>
  <c r="D32" i="4"/>
  <c r="C32" i="4"/>
  <c r="D39" i="4"/>
  <c r="E26" i="4"/>
  <c r="L26" i="4"/>
  <c r="P26" i="4"/>
  <c r="D26" i="4"/>
  <c r="C26" i="4"/>
  <c r="H26" i="4"/>
  <c r="F14" i="4"/>
  <c r="F38" i="4"/>
  <c r="G26" i="4"/>
  <c r="L1008" i="1"/>
  <c r="L842" i="1"/>
  <c r="L902" i="1"/>
  <c r="L942" i="1"/>
  <c r="L974" i="1"/>
  <c r="L403" i="1"/>
  <c r="L695" i="1"/>
  <c r="L759" i="1"/>
  <c r="L875" i="1"/>
  <c r="L1072" i="1"/>
  <c r="E27" i="71"/>
  <c r="G27" i="71" s="1"/>
  <c r="V39" i="4"/>
  <c r="L983" i="1"/>
  <c r="L975" i="1"/>
  <c r="L959" i="1"/>
  <c r="L992" i="1"/>
  <c r="L987" i="1"/>
  <c r="L980" i="1"/>
  <c r="L958" i="1"/>
  <c r="L988" i="1"/>
  <c r="L979" i="1"/>
  <c r="L951" i="1"/>
  <c r="F20" i="71"/>
  <c r="L727" i="1"/>
  <c r="L703" i="1"/>
  <c r="L683" i="1"/>
  <c r="L656" i="1"/>
  <c r="L652" i="1"/>
  <c r="L545" i="1"/>
  <c r="L521" i="1"/>
  <c r="L332" i="1"/>
  <c r="L319" i="1"/>
  <c r="L295" i="1"/>
  <c r="L308" i="1"/>
  <c r="H39" i="4"/>
  <c r="L343" i="1"/>
  <c r="L267" i="1"/>
  <c r="L239" i="1"/>
  <c r="L284" i="1"/>
  <c r="L270" i="1"/>
  <c r="L234" i="1"/>
  <c r="F5" i="71"/>
  <c r="D14" i="4"/>
  <c r="D38" i="4"/>
  <c r="H8" i="4"/>
  <c r="H32" i="4"/>
  <c r="L8" i="4"/>
  <c r="L32" i="4"/>
  <c r="P8" i="4"/>
  <c r="P32" i="4"/>
  <c r="Q20" i="4"/>
  <c r="R8" i="4"/>
  <c r="R32" i="4"/>
  <c r="S20" i="4"/>
  <c r="Q29" i="71"/>
  <c r="L512" i="1"/>
  <c r="L399" i="1"/>
  <c r="L395" i="1"/>
  <c r="L205" i="1"/>
  <c r="F7" i="71"/>
  <c r="L115" i="1"/>
  <c r="L107" i="1"/>
  <c r="E20" i="4"/>
  <c r="F8" i="4"/>
  <c r="F32" i="4"/>
  <c r="G20" i="4"/>
  <c r="I26" i="4"/>
  <c r="J14" i="4"/>
  <c r="J38" i="4"/>
  <c r="K26" i="4"/>
  <c r="M8" i="4"/>
  <c r="M32" i="4"/>
  <c r="N20" i="4"/>
  <c r="O8" i="4"/>
  <c r="O32" i="4"/>
  <c r="Q14" i="4"/>
  <c r="Q38" i="4"/>
  <c r="R26" i="4"/>
  <c r="S14" i="4"/>
  <c r="S38" i="4"/>
  <c r="K29" i="71"/>
  <c r="E17" i="71"/>
  <c r="G17" i="71" s="1"/>
  <c r="L653" i="1"/>
  <c r="W26" i="4"/>
  <c r="P14" i="4"/>
  <c r="C20" i="4"/>
  <c r="D20" i="4"/>
  <c r="P38" i="4"/>
  <c r="L390" i="1"/>
  <c r="L1010" i="1"/>
  <c r="L366" i="1"/>
  <c r="L351" i="1"/>
  <c r="L375" i="1"/>
  <c r="L739" i="1"/>
  <c r="L763" i="1"/>
  <c r="L855" i="1"/>
  <c r="L1007" i="1"/>
  <c r="L1068" i="1"/>
  <c r="L1040" i="1"/>
  <c r="L1000" i="1"/>
  <c r="L984" i="1"/>
  <c r="L881" i="1"/>
  <c r="R39" i="4"/>
  <c r="F19" i="71"/>
  <c r="L779" i="1"/>
  <c r="L724" i="1"/>
  <c r="L667" i="1"/>
  <c r="L655" i="1"/>
  <c r="L651" i="1"/>
  <c r="L555" i="1"/>
  <c r="L552" i="1"/>
  <c r="L382" i="1"/>
  <c r="L350" i="1"/>
  <c r="L339" i="1"/>
  <c r="F9" i="71"/>
  <c r="L283" i="1"/>
  <c r="L275" i="1"/>
  <c r="L251" i="1"/>
  <c r="L133" i="1"/>
  <c r="L86" i="1"/>
  <c r="E14" i="4"/>
  <c r="E38" i="4"/>
  <c r="F26" i="4"/>
  <c r="G14" i="4"/>
  <c r="G38" i="4"/>
  <c r="I20" i="4"/>
  <c r="J8" i="4"/>
  <c r="J32" i="4"/>
  <c r="K20" i="4"/>
  <c r="M26" i="4"/>
  <c r="N14" i="4"/>
  <c r="N38" i="4"/>
  <c r="O26" i="4"/>
  <c r="Q8" i="4"/>
  <c r="Q32" i="4"/>
  <c r="R20" i="4"/>
  <c r="S8" i="4"/>
  <c r="S32" i="4"/>
  <c r="H21" i="71"/>
  <c r="H29" i="71" s="1"/>
  <c r="L21" i="71"/>
  <c r="L29" i="71" s="1"/>
  <c r="P21" i="71"/>
  <c r="P29" i="71" s="1"/>
  <c r="E19" i="71"/>
  <c r="G19" i="71" s="1"/>
  <c r="L657" i="1"/>
  <c r="L14" i="4"/>
  <c r="L38" i="4"/>
  <c r="F27" i="71"/>
  <c r="L1036" i="1"/>
  <c r="F26" i="71"/>
  <c r="L960" i="1"/>
  <c r="F18" i="71"/>
  <c r="L681" i="1"/>
  <c r="L658" i="1"/>
  <c r="L654" i="1"/>
  <c r="L544" i="1"/>
  <c r="L536" i="1"/>
  <c r="F13" i="71"/>
  <c r="E13" i="71"/>
  <c r="G13" i="71" s="1"/>
  <c r="L475" i="1"/>
  <c r="L459" i="1"/>
  <c r="F11" i="71"/>
  <c r="E8" i="71"/>
  <c r="G8" i="71" s="1"/>
  <c r="L227" i="1"/>
  <c r="L223" i="1"/>
  <c r="L215" i="1"/>
  <c r="E6" i="71"/>
  <c r="G6" i="71" s="1"/>
  <c r="E8" i="4"/>
  <c r="E32" i="4"/>
  <c r="F20" i="4"/>
  <c r="G8" i="4"/>
  <c r="G32" i="4"/>
  <c r="I14" i="4"/>
  <c r="I38" i="4"/>
  <c r="J26" i="4"/>
  <c r="K14" i="4"/>
  <c r="K38" i="4"/>
  <c r="M20" i="4"/>
  <c r="N8" i="4"/>
  <c r="N32" i="4"/>
  <c r="O20" i="4"/>
  <c r="Q26" i="4"/>
  <c r="R14" i="4"/>
  <c r="R38" i="4"/>
  <c r="S26" i="4"/>
  <c r="I29" i="71"/>
  <c r="M29" i="71"/>
  <c r="H14" i="4"/>
  <c r="L20" i="4"/>
  <c r="H38" i="4"/>
  <c r="J21" i="71"/>
  <c r="J29" i="71" s="1"/>
  <c r="N21" i="71"/>
  <c r="N29" i="71" s="1"/>
  <c r="R21" i="71"/>
  <c r="R29" i="71" s="1"/>
  <c r="E26" i="71"/>
  <c r="G26" i="71" s="1"/>
  <c r="V26" i="4"/>
  <c r="C14" i="4"/>
  <c r="H20" i="4"/>
  <c r="C38" i="4"/>
  <c r="G39" i="4"/>
  <c r="S39" i="4"/>
  <c r="W39" i="4"/>
  <c r="W40" i="4" s="1"/>
  <c r="E7" i="71"/>
  <c r="G7" i="71" s="1"/>
  <c r="E9" i="71"/>
  <c r="G9" i="71" s="1"/>
  <c r="E11" i="71"/>
  <c r="G11" i="71" s="1"/>
  <c r="F15" i="71"/>
  <c r="E25" i="71"/>
  <c r="F39" i="4"/>
  <c r="J39" i="4"/>
  <c r="X39" i="4"/>
  <c r="E14" i="71"/>
  <c r="G14" i="71" s="1"/>
  <c r="E18" i="71"/>
  <c r="G18" i="71" s="1"/>
  <c r="E20" i="71"/>
  <c r="G20" i="71" s="1"/>
  <c r="F25" i="71"/>
  <c r="F28" i="71" s="1"/>
  <c r="E39" i="4"/>
  <c r="I39" i="4"/>
  <c r="M39" i="4"/>
  <c r="Q39" i="4"/>
  <c r="Q40" i="4" s="1"/>
  <c r="R40" i="4" l="1"/>
  <c r="J40" i="4"/>
  <c r="S40" i="4"/>
  <c r="N40" i="4"/>
  <c r="O40" i="4"/>
  <c r="L40" i="4"/>
  <c r="F21" i="71"/>
  <c r="F29" i="71" s="1"/>
  <c r="G40" i="4"/>
  <c r="K40" i="4"/>
  <c r="C40" i="4"/>
  <c r="P40" i="4"/>
  <c r="H40" i="4"/>
  <c r="D40" i="4"/>
  <c r="M40" i="4"/>
  <c r="I40" i="4"/>
  <c r="F40" i="4"/>
  <c r="E40" i="4"/>
  <c r="G25" i="71"/>
  <c r="E28" i="71"/>
  <c r="G28" i="71" s="1"/>
  <c r="V40" i="4"/>
  <c r="U40" i="4"/>
  <c r="G4" i="71"/>
  <c r="E21" i="71"/>
  <c r="G21" i="71" l="1"/>
  <c r="G29" i="71" s="1"/>
  <c r="E29" i="71"/>
</calcChain>
</file>

<file path=xl/sharedStrings.xml><?xml version="1.0" encoding="utf-8"?>
<sst xmlns="http://schemas.openxmlformats.org/spreadsheetml/2006/main" count="16078" uniqueCount="3442">
  <si>
    <t>总分</t>
  </si>
  <si>
    <t>借读</t>
  </si>
  <si>
    <t>语文</t>
    <phoneticPr fontId="2" type="noConversion"/>
  </si>
  <si>
    <t>数学</t>
    <phoneticPr fontId="2" type="noConversion"/>
  </si>
  <si>
    <t>英语</t>
    <phoneticPr fontId="2" type="noConversion"/>
  </si>
  <si>
    <t>班级排名</t>
    <phoneticPr fontId="2" type="noConversion"/>
  </si>
  <si>
    <t>年级排名</t>
    <phoneticPr fontId="2" type="noConversion"/>
  </si>
  <si>
    <t>语文
/
150</t>
    <phoneticPr fontId="2" type="noConversion"/>
  </si>
  <si>
    <t>科目</t>
    <phoneticPr fontId="2" type="noConversion"/>
  </si>
  <si>
    <t>数学
/
150</t>
    <phoneticPr fontId="2" type="noConversion"/>
  </si>
  <si>
    <t>英语
/
150</t>
    <phoneticPr fontId="2" type="noConversion"/>
  </si>
  <si>
    <t>总分平均分</t>
    <phoneticPr fontId="2" type="noConversion"/>
  </si>
  <si>
    <t>总分排名</t>
    <phoneticPr fontId="2" type="noConversion"/>
  </si>
  <si>
    <t>班级</t>
  </si>
  <si>
    <t>考号</t>
  </si>
  <si>
    <t>姓名</t>
  </si>
  <si>
    <t>A+</t>
  </si>
  <si>
    <t>A</t>
  </si>
  <si>
    <t>班别</t>
  </si>
  <si>
    <t>平均分</t>
  </si>
  <si>
    <t>优秀率</t>
  </si>
  <si>
    <t>及格率</t>
  </si>
  <si>
    <t>语文</t>
  </si>
  <si>
    <t>数学</t>
  </si>
  <si>
    <t>英语</t>
  </si>
  <si>
    <t>化学</t>
  </si>
  <si>
    <t>任课教师</t>
    <phoneticPr fontId="2" type="noConversion"/>
  </si>
  <si>
    <t>各班名次</t>
    <phoneticPr fontId="2" type="noConversion"/>
  </si>
  <si>
    <t>物理</t>
    <phoneticPr fontId="2" type="noConversion"/>
  </si>
  <si>
    <t>生物</t>
  </si>
  <si>
    <t>总分</t>
    <phoneticPr fontId="2" type="noConversion"/>
  </si>
  <si>
    <t>排名</t>
    <phoneticPr fontId="2" type="noConversion"/>
  </si>
  <si>
    <t>物理</t>
  </si>
  <si>
    <t/>
  </si>
  <si>
    <t>历史</t>
  </si>
  <si>
    <t>地理</t>
  </si>
  <si>
    <t>政治</t>
  </si>
  <si>
    <t>李志豪</t>
  </si>
  <si>
    <t>陈洁</t>
  </si>
  <si>
    <t>陈钰婷</t>
  </si>
  <si>
    <t>罗婷</t>
  </si>
  <si>
    <t>梁莹</t>
  </si>
  <si>
    <t>计划生</t>
  </si>
  <si>
    <t>市区公费</t>
  </si>
  <si>
    <t>市区外公费</t>
  </si>
  <si>
    <t>排名</t>
    <phoneticPr fontId="2" type="noConversion"/>
  </si>
  <si>
    <t>理科年级</t>
    <phoneticPr fontId="2" type="noConversion"/>
  </si>
  <si>
    <t>文科年级</t>
    <phoneticPr fontId="2" type="noConversion"/>
  </si>
  <si>
    <t>理科总分前6名班级</t>
  </si>
  <si>
    <t>文科总分前2名班级</t>
    <phoneticPr fontId="2" type="noConversion"/>
  </si>
  <si>
    <t>理科</t>
  </si>
  <si>
    <t>文科</t>
  </si>
  <si>
    <t>指标</t>
    <phoneticPr fontId="84" type="noConversion"/>
  </si>
  <si>
    <t>理科总分上线</t>
    <phoneticPr fontId="84" type="noConversion"/>
  </si>
  <si>
    <t>人数</t>
  </si>
  <si>
    <t>一本</t>
  </si>
  <si>
    <t>二本</t>
  </si>
  <si>
    <t>文科总分上线</t>
    <phoneticPr fontId="84" type="noConversion"/>
  </si>
  <si>
    <t>政治</t>
    <phoneticPr fontId="84" type="noConversion"/>
  </si>
  <si>
    <t>历史</t>
    <phoneticPr fontId="84" type="noConversion"/>
  </si>
  <si>
    <t>地理</t>
    <phoneticPr fontId="84" type="noConversion"/>
  </si>
  <si>
    <t>理科</t>
    <phoneticPr fontId="84" type="noConversion"/>
  </si>
  <si>
    <t>文科</t>
    <phoneticPr fontId="84" type="noConversion"/>
  </si>
  <si>
    <t>合计</t>
    <phoneticPr fontId="84" type="noConversion"/>
  </si>
  <si>
    <t>二本</t>
    <phoneticPr fontId="84" type="noConversion"/>
  </si>
  <si>
    <t>学号</t>
  </si>
  <si>
    <r>
      <t>物理/</t>
    </r>
    <r>
      <rPr>
        <sz val="12"/>
        <rFont val="宋体"/>
        <family val="3"/>
        <charset val="134"/>
      </rPr>
      <t>政治</t>
    </r>
    <phoneticPr fontId="2" type="noConversion"/>
  </si>
  <si>
    <r>
      <t>化学/</t>
    </r>
    <r>
      <rPr>
        <sz val="12"/>
        <rFont val="宋体"/>
        <family val="3"/>
        <charset val="134"/>
      </rPr>
      <t>历史</t>
    </r>
    <phoneticPr fontId="2" type="noConversion"/>
  </si>
  <si>
    <r>
      <t>生物/</t>
    </r>
    <r>
      <rPr>
        <sz val="12"/>
        <rFont val="宋体"/>
        <family val="3"/>
        <charset val="134"/>
      </rPr>
      <t>地理</t>
    </r>
    <phoneticPr fontId="2" type="noConversion"/>
  </si>
  <si>
    <t>转入</t>
  </si>
  <si>
    <r>
      <t>物理1</t>
    </r>
    <r>
      <rPr>
        <sz val="16"/>
        <rFont val="宋体"/>
        <family val="3"/>
        <charset val="134"/>
      </rPr>
      <t>1</t>
    </r>
    <r>
      <rPr>
        <sz val="16"/>
        <rFont val="宋体"/>
        <charset val="134"/>
      </rPr>
      <t>0/政治100</t>
    </r>
    <phoneticPr fontId="2" type="noConversion"/>
  </si>
  <si>
    <r>
      <t>化学1</t>
    </r>
    <r>
      <rPr>
        <sz val="16"/>
        <rFont val="宋体"/>
        <family val="3"/>
        <charset val="134"/>
      </rPr>
      <t>0</t>
    </r>
    <r>
      <rPr>
        <sz val="16"/>
        <rFont val="宋体"/>
        <charset val="134"/>
      </rPr>
      <t>0/历史100</t>
    </r>
    <phoneticPr fontId="2" type="noConversion"/>
  </si>
  <si>
    <t>学生成绩理科</t>
  </si>
  <si>
    <t>文理类型</t>
  </si>
  <si>
    <t>分数</t>
  </si>
  <si>
    <t>班名</t>
  </si>
  <si>
    <t>级名</t>
  </si>
  <si>
    <t>学生成绩文科</t>
  </si>
  <si>
    <t>月考总分</t>
    <phoneticPr fontId="2" type="noConversion"/>
  </si>
  <si>
    <t>生物90/地理100</t>
    <phoneticPr fontId="2" type="noConversion"/>
  </si>
  <si>
    <t>生物</t>
    <phoneticPr fontId="2" type="noConversion"/>
  </si>
  <si>
    <r>
      <t>理科总分前</t>
    </r>
    <r>
      <rPr>
        <sz val="12"/>
        <color indexed="10"/>
        <rFont val="宋体"/>
        <charset val="134"/>
      </rPr>
      <t>100名、单科前10名</t>
    </r>
    <phoneticPr fontId="2" type="noConversion"/>
  </si>
  <si>
    <t>181413</t>
  </si>
  <si>
    <t>范馨尹</t>
  </si>
  <si>
    <t>1814</t>
  </si>
  <si>
    <t>180934</t>
  </si>
  <si>
    <t>潘黄画意</t>
  </si>
  <si>
    <t>1809</t>
  </si>
  <si>
    <t>180912</t>
  </si>
  <si>
    <t>黄嘉雨</t>
  </si>
  <si>
    <t>180129</t>
  </si>
  <si>
    <t>李宗誉</t>
  </si>
  <si>
    <t>1801</t>
  </si>
  <si>
    <t>180950</t>
  </si>
  <si>
    <t>邹禹盈</t>
  </si>
  <si>
    <t>180215</t>
  </si>
  <si>
    <t>黎文垚</t>
  </si>
  <si>
    <t>1802</t>
  </si>
  <si>
    <t>180902</t>
  </si>
  <si>
    <t>陈冠帆</t>
  </si>
  <si>
    <t>180916</t>
  </si>
  <si>
    <t>纪奔妤</t>
  </si>
  <si>
    <t>180935</t>
  </si>
  <si>
    <t>潘铭真</t>
  </si>
  <si>
    <t>180510</t>
  </si>
  <si>
    <t>何俊锐</t>
  </si>
  <si>
    <t>1805</t>
  </si>
  <si>
    <t>180930</t>
  </si>
  <si>
    <t>刘志锋</t>
  </si>
  <si>
    <t>181348</t>
  </si>
  <si>
    <t>童劲光</t>
  </si>
  <si>
    <t>1813</t>
  </si>
  <si>
    <t>180241</t>
  </si>
  <si>
    <t>覃东健</t>
  </si>
  <si>
    <t>180917</t>
  </si>
  <si>
    <t>劳梓晋</t>
  </si>
  <si>
    <t>180922</t>
  </si>
  <si>
    <t>李泳恩</t>
  </si>
  <si>
    <t>180923</t>
  </si>
  <si>
    <t>梁安然</t>
  </si>
  <si>
    <t>181016</t>
  </si>
  <si>
    <t>江晓毅</t>
  </si>
  <si>
    <t>1810</t>
  </si>
  <si>
    <t>180905</t>
  </si>
  <si>
    <t>陈诗梦</t>
  </si>
  <si>
    <t>181041</t>
  </si>
  <si>
    <t>韦惠钰</t>
  </si>
  <si>
    <t>180907</t>
  </si>
  <si>
    <t>陈颖烨</t>
  </si>
  <si>
    <t>180925</t>
  </si>
  <si>
    <t>林聪</t>
  </si>
  <si>
    <t>180304</t>
  </si>
  <si>
    <t>陈柯维</t>
  </si>
  <si>
    <t>1803</t>
  </si>
  <si>
    <t>180911</t>
  </si>
  <si>
    <t>何子云</t>
  </si>
  <si>
    <t>180920</t>
  </si>
  <si>
    <t>李茜</t>
  </si>
  <si>
    <t>180906</t>
  </si>
  <si>
    <t>陈湘王莹</t>
  </si>
  <si>
    <t>180903</t>
  </si>
  <si>
    <t>陈佳强</t>
  </si>
  <si>
    <t>180206</t>
  </si>
  <si>
    <t>方仕锋</t>
  </si>
  <si>
    <t>180943</t>
  </si>
  <si>
    <t>吴聊</t>
  </si>
  <si>
    <t>180946</t>
  </si>
  <si>
    <t>徐莆钧</t>
  </si>
  <si>
    <t>180445</t>
  </si>
  <si>
    <t>石恩豪</t>
  </si>
  <si>
    <t>1804</t>
  </si>
  <si>
    <t>181425</t>
  </si>
  <si>
    <t>李坤明</t>
  </si>
  <si>
    <t>180514</t>
  </si>
  <si>
    <t>黄嘉丽</t>
  </si>
  <si>
    <t>180914</t>
  </si>
  <si>
    <t>黄耀萱</t>
  </si>
  <si>
    <t>181004</t>
  </si>
  <si>
    <t>陈兆康</t>
  </si>
  <si>
    <t>180140</t>
  </si>
  <si>
    <t>陆嘉杰</t>
  </si>
  <si>
    <t>180924</t>
  </si>
  <si>
    <t>梁嘉辉</t>
  </si>
  <si>
    <t>180948</t>
  </si>
  <si>
    <t>于奕星</t>
  </si>
  <si>
    <t>181414</t>
  </si>
  <si>
    <t>冯阳洋</t>
  </si>
  <si>
    <t>181232</t>
  </si>
  <si>
    <t>刘岳奇</t>
  </si>
  <si>
    <t>1812</t>
  </si>
  <si>
    <t>180814</t>
  </si>
  <si>
    <t>黄炜权</t>
  </si>
  <si>
    <t>1808</t>
  </si>
  <si>
    <t>180926</t>
  </si>
  <si>
    <t>林梅兰</t>
  </si>
  <si>
    <t>180913</t>
  </si>
  <si>
    <t>黄铭静</t>
  </si>
  <si>
    <t>180901</t>
  </si>
  <si>
    <t>蔡东辉</t>
  </si>
  <si>
    <t>181023</t>
  </si>
  <si>
    <t>陆嘉怡</t>
  </si>
  <si>
    <t>181003</t>
  </si>
  <si>
    <t>陈树清</t>
  </si>
  <si>
    <t>180928</t>
  </si>
  <si>
    <t>刘凯洋</t>
  </si>
  <si>
    <t>180811</t>
  </si>
  <si>
    <t>胡永华</t>
  </si>
  <si>
    <t>181209</t>
  </si>
  <si>
    <t>黄启正</t>
  </si>
  <si>
    <t>181208</t>
  </si>
  <si>
    <t>黄铭章</t>
  </si>
  <si>
    <t>180444</t>
  </si>
  <si>
    <t>潘思成</t>
  </si>
  <si>
    <t>180931</t>
  </si>
  <si>
    <t>卢奕希</t>
  </si>
  <si>
    <t>180305</t>
  </si>
  <si>
    <t>陈晓婷</t>
  </si>
  <si>
    <t>180535</t>
  </si>
  <si>
    <t>罗镇林</t>
  </si>
  <si>
    <t>181320</t>
  </si>
  <si>
    <t>黄治</t>
  </si>
  <si>
    <t>181728</t>
  </si>
  <si>
    <t>梁焜鹏</t>
  </si>
  <si>
    <t>1817</t>
  </si>
  <si>
    <t>180945</t>
  </si>
  <si>
    <t>冼嘉杏</t>
  </si>
  <si>
    <t>181737</t>
  </si>
  <si>
    <t>莫非凡</t>
  </si>
  <si>
    <t>181535</t>
  </si>
  <si>
    <t>宋昀芮</t>
  </si>
  <si>
    <t>1815</t>
  </si>
  <si>
    <t>181217</t>
  </si>
  <si>
    <t>李承儒</t>
  </si>
  <si>
    <t>180327</t>
  </si>
  <si>
    <t>廖子森</t>
  </si>
  <si>
    <t>180737</t>
  </si>
  <si>
    <t>潘尚</t>
  </si>
  <si>
    <t>1807</t>
  </si>
  <si>
    <t>180705</t>
  </si>
  <si>
    <t>陈彤</t>
  </si>
  <si>
    <t>180929</t>
  </si>
  <si>
    <t>刘炜寺</t>
  </si>
  <si>
    <t>180836</t>
  </si>
  <si>
    <t>麦安淇</t>
  </si>
  <si>
    <t>180102</t>
  </si>
  <si>
    <t>陈驰宇</t>
  </si>
  <si>
    <t>180528</t>
  </si>
  <si>
    <t>廖闻</t>
  </si>
  <si>
    <t>180429</t>
  </si>
  <si>
    <t>梁馨允</t>
  </si>
  <si>
    <t>180221</t>
  </si>
  <si>
    <t>李哲</t>
  </si>
  <si>
    <t>181048</t>
  </si>
  <si>
    <t>姚俊杰</t>
  </si>
  <si>
    <t>181034</t>
  </si>
  <si>
    <t>全海银</t>
  </si>
  <si>
    <t>181541</t>
  </si>
  <si>
    <t>吴钰婷</t>
  </si>
  <si>
    <t>181152</t>
  </si>
  <si>
    <t>姚舜宇</t>
  </si>
  <si>
    <t>1811</t>
  </si>
  <si>
    <t>181301</t>
  </si>
  <si>
    <t>陈朝阳</t>
  </si>
  <si>
    <t>181221</t>
  </si>
  <si>
    <t>李沁彤</t>
  </si>
  <si>
    <t>181723</t>
  </si>
  <si>
    <t>李炳坚</t>
  </si>
  <si>
    <t>180604</t>
  </si>
  <si>
    <t>陈海宇</t>
  </si>
  <si>
    <t>1806</t>
  </si>
  <si>
    <t>180220</t>
  </si>
  <si>
    <t>李舒婷</t>
  </si>
  <si>
    <t>181141</t>
  </si>
  <si>
    <t>苏文洁</t>
  </si>
  <si>
    <t>180244</t>
  </si>
  <si>
    <t>谭植文</t>
  </si>
  <si>
    <t>180741</t>
  </si>
  <si>
    <t>谭淳谦</t>
  </si>
  <si>
    <t>180938</t>
  </si>
  <si>
    <t>苏禹衡</t>
  </si>
  <si>
    <t>181134</t>
  </si>
  <si>
    <t>罗晓霖</t>
  </si>
  <si>
    <t>181735</t>
  </si>
  <si>
    <t>陆启俊</t>
  </si>
  <si>
    <t>181753</t>
  </si>
  <si>
    <t>禤春苹</t>
  </si>
  <si>
    <t>180932</t>
  </si>
  <si>
    <t>卢钰薇</t>
  </si>
  <si>
    <t>180306</t>
  </si>
  <si>
    <t>邓焕</t>
  </si>
  <si>
    <t>181150</t>
  </si>
  <si>
    <t>严方蔓</t>
  </si>
  <si>
    <t>180229</t>
  </si>
  <si>
    <t>刘湘念</t>
  </si>
  <si>
    <t>181026</t>
  </si>
  <si>
    <t>蒙鲡弘</t>
  </si>
  <si>
    <t>180642</t>
  </si>
  <si>
    <t>谢佳君</t>
  </si>
  <si>
    <t>180827</t>
  </si>
  <si>
    <t>梁栩源</t>
  </si>
  <si>
    <t>181103</t>
  </si>
  <si>
    <t>陈美朱</t>
  </si>
  <si>
    <t>180942</t>
  </si>
  <si>
    <t>文诗音</t>
  </si>
  <si>
    <t>180632</t>
  </si>
  <si>
    <t>莫一凡</t>
  </si>
  <si>
    <t>181751</t>
  </si>
  <si>
    <t>徐焱梅</t>
  </si>
  <si>
    <t>180908</t>
  </si>
  <si>
    <t>段亚豪</t>
  </si>
  <si>
    <t>180609</t>
  </si>
  <si>
    <t>程家瑶</t>
  </si>
  <si>
    <t>181311</t>
  </si>
  <si>
    <t>甘露露</t>
  </si>
  <si>
    <t>181602</t>
  </si>
  <si>
    <t>陈立儒</t>
  </si>
  <si>
    <t>1816</t>
  </si>
  <si>
    <t>180354</t>
  </si>
  <si>
    <t>郑元基</t>
  </si>
  <si>
    <t>180944</t>
  </si>
  <si>
    <t>吴依洋</t>
  </si>
  <si>
    <t>181013</t>
  </si>
  <si>
    <t>黄立锐</t>
  </si>
  <si>
    <t>181656</t>
  </si>
  <si>
    <t>祝敏华</t>
  </si>
  <si>
    <t>180712</t>
  </si>
  <si>
    <t>韩振宇</t>
  </si>
  <si>
    <t>180752</t>
  </si>
  <si>
    <t>钟棋</t>
  </si>
  <si>
    <t>180947</t>
  </si>
  <si>
    <t>杨浣镱</t>
  </si>
  <si>
    <t>180347</t>
  </si>
  <si>
    <t>韦贤延</t>
  </si>
  <si>
    <t>181050</t>
  </si>
  <si>
    <t>张颖欣</t>
  </si>
  <si>
    <t>181038</t>
  </si>
  <si>
    <t>谭芷潇</t>
  </si>
  <si>
    <t>180909</t>
  </si>
  <si>
    <t>段亚辉</t>
  </si>
  <si>
    <t>181051</t>
  </si>
  <si>
    <t>钟艺颀</t>
  </si>
  <si>
    <t>181313</t>
  </si>
  <si>
    <t>胡楷涛</t>
  </si>
  <si>
    <t>180605</t>
  </si>
  <si>
    <t>陈俊中</t>
  </si>
  <si>
    <t>180303</t>
  </si>
  <si>
    <t>陈俊宇</t>
  </si>
  <si>
    <t>181617</t>
  </si>
  <si>
    <t>赖伟业</t>
  </si>
  <si>
    <t>181631</t>
  </si>
  <si>
    <t>莫晓怡</t>
  </si>
  <si>
    <t>181323</t>
  </si>
  <si>
    <t>黎伊雯</t>
  </si>
  <si>
    <t>180330</t>
  </si>
  <si>
    <t>刘隽炫</t>
  </si>
  <si>
    <t>181033</t>
  </si>
  <si>
    <t>秦子锐</t>
  </si>
  <si>
    <t>181042</t>
  </si>
  <si>
    <t>吴海梅</t>
  </si>
  <si>
    <t>181112</t>
  </si>
  <si>
    <t>黄光铧</t>
  </si>
  <si>
    <t>180921</t>
  </si>
  <si>
    <t>180742</t>
  </si>
  <si>
    <t>唐荣霞</t>
  </si>
  <si>
    <t>180802</t>
  </si>
  <si>
    <t>陈泓策</t>
  </si>
  <si>
    <t>180419</t>
  </si>
  <si>
    <t>黎桂玫</t>
  </si>
  <si>
    <t>180516</t>
  </si>
  <si>
    <t>黄思帆</t>
  </si>
  <si>
    <t>180339</t>
  </si>
  <si>
    <t>盘盈</t>
  </si>
  <si>
    <t>180546</t>
  </si>
  <si>
    <t>谭至昕</t>
  </si>
  <si>
    <t>180755</t>
  </si>
  <si>
    <t>钟雪晴</t>
  </si>
  <si>
    <t>181252</t>
  </si>
  <si>
    <t>严弋孜</t>
  </si>
  <si>
    <t>181718</t>
  </si>
  <si>
    <t>柯璐璐</t>
  </si>
  <si>
    <t>180751</t>
  </si>
  <si>
    <t>钟德植</t>
  </si>
  <si>
    <t>180615</t>
  </si>
  <si>
    <t>黄嘉杰</t>
  </si>
  <si>
    <t>181047</t>
  </si>
  <si>
    <t>杨上林</t>
  </si>
  <si>
    <t>180933</t>
  </si>
  <si>
    <t>莫梅兰</t>
  </si>
  <si>
    <t>180805</t>
  </si>
  <si>
    <t>崔子裕</t>
  </si>
  <si>
    <t>180918</t>
  </si>
  <si>
    <t>黎予君</t>
  </si>
  <si>
    <t>180949</t>
  </si>
  <si>
    <t>祝文敏</t>
  </si>
  <si>
    <t>180328</t>
  </si>
  <si>
    <t>林骏</t>
  </si>
  <si>
    <t>181045</t>
  </si>
  <si>
    <t>徐洋</t>
  </si>
  <si>
    <t>181247</t>
  </si>
  <si>
    <t>谭砚桁</t>
  </si>
  <si>
    <t>181447</t>
  </si>
  <si>
    <t>王芯榆</t>
  </si>
  <si>
    <t>181031</t>
  </si>
  <si>
    <t>潘彦妤</t>
  </si>
  <si>
    <t>181032</t>
  </si>
  <si>
    <t>彭钧健</t>
  </si>
  <si>
    <t>180813</t>
  </si>
  <si>
    <t>黄淑银</t>
  </si>
  <si>
    <t>181046</t>
  </si>
  <si>
    <t>严冬仪</t>
  </si>
  <si>
    <t>180253</t>
  </si>
  <si>
    <t>张敬培</t>
  </si>
  <si>
    <t>180345</t>
  </si>
  <si>
    <t>陶芝莹</t>
  </si>
  <si>
    <t>180438</t>
  </si>
  <si>
    <t>卢过</t>
  </si>
  <si>
    <t>181438</t>
  </si>
  <si>
    <t>蒙婕</t>
  </si>
  <si>
    <t>181615</t>
  </si>
  <si>
    <t>霍宗尧</t>
  </si>
  <si>
    <t>180424</t>
  </si>
  <si>
    <t>李琪琪</t>
  </si>
  <si>
    <t>180940</t>
  </si>
  <si>
    <t>唐振为</t>
  </si>
  <si>
    <t>181012</t>
  </si>
  <si>
    <t>侯承峰</t>
  </si>
  <si>
    <t>180815</t>
  </si>
  <si>
    <t>黄艺萍</t>
  </si>
  <si>
    <t>180910</t>
  </si>
  <si>
    <t>郭维凌</t>
  </si>
  <si>
    <t>181402</t>
  </si>
  <si>
    <t>曾心阳</t>
  </si>
  <si>
    <t>181732</t>
  </si>
  <si>
    <t>林天锦</t>
  </si>
  <si>
    <t>180203</t>
  </si>
  <si>
    <t>陈伊铭</t>
  </si>
  <si>
    <t>180630</t>
  </si>
  <si>
    <t>梅天傲</t>
  </si>
  <si>
    <t>180256</t>
  </si>
  <si>
    <t>朱昊军</t>
  </si>
  <si>
    <t>181649</t>
  </si>
  <si>
    <t>张铠熙</t>
  </si>
  <si>
    <t>181552</t>
  </si>
  <si>
    <t>周子媛</t>
  </si>
  <si>
    <t>181128</t>
  </si>
  <si>
    <t>刘铠越</t>
  </si>
  <si>
    <t>181743</t>
  </si>
  <si>
    <t>全丽燃</t>
  </si>
  <si>
    <t>180228</t>
  </si>
  <si>
    <t>林倩宇</t>
  </si>
  <si>
    <t>180649</t>
  </si>
  <si>
    <t>严炜材</t>
  </si>
  <si>
    <t>181422</t>
  </si>
  <si>
    <t>黎运骏</t>
  </si>
  <si>
    <t>181534</t>
  </si>
  <si>
    <t>宋清逸</t>
  </si>
  <si>
    <t>181228</t>
  </si>
  <si>
    <t>梁祖霖</t>
  </si>
  <si>
    <t>180753</t>
  </si>
  <si>
    <t>钟巧纯</t>
  </si>
  <si>
    <t>181043</t>
  </si>
  <si>
    <t>吴锴怡</t>
  </si>
  <si>
    <t>180608</t>
  </si>
  <si>
    <t>陈雨泉</t>
  </si>
  <si>
    <t>181533</t>
  </si>
  <si>
    <t>饶烨</t>
  </si>
  <si>
    <t>181710</t>
  </si>
  <si>
    <t>甘铭茵</t>
  </si>
  <si>
    <t>181553</t>
  </si>
  <si>
    <t>朱焕佳</t>
  </si>
  <si>
    <t>181040</t>
  </si>
  <si>
    <t>陀嘉杰</t>
  </si>
  <si>
    <t>180103</t>
  </si>
  <si>
    <t>陈冠林</t>
  </si>
  <si>
    <t>180356</t>
  </si>
  <si>
    <t>钟楚婷</t>
  </si>
  <si>
    <t>180529</t>
  </si>
  <si>
    <t>林福霖</t>
  </si>
  <si>
    <t>181001</t>
  </si>
  <si>
    <t>白林媚</t>
  </si>
  <si>
    <t>180941</t>
  </si>
  <si>
    <t>王健源</t>
  </si>
  <si>
    <t>181545</t>
  </si>
  <si>
    <t>易敏葶</t>
  </si>
  <si>
    <t>181213</t>
  </si>
  <si>
    <t>蒋弘杨</t>
  </si>
  <si>
    <t>181239</t>
  </si>
  <si>
    <t>潘黄诗晴</t>
  </si>
  <si>
    <t>181528</t>
  </si>
  <si>
    <t>蒙俊杰</t>
  </si>
  <si>
    <t>180803</t>
  </si>
  <si>
    <t>陈莉</t>
  </si>
  <si>
    <t>180904</t>
  </si>
  <si>
    <t>陈敏玲</t>
  </si>
  <si>
    <t>180106</t>
  </si>
  <si>
    <t>陈奕安</t>
  </si>
  <si>
    <t>181429</t>
  </si>
  <si>
    <t>梁绮</t>
  </si>
  <si>
    <t>181646</t>
  </si>
  <si>
    <t>杨泽森</t>
  </si>
  <si>
    <t>181254</t>
  </si>
  <si>
    <t>张芷言</t>
  </si>
  <si>
    <t>180927</t>
  </si>
  <si>
    <t>林鹏</t>
  </si>
  <si>
    <t>181020</t>
  </si>
  <si>
    <t>李映赋</t>
  </si>
  <si>
    <t>181335</t>
  </si>
  <si>
    <t>罗钰滢</t>
  </si>
  <si>
    <t>181420</t>
  </si>
  <si>
    <t>黄相潮</t>
  </si>
  <si>
    <t>181153</t>
  </si>
  <si>
    <t>于晓滢</t>
  </si>
  <si>
    <t>181744</t>
  </si>
  <si>
    <t>覃开拓</t>
  </si>
  <si>
    <t>180113</t>
  </si>
  <si>
    <t>胡宗兰</t>
  </si>
  <si>
    <t>180507</t>
  </si>
  <si>
    <t>邓泽琛</t>
  </si>
  <si>
    <t>180457</t>
  </si>
  <si>
    <t>植宝棋</t>
  </si>
  <si>
    <t>180506</t>
  </si>
  <si>
    <t>陈小康</t>
  </si>
  <si>
    <t>181629</t>
  </si>
  <si>
    <t>卢嘉盈</t>
  </si>
  <si>
    <t>180335</t>
  </si>
  <si>
    <t>莫玲芝</t>
  </si>
  <si>
    <t>181039</t>
  </si>
  <si>
    <t>唐昕妍</t>
  </si>
  <si>
    <t>180631</t>
  </si>
  <si>
    <t>莫沛钊</t>
  </si>
  <si>
    <t>180937</t>
  </si>
  <si>
    <t>宋昀逸</t>
  </si>
  <si>
    <t>181623</t>
  </si>
  <si>
    <t>梁家红</t>
  </si>
  <si>
    <t>181648</t>
  </si>
  <si>
    <t>俞权威</t>
  </si>
  <si>
    <t>181123</t>
  </si>
  <si>
    <t>梁文煜</t>
  </si>
  <si>
    <t>181430</t>
  </si>
  <si>
    <t>181536</t>
  </si>
  <si>
    <t>苏林鸿</t>
  </si>
  <si>
    <t>180735</t>
  </si>
  <si>
    <t>欧芷彤</t>
  </si>
  <si>
    <t>180442</t>
  </si>
  <si>
    <t>莫书迪</t>
  </si>
  <si>
    <t>180137</t>
  </si>
  <si>
    <t>林诗婷</t>
  </si>
  <si>
    <t>180301</t>
  </si>
  <si>
    <t>陈戈有</t>
  </si>
  <si>
    <t>181006</t>
  </si>
  <si>
    <t>戴泳杨</t>
  </si>
  <si>
    <t>181349</t>
  </si>
  <si>
    <t>冼和圣</t>
  </si>
  <si>
    <t>181347</t>
  </si>
  <si>
    <t>覃显棉</t>
  </si>
  <si>
    <t>181339</t>
  </si>
  <si>
    <t>莫澄仟</t>
  </si>
  <si>
    <t>180919</t>
  </si>
  <si>
    <t>李金媛</t>
  </si>
  <si>
    <t>180449</t>
  </si>
  <si>
    <t>唐火兰</t>
  </si>
  <si>
    <t>180341</t>
  </si>
  <si>
    <t>全炫梅</t>
  </si>
  <si>
    <t>180434</t>
  </si>
  <si>
    <t>林小琪</t>
  </si>
  <si>
    <t>181521</t>
  </si>
  <si>
    <t>李格格</t>
  </si>
  <si>
    <t>180613</t>
  </si>
  <si>
    <t>何裕幸</t>
  </si>
  <si>
    <t>181405</t>
  </si>
  <si>
    <t>陈杰锋</t>
  </si>
  <si>
    <t>181504</t>
  </si>
  <si>
    <t>陈嘉铧</t>
  </si>
  <si>
    <t>181730</t>
  </si>
  <si>
    <t>梁杏熙</t>
  </si>
  <si>
    <t>180351</t>
  </si>
  <si>
    <t>严嘉良</t>
  </si>
  <si>
    <t>180225</t>
  </si>
  <si>
    <t>梁婉蕾</t>
  </si>
  <si>
    <t>180157</t>
  </si>
  <si>
    <t>周兴铖</t>
  </si>
  <si>
    <t>180421</t>
  </si>
  <si>
    <t>李曾林</t>
  </si>
  <si>
    <t>181638</t>
  </si>
  <si>
    <t>王创鑫</t>
  </si>
  <si>
    <t>180350</t>
  </si>
  <si>
    <t>闫梓琪</t>
  </si>
  <si>
    <t>180139</t>
  </si>
  <si>
    <t>卢诗镘</t>
  </si>
  <si>
    <t>180246</t>
  </si>
  <si>
    <t>吴松岳</t>
  </si>
  <si>
    <t>180334</t>
  </si>
  <si>
    <t>麦旖钰</t>
  </si>
  <si>
    <t>180915</t>
  </si>
  <si>
    <t>黄榆媚</t>
  </si>
  <si>
    <t>180939</t>
  </si>
  <si>
    <t>覃美凤</t>
  </si>
  <si>
    <t>181015</t>
  </si>
  <si>
    <t>黄梓琦</t>
  </si>
  <si>
    <t>181049</t>
  </si>
  <si>
    <t>张少梅</t>
  </si>
  <si>
    <t>181155</t>
  </si>
  <si>
    <t>张莉</t>
  </si>
  <si>
    <t>181519</t>
  </si>
  <si>
    <t>黎琰</t>
  </si>
  <si>
    <t>180936</t>
  </si>
  <si>
    <t>庞思琳</t>
  </si>
  <si>
    <t>181546</t>
  </si>
  <si>
    <t>易子晴</t>
  </si>
  <si>
    <t>180420</t>
  </si>
  <si>
    <t>黎炫东</t>
  </si>
  <si>
    <t>180349</t>
  </si>
  <si>
    <t>吴烨铭</t>
  </si>
  <si>
    <t>180405</t>
  </si>
  <si>
    <t>郭钊宏</t>
  </si>
  <si>
    <t>180151</t>
  </si>
  <si>
    <t>肖博文</t>
  </si>
  <si>
    <t>181104</t>
  </si>
  <si>
    <t>陈潜</t>
  </si>
  <si>
    <t>180432</t>
  </si>
  <si>
    <t>廖卓喆</t>
  </si>
  <si>
    <t>180527</t>
  </si>
  <si>
    <t>廖柏潮</t>
  </si>
  <si>
    <t>181719</t>
  </si>
  <si>
    <t>赖伽瑜</t>
  </si>
  <si>
    <t>181237</t>
  </si>
  <si>
    <t>莫鑫华</t>
  </si>
  <si>
    <t>180344</t>
  </si>
  <si>
    <t>覃炜雯</t>
  </si>
  <si>
    <t>180123</t>
  </si>
  <si>
    <t>李媚</t>
  </si>
  <si>
    <t>181009</t>
  </si>
  <si>
    <t>甘镕清</t>
  </si>
  <si>
    <t>180734</t>
  </si>
  <si>
    <t>农镇涛</t>
  </si>
  <si>
    <t>181201</t>
  </si>
  <si>
    <t>陈纲圣</t>
  </si>
  <si>
    <t>181115</t>
  </si>
  <si>
    <t>黄琪琳</t>
  </si>
  <si>
    <t>181007</t>
  </si>
  <si>
    <t>董海婷</t>
  </si>
  <si>
    <t>180115</t>
  </si>
  <si>
    <t>黄嘉辉</t>
  </si>
  <si>
    <t>180313</t>
  </si>
  <si>
    <t>黄遗豪</t>
  </si>
  <si>
    <t>180404</t>
  </si>
  <si>
    <t>郭健骏</t>
  </si>
  <si>
    <t>180524</t>
  </si>
  <si>
    <t>李钰茹</t>
  </si>
  <si>
    <t>180454</t>
  </si>
  <si>
    <t>熊卓婷</t>
  </si>
  <si>
    <t>181330</t>
  </si>
  <si>
    <t>梁嘉怡</t>
  </si>
  <si>
    <t>181329</t>
  </si>
  <si>
    <t>梁楚雪</t>
  </si>
  <si>
    <t>181202</t>
  </si>
  <si>
    <t>陈虹</t>
  </si>
  <si>
    <t>180853</t>
  </si>
  <si>
    <t>钟沁卉</t>
  </si>
  <si>
    <t>181021</t>
  </si>
  <si>
    <t>梁筱晴</t>
  </si>
  <si>
    <t>181146</t>
  </si>
  <si>
    <t>冼煜杰</t>
  </si>
  <si>
    <t>181210</t>
  </si>
  <si>
    <t>黄泽滨</t>
  </si>
  <si>
    <t>180739</t>
  </si>
  <si>
    <t>苏宝怡</t>
  </si>
  <si>
    <t>181030</t>
  </si>
  <si>
    <t>潘锦聪</t>
  </si>
  <si>
    <t>181650</t>
  </si>
  <si>
    <t>张茜</t>
  </si>
  <si>
    <t>181537</t>
  </si>
  <si>
    <t>苏镟妃</t>
  </si>
  <si>
    <t>181131</t>
  </si>
  <si>
    <t>卢思如</t>
  </si>
  <si>
    <t>181027</t>
  </si>
  <si>
    <t>莫茜栩</t>
  </si>
  <si>
    <t>180825</t>
  </si>
  <si>
    <t>梁家诚</t>
  </si>
  <si>
    <t>180152</t>
  </si>
  <si>
    <t>谢链飞</t>
  </si>
  <si>
    <t>180448</t>
  </si>
  <si>
    <t>覃小珠</t>
  </si>
  <si>
    <t>181008</t>
  </si>
  <si>
    <t>冯宝贤</t>
  </si>
  <si>
    <t>181544</t>
  </si>
  <si>
    <t>叶锦丽</t>
  </si>
  <si>
    <t>181139</t>
  </si>
  <si>
    <t>邱钰艺</t>
  </si>
  <si>
    <t>180134</t>
  </si>
  <si>
    <t>林丹</t>
  </si>
  <si>
    <t>180412</t>
  </si>
  <si>
    <t>黄颖慧</t>
  </si>
  <si>
    <t>181014</t>
  </si>
  <si>
    <t>黄铟婷</t>
  </si>
  <si>
    <t>180637</t>
  </si>
  <si>
    <t>唐海萍</t>
  </si>
  <si>
    <t>180410</t>
  </si>
  <si>
    <t>黄青云</t>
  </si>
  <si>
    <t>180534</t>
  </si>
  <si>
    <t>卢通</t>
  </si>
  <si>
    <t>181337</t>
  </si>
  <si>
    <t>蒙晓桐</t>
  </si>
  <si>
    <t>181610</t>
  </si>
  <si>
    <t>胡沣</t>
  </si>
  <si>
    <t>181644</t>
  </si>
  <si>
    <t>严子辉</t>
  </si>
  <si>
    <t>180822</t>
  </si>
  <si>
    <t>李金亮</t>
  </si>
  <si>
    <t>181302</t>
  </si>
  <si>
    <t>陈佳言</t>
  </si>
  <si>
    <t>181754</t>
  </si>
  <si>
    <t>严诗敏</t>
  </si>
  <si>
    <t>181756</t>
  </si>
  <si>
    <t>朱昭雅</t>
  </si>
  <si>
    <t>181635</t>
  </si>
  <si>
    <t>覃俊熹</t>
  </si>
  <si>
    <t>181246</t>
  </si>
  <si>
    <t>谭学谦</t>
  </si>
  <si>
    <t>180443</t>
  </si>
  <si>
    <t>莫文祯</t>
  </si>
  <si>
    <t>180346</t>
  </si>
  <si>
    <t>韦仕轩</t>
  </si>
  <si>
    <t>180156</t>
  </si>
  <si>
    <t>钟秉桦</t>
  </si>
  <si>
    <t>181222</t>
  </si>
  <si>
    <t>李睿涵</t>
  </si>
  <si>
    <t>181207</t>
  </si>
  <si>
    <t>胡政民</t>
  </si>
  <si>
    <t>181525</t>
  </si>
  <si>
    <t>梁逸飞</t>
  </si>
  <si>
    <t>181421</t>
  </si>
  <si>
    <t>黎伊萍</t>
  </si>
  <si>
    <t>181450</t>
  </si>
  <si>
    <t>元俊宁</t>
  </si>
  <si>
    <t>180222</t>
  </si>
  <si>
    <t>180639</t>
  </si>
  <si>
    <t>魏秋纯</t>
  </si>
  <si>
    <t>180606</t>
  </si>
  <si>
    <t>陈玟杏</t>
  </si>
  <si>
    <t>180238</t>
  </si>
  <si>
    <t>聂士杰</t>
  </si>
  <si>
    <t>181514</t>
  </si>
  <si>
    <t>黄镓诺</t>
  </si>
  <si>
    <t>180401</t>
  </si>
  <si>
    <t>陈显明</t>
  </si>
  <si>
    <t>180812</t>
  </si>
  <si>
    <t>黄浩昌</t>
  </si>
  <si>
    <t>181036</t>
  </si>
  <si>
    <t>覃宝莹</t>
  </si>
  <si>
    <t>181116</t>
  </si>
  <si>
    <t>黄颖琪</t>
  </si>
  <si>
    <t>180625</t>
  </si>
  <si>
    <t>林洪正</t>
  </si>
  <si>
    <t>180411</t>
  </si>
  <si>
    <t>黄懿</t>
  </si>
  <si>
    <t>181157</t>
  </si>
  <si>
    <t>周雅婷</t>
  </si>
  <si>
    <t>181540</t>
  </si>
  <si>
    <t>吴金婵</t>
  </si>
  <si>
    <t>181619</t>
  </si>
  <si>
    <t>李达昊</t>
  </si>
  <si>
    <t>181621</t>
  </si>
  <si>
    <t>李沅桦</t>
  </si>
  <si>
    <t>181401</t>
  </si>
  <si>
    <t>蔡舒怡</t>
  </si>
  <si>
    <t>181411</t>
  </si>
  <si>
    <t>陈梓彬</t>
  </si>
  <si>
    <t>181445</t>
  </si>
  <si>
    <t>覃弘明</t>
  </si>
  <si>
    <t>180408</t>
  </si>
  <si>
    <t>胡起升</t>
  </si>
  <si>
    <t>180147</t>
  </si>
  <si>
    <t>区耀</t>
  </si>
  <si>
    <t>180323</t>
  </si>
  <si>
    <t>李树清</t>
  </si>
  <si>
    <t>181408</t>
  </si>
  <si>
    <t>陈瑞欣</t>
  </si>
  <si>
    <t>181351</t>
  </si>
  <si>
    <t>谢依桐</t>
  </si>
  <si>
    <t>181231</t>
  </si>
  <si>
    <t>刘筱祺</t>
  </si>
  <si>
    <t>181241</t>
  </si>
  <si>
    <t>潘晓霞</t>
  </si>
  <si>
    <t>181715</t>
  </si>
  <si>
    <t>黄栩</t>
  </si>
  <si>
    <t>180455</t>
  </si>
  <si>
    <t>叶政聪</t>
  </si>
  <si>
    <t>181107</t>
  </si>
  <si>
    <t>陈奕锴</t>
  </si>
  <si>
    <t>180702</t>
  </si>
  <si>
    <t>陈朝羽</t>
  </si>
  <si>
    <t>180724</t>
  </si>
  <si>
    <t>李无霜</t>
  </si>
  <si>
    <t>180414</t>
  </si>
  <si>
    <t>黄昱豪</t>
  </si>
  <si>
    <t>181641</t>
  </si>
  <si>
    <t>熊泰</t>
  </si>
  <si>
    <t>181124</t>
  </si>
  <si>
    <t>梁予淇</t>
  </si>
  <si>
    <t>181234</t>
  </si>
  <si>
    <t>罗炎</t>
  </si>
  <si>
    <t>181503</t>
  </si>
  <si>
    <t>陈鼎</t>
  </si>
  <si>
    <t>181538</t>
  </si>
  <si>
    <t>陶昕</t>
  </si>
  <si>
    <t>181110</t>
  </si>
  <si>
    <t>甘镇铭</t>
  </si>
  <si>
    <t>181025</t>
  </si>
  <si>
    <t>毛婷</t>
  </si>
  <si>
    <t>180441</t>
  </si>
  <si>
    <t>蒙培贤</t>
  </si>
  <si>
    <t>180316</t>
  </si>
  <si>
    <t>柯骏宇</t>
  </si>
  <si>
    <t>180252</t>
  </si>
  <si>
    <t>易思慧</t>
  </si>
  <si>
    <t>181127</t>
  </si>
  <si>
    <t>凌潇媚</t>
  </si>
  <si>
    <t>181630</t>
  </si>
  <si>
    <t>罗晓丽</t>
  </si>
  <si>
    <t>180415</t>
  </si>
  <si>
    <t>黄钰媚</t>
  </si>
  <si>
    <t>180513</t>
  </si>
  <si>
    <t>黄家棋</t>
  </si>
  <si>
    <t>181052</t>
  </si>
  <si>
    <t>朱紫柔</t>
  </si>
  <si>
    <t>180722</t>
  </si>
  <si>
    <t>黎沄</t>
  </si>
  <si>
    <t>180833</t>
  </si>
  <si>
    <t>罗楚梅</t>
  </si>
  <si>
    <t>181738</t>
  </si>
  <si>
    <t>聂金圣</t>
  </si>
  <si>
    <t>181620</t>
  </si>
  <si>
    <t>李健杨</t>
  </si>
  <si>
    <t>180839</t>
  </si>
  <si>
    <t>莫子杰</t>
  </si>
  <si>
    <t>180302</t>
  </si>
  <si>
    <t>陈家豪</t>
  </si>
  <si>
    <t>180249</t>
  </si>
  <si>
    <t>熊芊锦</t>
  </si>
  <si>
    <t>181608</t>
  </si>
  <si>
    <t>甘泽民</t>
  </si>
  <si>
    <t>181415</t>
  </si>
  <si>
    <t>韩俊杰</t>
  </si>
  <si>
    <t>180111</t>
  </si>
  <si>
    <t>何东泽</t>
  </si>
  <si>
    <t>180321</t>
  </si>
  <si>
    <t>李锦坤</t>
  </si>
  <si>
    <t>180326</t>
  </si>
  <si>
    <t>梁依琳</t>
  </si>
  <si>
    <t>180556</t>
  </si>
  <si>
    <t>周小坤</t>
  </si>
  <si>
    <t>181010</t>
  </si>
  <si>
    <t>郭奕伶</t>
  </si>
  <si>
    <t>181736</t>
  </si>
  <si>
    <t>陆舒婷</t>
  </si>
  <si>
    <t>181149</t>
  </si>
  <si>
    <t>徐钰钧</t>
  </si>
  <si>
    <t>181028</t>
  </si>
  <si>
    <t>莫栩妍</t>
  </si>
  <si>
    <t>180717</t>
  </si>
  <si>
    <t>黄栎程</t>
  </si>
  <si>
    <t>180255</t>
  </si>
  <si>
    <t>钟景妍</t>
  </si>
  <si>
    <t>180132</t>
  </si>
  <si>
    <t>梁炜蓥</t>
  </si>
  <si>
    <t>180332</t>
  </si>
  <si>
    <t>刘泽龙</t>
  </si>
  <si>
    <t>181346</t>
  </si>
  <si>
    <t>宋昀轩</t>
  </si>
  <si>
    <t>181522</t>
  </si>
  <si>
    <t>李海东</t>
  </si>
  <si>
    <t>180628</t>
  </si>
  <si>
    <t>罗格妙</t>
  </si>
  <si>
    <t>180846</t>
  </si>
  <si>
    <t>覃烯杨</t>
  </si>
  <si>
    <t>181243</t>
  </si>
  <si>
    <t>容锷苗</t>
  </si>
  <si>
    <t>181554</t>
  </si>
  <si>
    <t>朱嘉钊</t>
  </si>
  <si>
    <t>181446</t>
  </si>
  <si>
    <t>唐丽茗</t>
  </si>
  <si>
    <t>181712</t>
  </si>
  <si>
    <t>黄楚惠</t>
  </si>
  <si>
    <t>181005</t>
  </si>
  <si>
    <t>戴如晴</t>
  </si>
  <si>
    <t>180333</t>
  </si>
  <si>
    <t>陆源</t>
  </si>
  <si>
    <t>180125</t>
  </si>
  <si>
    <t>李星怡</t>
  </si>
  <si>
    <t>180201</t>
  </si>
  <si>
    <t>陈敏</t>
  </si>
  <si>
    <t>181547</t>
  </si>
  <si>
    <t>赵桂兰</t>
  </si>
  <si>
    <t>181242</t>
  </si>
  <si>
    <t>潘钰</t>
  </si>
  <si>
    <t>181319</t>
  </si>
  <si>
    <t>黄昭杰</t>
  </si>
  <si>
    <t>181532</t>
  </si>
  <si>
    <t>邱凡英</t>
  </si>
  <si>
    <t>181011</t>
  </si>
  <si>
    <t>何杏枝</t>
  </si>
  <si>
    <t>181029</t>
  </si>
  <si>
    <t>聂嘉榆</t>
  </si>
  <si>
    <t>180612</t>
  </si>
  <si>
    <t>郭磊</t>
  </si>
  <si>
    <t>180307</t>
  </si>
  <si>
    <t>冯茵榆</t>
  </si>
  <si>
    <t>181331</t>
  </si>
  <si>
    <t>梁怡菁</t>
  </si>
  <si>
    <t>181156</t>
  </si>
  <si>
    <t>郑然庭</t>
  </si>
  <si>
    <t>181713</t>
  </si>
  <si>
    <t>黄钧裕</t>
  </si>
  <si>
    <t>180239</t>
  </si>
  <si>
    <t>欧金兰</t>
  </si>
  <si>
    <t>180216</t>
  </si>
  <si>
    <t>黎鑫玲</t>
  </si>
  <si>
    <t>180743</t>
  </si>
  <si>
    <t>韦颖珊</t>
  </si>
  <si>
    <t>181019</t>
  </si>
  <si>
    <t>李秋琪</t>
  </si>
  <si>
    <t>180439</t>
  </si>
  <si>
    <t>罗汉</t>
  </si>
  <si>
    <t>180150</t>
  </si>
  <si>
    <t>伍枝林</t>
  </si>
  <si>
    <t>181037</t>
  </si>
  <si>
    <t>覃李莉</t>
  </si>
  <si>
    <t>181002</t>
  </si>
  <si>
    <t>曾永橦</t>
  </si>
  <si>
    <t>181518</t>
  </si>
  <si>
    <t>黎桂砚</t>
  </si>
  <si>
    <t>180138</t>
  </si>
  <si>
    <t>刘颍铭</t>
  </si>
  <si>
    <t>180509</t>
  </si>
  <si>
    <t>郭晓莉</t>
  </si>
  <si>
    <t>181114</t>
  </si>
  <si>
    <t>黄可莹</t>
  </si>
  <si>
    <t>181419</t>
  </si>
  <si>
    <t>黄舒敏</t>
  </si>
  <si>
    <t>181022</t>
  </si>
  <si>
    <t>刘海期</t>
  </si>
  <si>
    <t>180105</t>
  </si>
  <si>
    <t>陈晔</t>
  </si>
  <si>
    <t>181606</t>
  </si>
  <si>
    <t>邓文茵</t>
  </si>
  <si>
    <t>181136</t>
  </si>
  <si>
    <t>蒙奕全</t>
  </si>
  <si>
    <t>181227</t>
  </si>
  <si>
    <t>梁与雨</t>
  </si>
  <si>
    <t>181333</t>
  </si>
  <si>
    <t>罗钧铭</t>
  </si>
  <si>
    <t>181454</t>
  </si>
  <si>
    <t>钟雨君</t>
  </si>
  <si>
    <t>180627</t>
  </si>
  <si>
    <t>刘远达</t>
  </si>
  <si>
    <t>181106</t>
  </si>
  <si>
    <t>陈瑶瑶</t>
  </si>
  <si>
    <t>180234</t>
  </si>
  <si>
    <t>蒙煜轩</t>
  </si>
  <si>
    <t>180427</t>
  </si>
  <si>
    <t>梁家明</t>
  </si>
  <si>
    <t>181119</t>
  </si>
  <si>
    <t>李金峰</t>
  </si>
  <si>
    <t>181304</t>
  </si>
  <si>
    <t>陈洁怡</t>
  </si>
  <si>
    <t>180804</t>
  </si>
  <si>
    <t>陈诗柔</t>
  </si>
  <si>
    <t>180807</t>
  </si>
  <si>
    <t>邓仕超</t>
  </si>
  <si>
    <t>180652</t>
  </si>
  <si>
    <t>袁和兴</t>
  </si>
  <si>
    <t>180713</t>
  </si>
  <si>
    <t>何柳平</t>
  </si>
  <si>
    <t>180342</t>
  </si>
  <si>
    <t>施炜杰</t>
  </si>
  <si>
    <t>180117</t>
  </si>
  <si>
    <t>黄清枫</t>
  </si>
  <si>
    <t>180620</t>
  </si>
  <si>
    <t>江夏献</t>
  </si>
  <si>
    <t>181622</t>
  </si>
  <si>
    <t>李镇科</t>
  </si>
  <si>
    <t>181245</t>
  </si>
  <si>
    <t>覃奕霖</t>
  </si>
  <si>
    <t>180850</t>
  </si>
  <si>
    <t>贤雪玲</t>
  </si>
  <si>
    <t>180331</t>
  </si>
  <si>
    <t>刘铭琳</t>
  </si>
  <si>
    <t>180515</t>
  </si>
  <si>
    <t>黄瑾淇</t>
  </si>
  <si>
    <t>180505</t>
  </si>
  <si>
    <t>陈鹏</t>
  </si>
  <si>
    <t>180530</t>
  </si>
  <si>
    <t>林锦成</t>
  </si>
  <si>
    <t>180357</t>
  </si>
  <si>
    <t>钟楚荧</t>
  </si>
  <si>
    <t>180828</t>
  </si>
  <si>
    <t>梁周恩</t>
  </si>
  <si>
    <t>181513</t>
  </si>
  <si>
    <t>黄海倩</t>
  </si>
  <si>
    <t>181654</t>
  </si>
  <si>
    <t>钟建滔</t>
  </si>
  <si>
    <t>181452</t>
  </si>
  <si>
    <t>钟秋航</t>
  </si>
  <si>
    <t>181229</t>
  </si>
  <si>
    <t>林睿骐</t>
  </si>
  <si>
    <t>181214</t>
  </si>
  <si>
    <t>黎桓廷</t>
  </si>
  <si>
    <t>180224</t>
  </si>
  <si>
    <t>梁凤梅</t>
  </si>
  <si>
    <t>180236</t>
  </si>
  <si>
    <t>莫东桦</t>
  </si>
  <si>
    <t>180126</t>
  </si>
  <si>
    <t>李秀灵</t>
  </si>
  <si>
    <t>180202</t>
  </si>
  <si>
    <t>陈诗莜</t>
  </si>
  <si>
    <t>180856</t>
  </si>
  <si>
    <t>朱茵</t>
  </si>
  <si>
    <t>181143</t>
  </si>
  <si>
    <t>谭依旎</t>
  </si>
  <si>
    <t>181740</t>
  </si>
  <si>
    <t>彭倩</t>
  </si>
  <si>
    <t>180636</t>
  </si>
  <si>
    <t>覃洁溦</t>
  </si>
  <si>
    <t>180522</t>
  </si>
  <si>
    <t>李权</t>
  </si>
  <si>
    <t>180710</t>
  </si>
  <si>
    <t>冯榕兰</t>
  </si>
  <si>
    <t>180806</t>
  </si>
  <si>
    <t>邓杰明</t>
  </si>
  <si>
    <t>180402</t>
  </si>
  <si>
    <t>龚铭俊</t>
  </si>
  <si>
    <t>181724</t>
  </si>
  <si>
    <t>李俊霖</t>
  </si>
  <si>
    <t>181529</t>
  </si>
  <si>
    <t>莫云雁</t>
  </si>
  <si>
    <t>181511</t>
  </si>
  <si>
    <t>郭伟倩</t>
  </si>
  <si>
    <t>181442</t>
  </si>
  <si>
    <t>苏锴琪</t>
  </si>
  <si>
    <t>181403</t>
  </si>
  <si>
    <t>陈凤娟</t>
  </si>
  <si>
    <t>180747</t>
  </si>
  <si>
    <t>严泽禧</t>
  </si>
  <si>
    <t>180112</t>
  </si>
  <si>
    <t>胡锦鸿</t>
  </si>
  <si>
    <t>180248</t>
  </si>
  <si>
    <t>肖湘月</t>
  </si>
  <si>
    <t>180232</t>
  </si>
  <si>
    <t>罗怡芸</t>
  </si>
  <si>
    <t>180618</t>
  </si>
  <si>
    <t>黄钰怡</t>
  </si>
  <si>
    <t>181117</t>
  </si>
  <si>
    <t>孔令涛</t>
  </si>
  <si>
    <t>180436</t>
  </si>
  <si>
    <t>龙超</t>
  </si>
  <si>
    <t>181122</t>
  </si>
  <si>
    <t>梁淇茵</t>
  </si>
  <si>
    <t>181307</t>
  </si>
  <si>
    <t>陈奕</t>
  </si>
  <si>
    <t>180838</t>
  </si>
  <si>
    <t>莫琰恩</t>
  </si>
  <si>
    <t>180706</t>
  </si>
  <si>
    <t>陈炜斌</t>
  </si>
  <si>
    <t>180727</t>
  </si>
  <si>
    <t>廖紫霞</t>
  </si>
  <si>
    <t>180820</t>
  </si>
  <si>
    <t>黎桂祥</t>
  </si>
  <si>
    <t>180435</t>
  </si>
  <si>
    <t>刘思健</t>
  </si>
  <si>
    <t>181121</t>
  </si>
  <si>
    <t>梁华锟</t>
  </si>
  <si>
    <t>181147</t>
  </si>
  <si>
    <t>谢钰丹</t>
  </si>
  <si>
    <t>181135</t>
  </si>
  <si>
    <t>马语暄</t>
  </si>
  <si>
    <t>181350</t>
  </si>
  <si>
    <t>谢雅琳</t>
  </si>
  <si>
    <t>181527</t>
  </si>
  <si>
    <t>龙芋江</t>
  </si>
  <si>
    <t>180348</t>
  </si>
  <si>
    <t>韦欣</t>
  </si>
  <si>
    <t>180452</t>
  </si>
  <si>
    <t>吴肖彤</t>
  </si>
  <si>
    <t>180322</t>
  </si>
  <si>
    <t>李庞诗</t>
  </si>
  <si>
    <t>181035</t>
  </si>
  <si>
    <t>石冰莲</t>
  </si>
  <si>
    <t>180837</t>
  </si>
  <si>
    <t>麦晖</t>
  </si>
  <si>
    <t>180616</t>
  </si>
  <si>
    <t>黄心彦</t>
  </si>
  <si>
    <t>180109</t>
  </si>
  <si>
    <t>郭柳炎</t>
  </si>
  <si>
    <t>180116</t>
  </si>
  <si>
    <t>黄靖恒</t>
  </si>
  <si>
    <t>180136</t>
  </si>
  <si>
    <t>林柳余</t>
  </si>
  <si>
    <t>180409</t>
  </si>
  <si>
    <t>胡汝淋</t>
  </si>
  <si>
    <t>181151</t>
  </si>
  <si>
    <t>杨豪楠</t>
  </si>
  <si>
    <t>181253</t>
  </si>
  <si>
    <t>姚慧楠</t>
  </si>
  <si>
    <t>181510</t>
  </si>
  <si>
    <t>高聆灵</t>
  </si>
  <si>
    <t>180543</t>
  </si>
  <si>
    <t>施敬铃</t>
  </si>
  <si>
    <t>180644</t>
  </si>
  <si>
    <t>禤楷妍</t>
  </si>
  <si>
    <t>180245</t>
  </si>
  <si>
    <t>温雨诚</t>
  </si>
  <si>
    <t>181506</t>
  </si>
  <si>
    <t>陈思宇</t>
  </si>
  <si>
    <t>181432</t>
  </si>
  <si>
    <t>零纯</t>
  </si>
  <si>
    <t>181456</t>
  </si>
  <si>
    <t>朱美定</t>
  </si>
  <si>
    <t>180318</t>
  </si>
  <si>
    <t>黎诗烨</t>
  </si>
  <si>
    <t>180247</t>
  </si>
  <si>
    <t>冼鹏涛</t>
  </si>
  <si>
    <t>181220</t>
  </si>
  <si>
    <t>李科锋</t>
  </si>
  <si>
    <t>181645</t>
  </si>
  <si>
    <t>颜宇杰</t>
  </si>
  <si>
    <t>181412</t>
  </si>
  <si>
    <t>邓达昊</t>
  </si>
  <si>
    <t>181508</t>
  </si>
  <si>
    <t>程文彬</t>
  </si>
  <si>
    <t>181434</t>
  </si>
  <si>
    <t>刘学</t>
  </si>
  <si>
    <t>181703</t>
  </si>
  <si>
    <t>陈嘉琳</t>
  </si>
  <si>
    <t>180211</t>
  </si>
  <si>
    <t>黄修治</t>
  </si>
  <si>
    <t>180453</t>
  </si>
  <si>
    <t>肖茵翠</t>
  </si>
  <si>
    <t>180816</t>
  </si>
  <si>
    <t>黄悦</t>
  </si>
  <si>
    <t>180108</t>
  </si>
  <si>
    <t>冯展明</t>
  </si>
  <si>
    <t>181427</t>
  </si>
  <si>
    <t>李雨珊</t>
  </si>
  <si>
    <t>181721</t>
  </si>
  <si>
    <t>黎霆城</t>
  </si>
  <si>
    <t>180209</t>
  </si>
  <si>
    <t>黄曦逸</t>
  </si>
  <si>
    <t>180154</t>
  </si>
  <si>
    <t>张铉钐</t>
  </si>
  <si>
    <t>180213</t>
  </si>
  <si>
    <t>乐熙</t>
  </si>
  <si>
    <t>180104</t>
  </si>
  <si>
    <t>陈军瑜</t>
  </si>
  <si>
    <t>180723</t>
  </si>
  <si>
    <t>李维峰</t>
  </si>
  <si>
    <t>181526</t>
  </si>
  <si>
    <t>林清梅</t>
  </si>
  <si>
    <t>181113</t>
  </si>
  <si>
    <t>黄靖杰</t>
  </si>
  <si>
    <t>181244</t>
  </si>
  <si>
    <t>覃金梅</t>
  </si>
  <si>
    <t>181321</t>
  </si>
  <si>
    <t>孔繁菁</t>
  </si>
  <si>
    <t>181433</t>
  </si>
  <si>
    <t>刘晖鹏</t>
  </si>
  <si>
    <t>181436</t>
  </si>
  <si>
    <t>罗发霖</t>
  </si>
  <si>
    <t>180315</t>
  </si>
  <si>
    <t>江金静</t>
  </si>
  <si>
    <t>180851</t>
  </si>
  <si>
    <t>杨钰良</t>
  </si>
  <si>
    <t>181017</t>
  </si>
  <si>
    <t>李桦洁</t>
  </si>
  <si>
    <t>181314</t>
  </si>
  <si>
    <t>黄安宜</t>
  </si>
  <si>
    <t>181727</t>
  </si>
  <si>
    <t>梁锦烯</t>
  </si>
  <si>
    <t>181248</t>
  </si>
  <si>
    <t>王权</t>
  </si>
  <si>
    <t>181549</t>
  </si>
  <si>
    <t>钟榆盛</t>
  </si>
  <si>
    <t>180508</t>
  </si>
  <si>
    <t>关雅心</t>
  </si>
  <si>
    <t>180403</t>
  </si>
  <si>
    <t>关玉梅</t>
  </si>
  <si>
    <t>180319</t>
  </si>
  <si>
    <t>黎枝</t>
  </si>
  <si>
    <t>180320</t>
  </si>
  <si>
    <t>李安安</t>
  </si>
  <si>
    <t>180617</t>
  </si>
  <si>
    <t>黄耀华</t>
  </si>
  <si>
    <t>181344</t>
  </si>
  <si>
    <t>欧曼凌</t>
  </si>
  <si>
    <t>181120</t>
  </si>
  <si>
    <t>李乙芳</t>
  </si>
  <si>
    <t>180121</t>
  </si>
  <si>
    <t>黎桁孜</t>
  </si>
  <si>
    <t>180122</t>
  </si>
  <si>
    <t>黎淼</t>
  </si>
  <si>
    <t>180204</t>
  </si>
  <si>
    <t>陈卓斌</t>
  </si>
  <si>
    <t>180501</t>
  </si>
  <si>
    <t>艾昕</t>
  </si>
  <si>
    <t>180657</t>
  </si>
  <si>
    <t>周晓雯</t>
  </si>
  <si>
    <t>180703</t>
  </si>
  <si>
    <t>陈冠美</t>
  </si>
  <si>
    <t>181226</t>
  </si>
  <si>
    <t>梁舒</t>
  </si>
  <si>
    <t>181651</t>
  </si>
  <si>
    <t>张瑞琪</t>
  </si>
  <si>
    <t>180223</t>
  </si>
  <si>
    <t>李柱朋</t>
  </si>
  <si>
    <t>180218</t>
  </si>
  <si>
    <t>李金圣</t>
  </si>
  <si>
    <t>180548</t>
  </si>
  <si>
    <t>吴斯昕</t>
  </si>
  <si>
    <t>180745</t>
  </si>
  <si>
    <t>吴玉剑</t>
  </si>
  <si>
    <t>181439</t>
  </si>
  <si>
    <t>欧昭棋</t>
  </si>
  <si>
    <t>181355</t>
  </si>
  <si>
    <t>朱庭楷</t>
  </si>
  <si>
    <t>181509</t>
  </si>
  <si>
    <t>冯雪莹</t>
  </si>
  <si>
    <t>180821</t>
  </si>
  <si>
    <t>黎鉴辉</t>
  </si>
  <si>
    <t>180810</t>
  </si>
  <si>
    <t>韩子夏</t>
  </si>
  <si>
    <t>180701</t>
  </si>
  <si>
    <t>曾彦彬</t>
  </si>
  <si>
    <t>180552</t>
  </si>
  <si>
    <t>张文静</t>
  </si>
  <si>
    <t>180127</t>
  </si>
  <si>
    <t>李彦砺</t>
  </si>
  <si>
    <t>181647</t>
  </si>
  <si>
    <t>于栩</t>
  </si>
  <si>
    <t>181640</t>
  </si>
  <si>
    <t>吴潼</t>
  </si>
  <si>
    <t>181739</t>
  </si>
  <si>
    <t>潘展泽</t>
  </si>
  <si>
    <t>181746</t>
  </si>
  <si>
    <t>王芯艳</t>
  </si>
  <si>
    <t>181716</t>
  </si>
  <si>
    <t>黄智斌</t>
  </si>
  <si>
    <t>181655</t>
  </si>
  <si>
    <t>钟立影</t>
  </si>
  <si>
    <t>181539</t>
  </si>
  <si>
    <t>魏斌</t>
  </si>
  <si>
    <t>181140</t>
  </si>
  <si>
    <t>全丽燕</t>
  </si>
  <si>
    <t>180537</t>
  </si>
  <si>
    <t>莫娟英</t>
  </si>
  <si>
    <t>180428</t>
  </si>
  <si>
    <t>梁路</t>
  </si>
  <si>
    <t>181334</t>
  </si>
  <si>
    <t>罗立铚</t>
  </si>
  <si>
    <t>181238</t>
  </si>
  <si>
    <t>倪洁娴</t>
  </si>
  <si>
    <t>181542</t>
  </si>
  <si>
    <t>熊炎桦</t>
  </si>
  <si>
    <t>180450</t>
  </si>
  <si>
    <t>韦振宇</t>
  </si>
  <si>
    <t>180744</t>
  </si>
  <si>
    <t>吴少多</t>
  </si>
  <si>
    <t>180855</t>
  </si>
  <si>
    <t>周轩</t>
  </si>
  <si>
    <t>180416</t>
  </si>
  <si>
    <t>黄云靖</t>
  </si>
  <si>
    <t>181611</t>
  </si>
  <si>
    <t>黄超梅</t>
  </si>
  <si>
    <t>181310</t>
  </si>
  <si>
    <t>冯宇轩</t>
  </si>
  <si>
    <t>181354</t>
  </si>
  <si>
    <t>张潆月</t>
  </si>
  <si>
    <t>181750</t>
  </si>
  <si>
    <t>吴炜彬</t>
  </si>
  <si>
    <t>180841</t>
  </si>
  <si>
    <t>潘星霖</t>
  </si>
  <si>
    <t>180417</t>
  </si>
  <si>
    <t>黄卓玲</t>
  </si>
  <si>
    <t>180407</t>
  </si>
  <si>
    <t>胡海锐</t>
  </si>
  <si>
    <t>180243</t>
  </si>
  <si>
    <t>覃子豫</t>
  </si>
  <si>
    <t>181326</t>
  </si>
  <si>
    <t>李清华</t>
  </si>
  <si>
    <t>181250</t>
  </si>
  <si>
    <t>许嘉林</t>
  </si>
  <si>
    <t>181235</t>
  </si>
  <si>
    <t>吕东骏</t>
  </si>
  <si>
    <t>181437</t>
  </si>
  <si>
    <t>毛力弘</t>
  </si>
  <si>
    <t>180626</t>
  </si>
  <si>
    <t>刘佳</t>
  </si>
  <si>
    <t>180214</t>
  </si>
  <si>
    <t>黎睿霖</t>
  </si>
  <si>
    <t>180148</t>
  </si>
  <si>
    <t>粟晓柠</t>
  </si>
  <si>
    <t>181424</t>
  </si>
  <si>
    <t>李金玉</t>
  </si>
  <si>
    <t>181342</t>
  </si>
  <si>
    <t>聂炫</t>
  </si>
  <si>
    <t>180504</t>
  </si>
  <si>
    <t>陈丽冰</t>
  </si>
  <si>
    <t>180550</t>
  </si>
  <si>
    <t>严文苑</t>
  </si>
  <si>
    <t>180650</t>
  </si>
  <si>
    <t>杨米雪</t>
  </si>
  <si>
    <t>181702</t>
  </si>
  <si>
    <t>陈浩林</t>
  </si>
  <si>
    <t>181137</t>
  </si>
  <si>
    <t>欧龙</t>
  </si>
  <si>
    <t>181212</t>
  </si>
  <si>
    <t>霍雨佳</t>
  </si>
  <si>
    <t>181516</t>
  </si>
  <si>
    <t>黄婉瑶</t>
  </si>
  <si>
    <t>180845</t>
  </si>
  <si>
    <t>苏小钰</t>
  </si>
  <si>
    <t>180849</t>
  </si>
  <si>
    <t>吴晓钰</t>
  </si>
  <si>
    <t>180343</t>
  </si>
  <si>
    <t>宋杰龙</t>
  </si>
  <si>
    <t>180520</t>
  </si>
  <si>
    <t>黎承材</t>
  </si>
  <si>
    <t>180110</t>
  </si>
  <si>
    <t>韩耀鑫</t>
  </si>
  <si>
    <t>180227</t>
  </si>
  <si>
    <t>林金壁</t>
  </si>
  <si>
    <t>181407</t>
  </si>
  <si>
    <t>陈梦霞</t>
  </si>
  <si>
    <t>181444</t>
  </si>
  <si>
    <t>孙源历</t>
  </si>
  <si>
    <t>181714</t>
  </si>
  <si>
    <t>黄日</t>
  </si>
  <si>
    <t>181634</t>
  </si>
  <si>
    <t>邱龙龙</t>
  </si>
  <si>
    <t>180309</t>
  </si>
  <si>
    <t>关启钲</t>
  </si>
  <si>
    <t>180431</t>
  </si>
  <si>
    <t>廖秋梅</t>
  </si>
  <si>
    <t>180824</t>
  </si>
  <si>
    <t>李羽婷</t>
  </si>
  <si>
    <t>180754</t>
  </si>
  <si>
    <t>钟杏婷</t>
  </si>
  <si>
    <t>180808</t>
  </si>
  <si>
    <t>冯潇彦</t>
  </si>
  <si>
    <t>181443</t>
  </si>
  <si>
    <t>苏鑫</t>
  </si>
  <si>
    <t>181605</t>
  </si>
  <si>
    <t>陈颖莹</t>
  </si>
  <si>
    <t>181324</t>
  </si>
  <si>
    <t>李楚琪</t>
  </si>
  <si>
    <t>180704</t>
  </si>
  <si>
    <t>陈丽宇</t>
  </si>
  <si>
    <t>181044</t>
  </si>
  <si>
    <t>徐丽兰</t>
  </si>
  <si>
    <t>181520</t>
  </si>
  <si>
    <t>李德敏</t>
  </si>
  <si>
    <t>181309</t>
  </si>
  <si>
    <t>方骜</t>
  </si>
  <si>
    <t>180640</t>
  </si>
  <si>
    <t>邬乐怡</t>
  </si>
  <si>
    <t>180829</t>
  </si>
  <si>
    <t>林富鑫</t>
  </si>
  <si>
    <t>180144</t>
  </si>
  <si>
    <t>莫小羚</t>
  </si>
  <si>
    <t>180437</t>
  </si>
  <si>
    <t>龙晓露</t>
  </si>
  <si>
    <t>180819</t>
  </si>
  <si>
    <t>赖昶名</t>
  </si>
  <si>
    <t>180809</t>
  </si>
  <si>
    <t>顾安怡</t>
  </si>
  <si>
    <t>180607</t>
  </si>
  <si>
    <t>陈信</t>
  </si>
  <si>
    <t>180542</t>
  </si>
  <si>
    <t>邵钊明</t>
  </si>
  <si>
    <t>180532</t>
  </si>
  <si>
    <t>刘泽民</t>
  </si>
  <si>
    <t>180456</t>
  </si>
  <si>
    <t>张瑜</t>
  </si>
  <si>
    <t>180155</t>
  </si>
  <si>
    <t>赵晓南</t>
  </si>
  <si>
    <t>180643</t>
  </si>
  <si>
    <t>辛金钊</t>
  </si>
  <si>
    <t>180718</t>
  </si>
  <si>
    <t>黄世鸿</t>
  </si>
  <si>
    <t>181018</t>
  </si>
  <si>
    <t>李嘉欣</t>
  </si>
  <si>
    <t>181453</t>
  </si>
  <si>
    <t>钟杨灏</t>
  </si>
  <si>
    <t>181451</t>
  </si>
  <si>
    <t>张林滢</t>
  </si>
  <si>
    <t>181423</t>
  </si>
  <si>
    <t>李格莹</t>
  </si>
  <si>
    <t>181551</t>
  </si>
  <si>
    <t>周恒宇</t>
  </si>
  <si>
    <t>180842</t>
  </si>
  <si>
    <t>秦铭霞</t>
  </si>
  <si>
    <t>180831</t>
  </si>
  <si>
    <t>刘栩君</t>
  </si>
  <si>
    <t>180656</t>
  </si>
  <si>
    <t>周恩德</t>
  </si>
  <si>
    <t>180647</t>
  </si>
  <si>
    <t>严丽欣</t>
  </si>
  <si>
    <t>180603</t>
  </si>
  <si>
    <t>陈谷盈</t>
  </si>
  <si>
    <t>180738</t>
  </si>
  <si>
    <t>柒懿倩</t>
  </si>
  <si>
    <t>180823</t>
  </si>
  <si>
    <t>李沛泳</t>
  </si>
  <si>
    <t>181708</t>
  </si>
  <si>
    <t>冯晓倩</t>
  </si>
  <si>
    <t>181725</t>
  </si>
  <si>
    <t>李林莉</t>
  </si>
  <si>
    <t>181512</t>
  </si>
  <si>
    <t>黄楚慧</t>
  </si>
  <si>
    <t>180240</t>
  </si>
  <si>
    <t>覃崇锴</t>
  </si>
  <si>
    <t>180729</t>
  </si>
  <si>
    <t>陆宇翔</t>
  </si>
  <si>
    <t>181531</t>
  </si>
  <si>
    <t>潘勇燊</t>
  </si>
  <si>
    <t>181251</t>
  </si>
  <si>
    <t>严涓</t>
  </si>
  <si>
    <t>181625</t>
  </si>
  <si>
    <t>廖锦霞</t>
  </si>
  <si>
    <t>180715</t>
  </si>
  <si>
    <t>黄嘉良</t>
  </si>
  <si>
    <t>180325</t>
  </si>
  <si>
    <t>李小遥</t>
  </si>
  <si>
    <t>180205</t>
  </si>
  <si>
    <t>邓广英</t>
  </si>
  <si>
    <t>181752</t>
  </si>
  <si>
    <t>许文惠</t>
  </si>
  <si>
    <t>181230</t>
  </si>
  <si>
    <t>刘文浩</t>
  </si>
  <si>
    <t>181607</t>
  </si>
  <si>
    <t>邓柱华</t>
  </si>
  <si>
    <t>181455</t>
  </si>
  <si>
    <t>钟梓豪</t>
  </si>
  <si>
    <t>181515</t>
  </si>
  <si>
    <t>黄丽霞</t>
  </si>
  <si>
    <t>181325</t>
  </si>
  <si>
    <t>李莉</t>
  </si>
  <si>
    <t>181747</t>
  </si>
  <si>
    <t>韦林锋</t>
  </si>
  <si>
    <t>181627</t>
  </si>
  <si>
    <t>凌社月</t>
  </si>
  <si>
    <t>180219</t>
  </si>
  <si>
    <t>李俊庆</t>
  </si>
  <si>
    <t>180750</t>
  </si>
  <si>
    <t>张桂松</t>
  </si>
  <si>
    <t>180748</t>
  </si>
  <si>
    <t>叶桦宁</t>
  </si>
  <si>
    <t>181556</t>
  </si>
  <si>
    <t>黄茵露</t>
  </si>
  <si>
    <t>180720</t>
  </si>
  <si>
    <t>黎昊</t>
  </si>
  <si>
    <t>180725</t>
  </si>
  <si>
    <t>练炳林</t>
  </si>
  <si>
    <t>180708</t>
  </si>
  <si>
    <t>董一意</t>
  </si>
  <si>
    <t>180338</t>
  </si>
  <si>
    <t>潘千铭</t>
  </si>
  <si>
    <t>180353</t>
  </si>
  <si>
    <t>赵艺萍</t>
  </si>
  <si>
    <t>181543</t>
  </si>
  <si>
    <t>许丽欢</t>
  </si>
  <si>
    <t>181418</t>
  </si>
  <si>
    <t>黄骏奔</t>
  </si>
  <si>
    <t>181130</t>
  </si>
  <si>
    <t>刘炎萍</t>
  </si>
  <si>
    <t>181431</t>
  </si>
  <si>
    <t>廖媛</t>
  </si>
  <si>
    <t>181741</t>
  </si>
  <si>
    <t>彭晓涵</t>
  </si>
  <si>
    <t>181734</t>
  </si>
  <si>
    <t>刘弘彬</t>
  </si>
  <si>
    <t>181636</t>
  </si>
  <si>
    <t>田金婵</t>
  </si>
  <si>
    <t>181409</t>
  </si>
  <si>
    <t>陈彦铭</t>
  </si>
  <si>
    <t>180128</t>
  </si>
  <si>
    <t>李毅冠</t>
  </si>
  <si>
    <t>180731</t>
  </si>
  <si>
    <t>莫梦佳</t>
  </si>
  <si>
    <t>180746</t>
  </si>
  <si>
    <t>徐椿林</t>
  </si>
  <si>
    <t>180634</t>
  </si>
  <si>
    <t>区钧铭</t>
  </si>
  <si>
    <t>180655</t>
  </si>
  <si>
    <t>钟韵</t>
  </si>
  <si>
    <t>180511</t>
  </si>
  <si>
    <t>何忠轩</t>
  </si>
  <si>
    <t>180749</t>
  </si>
  <si>
    <t>易臻</t>
  </si>
  <si>
    <t>180149</t>
  </si>
  <si>
    <t>谭筱喆</t>
  </si>
  <si>
    <t>180311</t>
  </si>
  <si>
    <t>黄科材</t>
  </si>
  <si>
    <t>181416</t>
  </si>
  <si>
    <t>何柏明</t>
  </si>
  <si>
    <t>181303</t>
  </si>
  <si>
    <t>陈嘉邦</t>
  </si>
  <si>
    <t>181637</t>
  </si>
  <si>
    <t>陀汇</t>
  </si>
  <si>
    <t>180544</t>
  </si>
  <si>
    <t>苏靖期</t>
  </si>
  <si>
    <t>180440</t>
  </si>
  <si>
    <t>罗媚</t>
  </si>
  <si>
    <t>180555</t>
  </si>
  <si>
    <t>周文朗</t>
  </si>
  <si>
    <t>181206</t>
  </si>
  <si>
    <t>胡雨蓝</t>
  </si>
  <si>
    <t>180551</t>
  </si>
  <si>
    <t>杨钧茹</t>
  </si>
  <si>
    <t>180553</t>
  </si>
  <si>
    <t>张钰欣</t>
  </si>
  <si>
    <t>180602</t>
  </si>
  <si>
    <t>曾雨君</t>
  </si>
  <si>
    <t>180707</t>
  </si>
  <si>
    <t>程春媛</t>
  </si>
  <si>
    <t>181601</t>
  </si>
  <si>
    <t>岑欣桐</t>
  </si>
  <si>
    <t>181604</t>
  </si>
  <si>
    <t>陈艳桦</t>
  </si>
  <si>
    <t>181505</t>
  </si>
  <si>
    <t>陈嘉桦</t>
  </si>
  <si>
    <t>181024</t>
  </si>
  <si>
    <t>罗化敏</t>
  </si>
  <si>
    <t>181428</t>
  </si>
  <si>
    <t>梁楚玲</t>
  </si>
  <si>
    <t>181501</t>
  </si>
  <si>
    <t>曾炜城</t>
  </si>
  <si>
    <t>181507</t>
  </si>
  <si>
    <t>陈彦学</t>
  </si>
  <si>
    <t>181726</t>
  </si>
  <si>
    <t>李珊</t>
  </si>
  <si>
    <t>180231</t>
  </si>
  <si>
    <t>罗铵琪</t>
  </si>
  <si>
    <t>181628</t>
  </si>
  <si>
    <t>刘思彤</t>
  </si>
  <si>
    <t>181448</t>
  </si>
  <si>
    <t>韦金汝</t>
  </si>
  <si>
    <t>181154</t>
  </si>
  <si>
    <t>余金霞</t>
  </si>
  <si>
    <t>181308</t>
  </si>
  <si>
    <t>陈永钊</t>
  </si>
  <si>
    <t>180130</t>
  </si>
  <si>
    <t>梁杰明</t>
  </si>
  <si>
    <t>180352</t>
  </si>
  <si>
    <t>叶龙</t>
  </si>
  <si>
    <t>180818</t>
  </si>
  <si>
    <t>孔美焰</t>
  </si>
  <si>
    <t>180621</t>
  </si>
  <si>
    <t>蓝琳</t>
  </si>
  <si>
    <t>180517</t>
  </si>
  <si>
    <t>黄苋婷</t>
  </si>
  <si>
    <t>181704</t>
  </si>
  <si>
    <t>陈奕诚</t>
  </si>
  <si>
    <t>181356</t>
  </si>
  <si>
    <t>江娟兰</t>
  </si>
  <si>
    <t>180518</t>
  </si>
  <si>
    <t>黄紫睿</t>
  </si>
  <si>
    <t>180641</t>
  </si>
  <si>
    <t>吴卓然</t>
  </si>
  <si>
    <t>180732</t>
  </si>
  <si>
    <t>莫骐睿</t>
  </si>
  <si>
    <t>180709</t>
  </si>
  <si>
    <t>董艺雯</t>
  </si>
  <si>
    <t>180235</t>
  </si>
  <si>
    <t>莫炳间</t>
  </si>
  <si>
    <t>181315</t>
  </si>
  <si>
    <t>黄柏林</t>
  </si>
  <si>
    <t>181328</t>
  </si>
  <si>
    <t>李晓渟</t>
  </si>
  <si>
    <t>181524</t>
  </si>
  <si>
    <t>李映烨</t>
  </si>
  <si>
    <t>180337</t>
  </si>
  <si>
    <t>欧锦桃</t>
  </si>
  <si>
    <t>180730</t>
  </si>
  <si>
    <t>莫鹃铭</t>
  </si>
  <si>
    <t>180502</t>
  </si>
  <si>
    <t>陈昊田</t>
  </si>
  <si>
    <t>180114</t>
  </si>
  <si>
    <t>黄柏淳</t>
  </si>
  <si>
    <t>180131</t>
  </si>
  <si>
    <t>梁诗琪</t>
  </si>
  <si>
    <t>181633</t>
  </si>
  <si>
    <t>邱金妹</t>
  </si>
  <si>
    <t>181742</t>
  </si>
  <si>
    <t>邱浩</t>
  </si>
  <si>
    <t>180629</t>
  </si>
  <si>
    <t>吕淋漓</t>
  </si>
  <si>
    <t>180619</t>
  </si>
  <si>
    <t>黄振辉</t>
  </si>
  <si>
    <t>181603</t>
  </si>
  <si>
    <t>陈露</t>
  </si>
  <si>
    <t>181709</t>
  </si>
  <si>
    <t>甘海梅</t>
  </si>
  <si>
    <t>180233</t>
  </si>
  <si>
    <t>蒙柳莹</t>
  </si>
  <si>
    <t>180536</t>
  </si>
  <si>
    <t>麦嘉聪</t>
  </si>
  <si>
    <t>180645</t>
  </si>
  <si>
    <t>严楚锋</t>
  </si>
  <si>
    <t>181111</t>
  </si>
  <si>
    <t>郭登铨</t>
  </si>
  <si>
    <t>180329</t>
  </si>
  <si>
    <t>林奕希</t>
  </si>
  <si>
    <t>180523</t>
  </si>
  <si>
    <t>李欣静</t>
  </si>
  <si>
    <t>180433</t>
  </si>
  <si>
    <t>林嘉慧</t>
  </si>
  <si>
    <t>181125</t>
  </si>
  <si>
    <t>廖宇凡</t>
  </si>
  <si>
    <t>181731</t>
  </si>
  <si>
    <t>廖桂兰</t>
  </si>
  <si>
    <t>181306</t>
  </si>
  <si>
    <t>陈铭慧</t>
  </si>
  <si>
    <t>181249</t>
  </si>
  <si>
    <t>谢东明</t>
  </si>
  <si>
    <t>180336</t>
  </si>
  <si>
    <t>聂杞洋</t>
  </si>
  <si>
    <t>180118</t>
  </si>
  <si>
    <t>黄诗淇</t>
  </si>
  <si>
    <t>180844</t>
  </si>
  <si>
    <t>宋长风</t>
  </si>
  <si>
    <t>180840</t>
  </si>
  <si>
    <t>潘格丽</t>
  </si>
  <si>
    <t>180733</t>
  </si>
  <si>
    <t>聂焕坤</t>
  </si>
  <si>
    <t>180740</t>
  </si>
  <si>
    <t>覃威斌</t>
  </si>
  <si>
    <t>181108</t>
  </si>
  <si>
    <t>程菲琳</t>
  </si>
  <si>
    <t>181745</t>
  </si>
  <si>
    <t>汤雨桦</t>
  </si>
  <si>
    <t>181632</t>
  </si>
  <si>
    <t>宁心如</t>
  </si>
  <si>
    <t>181555</t>
  </si>
  <si>
    <t>陈晞锦</t>
  </si>
  <si>
    <t>181101</t>
  </si>
  <si>
    <t>贝浩铭</t>
  </si>
  <si>
    <t>181312</t>
  </si>
  <si>
    <t>郭锦锋</t>
  </si>
  <si>
    <t>181338</t>
  </si>
  <si>
    <t>莫璧翠</t>
  </si>
  <si>
    <t>181126</t>
  </si>
  <si>
    <t>林睿骥</t>
  </si>
  <si>
    <t>180756</t>
  </si>
  <si>
    <t>周杰</t>
  </si>
  <si>
    <t>180312</t>
  </si>
  <si>
    <t>黄小凤</t>
  </si>
  <si>
    <t>180230</t>
  </si>
  <si>
    <t>陆俊羽</t>
  </si>
  <si>
    <t>180413</t>
  </si>
  <si>
    <t>黄宇杰</t>
  </si>
  <si>
    <t>180446</t>
  </si>
  <si>
    <t>苏焜榆</t>
  </si>
  <si>
    <t>180635</t>
  </si>
  <si>
    <t>首舜</t>
  </si>
  <si>
    <t>181341</t>
  </si>
  <si>
    <t>莫薏</t>
  </si>
  <si>
    <t>180519</t>
  </si>
  <si>
    <t>霍青虹</t>
  </si>
  <si>
    <t>181256</t>
  </si>
  <si>
    <t>钟欣丽</t>
  </si>
  <si>
    <t>181142</t>
  </si>
  <si>
    <t>苏颖格</t>
  </si>
  <si>
    <t>180714</t>
  </si>
  <si>
    <t>胡芷茵</t>
  </si>
  <si>
    <t>180540</t>
  </si>
  <si>
    <t>聂铭成</t>
  </si>
  <si>
    <t>181144</t>
  </si>
  <si>
    <t>韦佳伶</t>
  </si>
  <si>
    <t>180545</t>
  </si>
  <si>
    <t>覃楚茵</t>
  </si>
  <si>
    <t>181105</t>
  </si>
  <si>
    <t>陈文清</t>
  </si>
  <si>
    <t>181118</t>
  </si>
  <si>
    <t>黎彬</t>
  </si>
  <si>
    <t>180716</t>
  </si>
  <si>
    <t>黄杰荣</t>
  </si>
  <si>
    <t>180848</t>
  </si>
  <si>
    <t>唐石火</t>
  </si>
  <si>
    <t>180531</t>
  </si>
  <si>
    <t>刘津梧</t>
  </si>
  <si>
    <t>181204</t>
  </si>
  <si>
    <t>程皓</t>
  </si>
  <si>
    <t>181205</t>
  </si>
  <si>
    <t>高梓萱</t>
  </si>
  <si>
    <t>181240</t>
  </si>
  <si>
    <t>吴辉钰</t>
  </si>
  <si>
    <t>181616</t>
  </si>
  <si>
    <t>焦俏</t>
  </si>
  <si>
    <t>181624</t>
  </si>
  <si>
    <t>梁馨文</t>
  </si>
  <si>
    <t>181652</t>
  </si>
  <si>
    <t>张义铭</t>
  </si>
  <si>
    <t>181211</t>
  </si>
  <si>
    <t>黄子恒</t>
  </si>
  <si>
    <t>181148</t>
  </si>
  <si>
    <t>谢沚榆</t>
  </si>
  <si>
    <t>181755</t>
  </si>
  <si>
    <t>叶锦璁</t>
  </si>
  <si>
    <t>180549</t>
  </si>
  <si>
    <t>夏晟杰</t>
  </si>
  <si>
    <t>180310</t>
  </si>
  <si>
    <t>何梁锋</t>
  </si>
  <si>
    <t>181748</t>
  </si>
  <si>
    <t>韦文健</t>
  </si>
  <si>
    <t>181523</t>
  </si>
  <si>
    <t>李念</t>
  </si>
  <si>
    <t>181336</t>
  </si>
  <si>
    <t>麦倩</t>
  </si>
  <si>
    <t>180622</t>
  </si>
  <si>
    <t>黎杼</t>
  </si>
  <si>
    <t>180830</t>
  </si>
  <si>
    <t>刘亭君</t>
  </si>
  <si>
    <t>180721</t>
  </si>
  <si>
    <t>黎晓峰</t>
  </si>
  <si>
    <t>180852</t>
  </si>
  <si>
    <t>钟锦婷</t>
  </si>
  <si>
    <t>180447</t>
  </si>
  <si>
    <t>覃丽茵</t>
  </si>
  <si>
    <t>180207</t>
  </si>
  <si>
    <t>黄椿菱</t>
  </si>
  <si>
    <t>181643</t>
  </si>
  <si>
    <t>严晗菱</t>
  </si>
  <si>
    <t>181410</t>
  </si>
  <si>
    <t>陈泳秀</t>
  </si>
  <si>
    <t>180217</t>
  </si>
  <si>
    <t>李彬巧</t>
  </si>
  <si>
    <t>180547</t>
  </si>
  <si>
    <t>吴铭轩</t>
  </si>
  <si>
    <t>180719</t>
  </si>
  <si>
    <t>黄玮浩</t>
  </si>
  <si>
    <t>180638</t>
  </si>
  <si>
    <t>王焯</t>
  </si>
  <si>
    <t>180451</t>
  </si>
  <si>
    <t>魏炬华</t>
  </si>
  <si>
    <t>180143</t>
  </si>
  <si>
    <t>麦艺馨</t>
  </si>
  <si>
    <t>180834</t>
  </si>
  <si>
    <t>罗林昊</t>
  </si>
  <si>
    <t>180133</t>
  </si>
  <si>
    <t>梁蕴仪</t>
  </si>
  <si>
    <t>180146</t>
  </si>
  <si>
    <t>欧桐</t>
  </si>
  <si>
    <t>181502</t>
  </si>
  <si>
    <t>车炳岐</t>
  </si>
  <si>
    <t>180711</t>
  </si>
  <si>
    <t>郭诗雨</t>
  </si>
  <si>
    <t>181440</t>
  </si>
  <si>
    <t>潘泸</t>
  </si>
  <si>
    <t>181609</t>
  </si>
  <si>
    <t>古韵菲</t>
  </si>
  <si>
    <t>181706</t>
  </si>
  <si>
    <t>邓诗雅</t>
  </si>
  <si>
    <t>181145</t>
  </si>
  <si>
    <t>吴晓彤</t>
  </si>
  <si>
    <t>180141</t>
  </si>
  <si>
    <t>马浩莹</t>
  </si>
  <si>
    <t>181236</t>
  </si>
  <si>
    <t>莫棋</t>
  </si>
  <si>
    <t>180237</t>
  </si>
  <si>
    <t>聂铭君</t>
  </si>
  <si>
    <t>181102</t>
  </si>
  <si>
    <t>陈承昌</t>
  </si>
  <si>
    <t>180801</t>
  </si>
  <si>
    <t>曾婷慧</t>
  </si>
  <si>
    <t>180212</t>
  </si>
  <si>
    <t>黄颖茵</t>
  </si>
  <si>
    <t>180119</t>
  </si>
  <si>
    <t>黄昕玥</t>
  </si>
  <si>
    <t>180242</t>
  </si>
  <si>
    <t>覃金慧</t>
  </si>
  <si>
    <t>180314</t>
  </si>
  <si>
    <t>黄於情</t>
  </si>
  <si>
    <t>181749</t>
  </si>
  <si>
    <t>卫楚雯</t>
  </si>
  <si>
    <t>181316</t>
  </si>
  <si>
    <t>黄昌泉</t>
  </si>
  <si>
    <t>181435</t>
  </si>
  <si>
    <t>龙家银</t>
  </si>
  <si>
    <t>180324</t>
  </si>
  <si>
    <t>李思锐</t>
  </si>
  <si>
    <t>180736</t>
  </si>
  <si>
    <t>潘锦海</t>
  </si>
  <si>
    <t>180757</t>
  </si>
  <si>
    <t>邹辛勤</t>
  </si>
  <si>
    <t>181613</t>
  </si>
  <si>
    <t>黄静宜</t>
  </si>
  <si>
    <t>181219</t>
  </si>
  <si>
    <t>李开艳</t>
  </si>
  <si>
    <t>180646</t>
  </si>
  <si>
    <t>严进</t>
  </si>
  <si>
    <t>181707</t>
  </si>
  <si>
    <t>丁镔斌</t>
  </si>
  <si>
    <t>181449</t>
  </si>
  <si>
    <t>许槟玲</t>
  </si>
  <si>
    <t>181404</t>
  </si>
  <si>
    <t>陈泓妃</t>
  </si>
  <si>
    <t>181618</t>
  </si>
  <si>
    <t>黎锦铭</t>
  </si>
  <si>
    <t>181722</t>
  </si>
  <si>
    <t>黎小雨</t>
  </si>
  <si>
    <t>181233</t>
  </si>
  <si>
    <t>罗蕾</t>
  </si>
  <si>
    <t>180854</t>
  </si>
  <si>
    <t>周浩靖</t>
  </si>
  <si>
    <t>180418</t>
  </si>
  <si>
    <t>江秋韵</t>
  </si>
  <si>
    <t>181406</t>
  </si>
  <si>
    <t>陈锦婷</t>
  </si>
  <si>
    <t>180835</t>
  </si>
  <si>
    <t>罗舒铃</t>
  </si>
  <si>
    <t>181255</t>
  </si>
  <si>
    <t>钟曼静</t>
  </si>
  <si>
    <t>181318</t>
  </si>
  <si>
    <t>黄泳瑜</t>
  </si>
  <si>
    <t>181530</t>
  </si>
  <si>
    <t>欧志宗</t>
  </si>
  <si>
    <t>180425</t>
  </si>
  <si>
    <t>李湘莲</t>
  </si>
  <si>
    <t>180145</t>
  </si>
  <si>
    <t>聂千云</t>
  </si>
  <si>
    <t>181720</t>
  </si>
  <si>
    <t>黎松波</t>
  </si>
  <si>
    <t>181517</t>
  </si>
  <si>
    <t>赖豆豆</t>
  </si>
  <si>
    <t>181132</t>
  </si>
  <si>
    <t>180525</t>
  </si>
  <si>
    <t>梁宝珑</t>
  </si>
  <si>
    <t>181353</t>
  </si>
  <si>
    <t>杨铠铭</t>
  </si>
  <si>
    <t>180832</t>
  </si>
  <si>
    <t>陆彦妃</t>
  </si>
  <si>
    <t>180533</t>
  </si>
  <si>
    <t>龙秋利</t>
  </si>
  <si>
    <t>180340</t>
  </si>
  <si>
    <t>邱煦童</t>
  </si>
  <si>
    <t>180153</t>
  </si>
  <si>
    <t>谢妤珂</t>
  </si>
  <si>
    <t>180142</t>
  </si>
  <si>
    <t>麦鉴升</t>
  </si>
  <si>
    <t>180308</t>
  </si>
  <si>
    <t>甘浩杰</t>
  </si>
  <si>
    <t>181426</t>
  </si>
  <si>
    <t>李泳铧</t>
  </si>
  <si>
    <t>180208</t>
  </si>
  <si>
    <t>黄俊</t>
  </si>
  <si>
    <t>180521</t>
  </si>
  <si>
    <t>黎虹希</t>
  </si>
  <si>
    <t>180817</t>
  </si>
  <si>
    <t>黄子珊</t>
  </si>
  <si>
    <t>181343</t>
  </si>
  <si>
    <t>聂芷滢</t>
  </si>
  <si>
    <t>180512</t>
  </si>
  <si>
    <t>胡壬馨</t>
  </si>
  <si>
    <t>180355</t>
  </si>
  <si>
    <t>钟崇铭</t>
  </si>
  <si>
    <t>180257</t>
  </si>
  <si>
    <t>左振国</t>
  </si>
  <si>
    <t>180843</t>
  </si>
  <si>
    <t>宋淼玲</t>
  </si>
  <si>
    <t>181327</t>
  </si>
  <si>
    <t>李思欣</t>
  </si>
  <si>
    <t>181417</t>
  </si>
  <si>
    <t>黄华柳</t>
  </si>
  <si>
    <t>181705</t>
  </si>
  <si>
    <t>180611</t>
  </si>
  <si>
    <t>冯琪欢</t>
  </si>
  <si>
    <t>180633</t>
  </si>
  <si>
    <t>聂金飞</t>
  </si>
  <si>
    <t>180554</t>
  </si>
  <si>
    <t>张芸苑</t>
  </si>
  <si>
    <t>180406</t>
  </si>
  <si>
    <t>何铭浩</t>
  </si>
  <si>
    <t>181345</t>
  </si>
  <si>
    <t>饶幸娜</t>
  </si>
  <si>
    <t>181441</t>
  </si>
  <si>
    <t>彭爱茵</t>
  </si>
  <si>
    <t>181653</t>
  </si>
  <si>
    <t>张钰东</t>
  </si>
  <si>
    <t>180210</t>
  </si>
  <si>
    <t>黄小桐</t>
  </si>
  <si>
    <t>180135</t>
  </si>
  <si>
    <t>林金玲</t>
  </si>
  <si>
    <t>180623</t>
  </si>
  <si>
    <t>李念祖</t>
  </si>
  <si>
    <t>180826</t>
  </si>
  <si>
    <t>梁小桦</t>
  </si>
  <si>
    <t>180648</t>
  </si>
  <si>
    <t>严荣贞</t>
  </si>
  <si>
    <t>181717</t>
  </si>
  <si>
    <t>黄梓晋</t>
  </si>
  <si>
    <t>180610</t>
  </si>
  <si>
    <t>樊亚萱</t>
  </si>
  <si>
    <t>180847</t>
  </si>
  <si>
    <t>唐敬杰</t>
  </si>
  <si>
    <t>180317</t>
  </si>
  <si>
    <t>蓝许轩</t>
  </si>
  <si>
    <t>180538</t>
  </si>
  <si>
    <t>莫梅</t>
  </si>
  <si>
    <t>181109</t>
  </si>
  <si>
    <t>冯柏华</t>
  </si>
  <si>
    <t>181626</t>
  </si>
  <si>
    <t>廖南峰</t>
  </si>
  <si>
    <t>181733</t>
  </si>
  <si>
    <t>刘楚君</t>
  </si>
  <si>
    <t>181332</t>
  </si>
  <si>
    <t>刘玲妃</t>
  </si>
  <si>
    <t>181224</t>
  </si>
  <si>
    <t>李潇鹏</t>
  </si>
  <si>
    <t>180254</t>
  </si>
  <si>
    <t>张礼</t>
  </si>
  <si>
    <t>181317</t>
  </si>
  <si>
    <t>黄星华</t>
  </si>
  <si>
    <t>181701</t>
  </si>
  <si>
    <t>车炫香</t>
  </si>
  <si>
    <t>181642</t>
  </si>
  <si>
    <t>徐夏玲</t>
  </si>
  <si>
    <t>180250</t>
  </si>
  <si>
    <t>严炽权</t>
  </si>
  <si>
    <t>181138</t>
  </si>
  <si>
    <t>秦玥</t>
  </si>
  <si>
    <t>180423</t>
  </si>
  <si>
    <t>李满华</t>
  </si>
  <si>
    <t>181711</t>
  </si>
  <si>
    <t>胡蝶儿</t>
  </si>
  <si>
    <t>180251</t>
  </si>
  <si>
    <t>杨天祥</t>
  </si>
  <si>
    <t>180430</t>
  </si>
  <si>
    <t>廖锦欣</t>
  </si>
  <si>
    <t>180526</t>
  </si>
  <si>
    <t>梁钰婷</t>
  </si>
  <si>
    <t>181305</t>
  </si>
  <si>
    <t>陈俊一</t>
  </si>
  <si>
    <t>180541</t>
  </si>
  <si>
    <t>容骏</t>
  </si>
  <si>
    <t>180101</t>
  </si>
  <si>
    <t>陈程慧</t>
  </si>
  <si>
    <t>181223</t>
  </si>
  <si>
    <t>李少源</t>
  </si>
  <si>
    <t>181129</t>
  </si>
  <si>
    <t>刘良宇</t>
  </si>
  <si>
    <t>180624</t>
  </si>
  <si>
    <t>李逸菲</t>
  </si>
  <si>
    <t>180857</t>
  </si>
  <si>
    <t>钟馨仪</t>
  </si>
  <si>
    <t>181225</t>
  </si>
  <si>
    <t>梁沛业</t>
  </si>
  <si>
    <t>180422</t>
  </si>
  <si>
    <t>李洁宁</t>
  </si>
  <si>
    <t>181729</t>
  </si>
  <si>
    <t>梁腾风</t>
  </si>
  <si>
    <t>181215</t>
  </si>
  <si>
    <t>黎柳君</t>
  </si>
  <si>
    <t>180601</t>
  </si>
  <si>
    <t>岑苑铟</t>
  </si>
  <si>
    <t>181133</t>
  </si>
  <si>
    <t>罗文荃</t>
  </si>
  <si>
    <t>181550</t>
  </si>
  <si>
    <t>周楚林</t>
  </si>
  <si>
    <t>181203</t>
  </si>
  <si>
    <t>陈丽瑕</t>
  </si>
  <si>
    <t>181612</t>
  </si>
  <si>
    <t>黄江锋</t>
  </si>
  <si>
    <t>180124</t>
  </si>
  <si>
    <t>李喜钊</t>
  </si>
  <si>
    <t>180614</t>
  </si>
  <si>
    <t>黄家桐</t>
  </si>
  <si>
    <t>180653</t>
  </si>
  <si>
    <t>张宇航</t>
  </si>
  <si>
    <t>181216</t>
  </si>
  <si>
    <t>黎榕珍</t>
  </si>
  <si>
    <t>180503</t>
  </si>
  <si>
    <t>陈金兰</t>
  </si>
  <si>
    <t>180426</t>
  </si>
  <si>
    <t>李子康</t>
  </si>
  <si>
    <t>181614</t>
  </si>
  <si>
    <t>黄林</t>
  </si>
  <si>
    <t>181340</t>
  </si>
  <si>
    <t>莫嘉浩</t>
  </si>
  <si>
    <t>180651</t>
  </si>
  <si>
    <t>叶孜欣</t>
  </si>
  <si>
    <t>180726</t>
  </si>
  <si>
    <t>梁椅淇</t>
  </si>
  <si>
    <t>180226</t>
  </si>
  <si>
    <t>廖文宇</t>
  </si>
  <si>
    <t>181218</t>
  </si>
  <si>
    <t>李弘耀</t>
  </si>
  <si>
    <t>180107</t>
  </si>
  <si>
    <t>方勇</t>
  </si>
  <si>
    <t>180728</t>
  </si>
  <si>
    <t>卢栩烽</t>
  </si>
  <si>
    <t>181639</t>
  </si>
  <si>
    <t>韦锦英</t>
  </si>
  <si>
    <t>180654</t>
  </si>
  <si>
    <t>钟二梅</t>
  </si>
  <si>
    <t>181548</t>
  </si>
  <si>
    <t>钟蕾</t>
  </si>
  <si>
    <t>180539</t>
  </si>
  <si>
    <t>莫倩烨</t>
  </si>
  <si>
    <t>181352</t>
  </si>
  <si>
    <t>熊东明</t>
  </si>
  <si>
    <t>180120</t>
  </si>
  <si>
    <t>蒋虹秀</t>
  </si>
  <si>
    <t>181322</t>
  </si>
  <si>
    <t>黎潇骏</t>
  </si>
  <si>
    <t>181757</t>
  </si>
  <si>
    <t>王嘉宇</t>
  </si>
  <si>
    <t>181851</t>
  </si>
  <si>
    <t>钟妙鸣</t>
  </si>
  <si>
    <t>1818</t>
  </si>
  <si>
    <t>181836</t>
  </si>
  <si>
    <t>欧沛杨</t>
  </si>
  <si>
    <t>181842</t>
  </si>
  <si>
    <t>苏雨昕</t>
  </si>
  <si>
    <t>181817</t>
  </si>
  <si>
    <t>黄颖珊</t>
  </si>
  <si>
    <t>181831</t>
  </si>
  <si>
    <t>刘家丽</t>
  </si>
  <si>
    <t>181822</t>
  </si>
  <si>
    <t>黎钊阳</t>
  </si>
  <si>
    <t>182003</t>
  </si>
  <si>
    <t>1820</t>
  </si>
  <si>
    <t>181801</t>
  </si>
  <si>
    <t>宾颖淇</t>
  </si>
  <si>
    <t>181847</t>
  </si>
  <si>
    <t>许心愿</t>
  </si>
  <si>
    <t>181811</t>
  </si>
  <si>
    <t>何希言</t>
  </si>
  <si>
    <t>181815</t>
  </si>
  <si>
    <t>黄麒高</t>
  </si>
  <si>
    <t>181823</t>
  </si>
  <si>
    <t>李佳茵</t>
  </si>
  <si>
    <t>181825</t>
  </si>
  <si>
    <t>李诗洋</t>
  </si>
  <si>
    <t>181820</t>
  </si>
  <si>
    <t>黄子聪</t>
  </si>
  <si>
    <t>181809</t>
  </si>
  <si>
    <t>关舒心</t>
  </si>
  <si>
    <t>181818</t>
  </si>
  <si>
    <t>黄倩茹</t>
  </si>
  <si>
    <t>181839</t>
  </si>
  <si>
    <t>饶幸怡</t>
  </si>
  <si>
    <t>181854</t>
  </si>
  <si>
    <t>曾宪杭</t>
  </si>
  <si>
    <t>181853</t>
  </si>
  <si>
    <t>周娆涛</t>
  </si>
  <si>
    <t>181846</t>
  </si>
  <si>
    <t>谢依君</t>
  </si>
  <si>
    <t>181911</t>
  </si>
  <si>
    <t>李立珍</t>
  </si>
  <si>
    <t>1819</t>
  </si>
  <si>
    <t>181814</t>
  </si>
  <si>
    <t>黄婕妤</t>
  </si>
  <si>
    <t>181837</t>
  </si>
  <si>
    <t>邱夏</t>
  </si>
  <si>
    <t>181848</t>
  </si>
  <si>
    <t>袁意</t>
  </si>
  <si>
    <t>181824</t>
  </si>
  <si>
    <t>李铿锵</t>
  </si>
  <si>
    <t>181849</t>
  </si>
  <si>
    <t>张伊妍</t>
  </si>
  <si>
    <t>182031</t>
  </si>
  <si>
    <t>杨林遐</t>
  </si>
  <si>
    <t>181843</t>
  </si>
  <si>
    <t>覃凯琳</t>
  </si>
  <si>
    <t>181852</t>
  </si>
  <si>
    <t>钟玉倩</t>
  </si>
  <si>
    <t>181827</t>
  </si>
  <si>
    <t>李勇材</t>
  </si>
  <si>
    <t>181826</t>
  </si>
  <si>
    <t>李思思</t>
  </si>
  <si>
    <t>182018</t>
  </si>
  <si>
    <t>莫凯茵</t>
  </si>
  <si>
    <t>182022</t>
  </si>
  <si>
    <t>潘佳慧</t>
  </si>
  <si>
    <t>181908</t>
  </si>
  <si>
    <t>黄妙乐</t>
  </si>
  <si>
    <t>181805</t>
  </si>
  <si>
    <t>陈扬</t>
  </si>
  <si>
    <t>181830</t>
  </si>
  <si>
    <t>梁耀文</t>
  </si>
  <si>
    <t>181924</t>
  </si>
  <si>
    <t>唐楚艺</t>
  </si>
  <si>
    <t>181833</t>
  </si>
  <si>
    <t>罗盈盈</t>
  </si>
  <si>
    <t>181927</t>
  </si>
  <si>
    <t>谢丹妮</t>
  </si>
  <si>
    <t>181850</t>
  </si>
  <si>
    <t>钟惠梅</t>
  </si>
  <si>
    <t>182024</t>
  </si>
  <si>
    <t>容子茵</t>
  </si>
  <si>
    <t>181821</t>
  </si>
  <si>
    <t>蒋松蓉</t>
  </si>
  <si>
    <t>181931</t>
  </si>
  <si>
    <t>余逸晴</t>
  </si>
  <si>
    <t>181802</t>
  </si>
  <si>
    <t>车锦红</t>
  </si>
  <si>
    <t>181840</t>
  </si>
  <si>
    <t>容子茜</t>
  </si>
  <si>
    <t>181910</t>
  </si>
  <si>
    <t>李楚莹</t>
  </si>
  <si>
    <t>182025</t>
  </si>
  <si>
    <t>阮心妍</t>
  </si>
  <si>
    <t>181933</t>
  </si>
  <si>
    <t>钟厚德</t>
  </si>
  <si>
    <t>181835</t>
  </si>
  <si>
    <t>聂舒琳</t>
  </si>
  <si>
    <t>181828</t>
  </si>
  <si>
    <t>梁成</t>
  </si>
  <si>
    <t>181829</t>
  </si>
  <si>
    <t>梁峻豪</t>
  </si>
  <si>
    <t>181807</t>
  </si>
  <si>
    <t>陈紫宜</t>
  </si>
  <si>
    <t>181844</t>
  </si>
  <si>
    <t>吴冰</t>
  </si>
  <si>
    <t>182019</t>
  </si>
  <si>
    <t>莫思淇</t>
  </si>
  <si>
    <t>181812</t>
  </si>
  <si>
    <t>胡乐谦</t>
  </si>
  <si>
    <t>182032</t>
  </si>
  <si>
    <t>张珊珊</t>
  </si>
  <si>
    <t>181816</t>
  </si>
  <si>
    <t>黄欣桐</t>
  </si>
  <si>
    <t>182015</t>
  </si>
  <si>
    <t>梁静</t>
  </si>
  <si>
    <t>181901</t>
  </si>
  <si>
    <t>蔡冬梅</t>
  </si>
  <si>
    <t>181930</t>
  </si>
  <si>
    <t>严颖铧</t>
  </si>
  <si>
    <t>181810</t>
  </si>
  <si>
    <t>郭筱婷</t>
  </si>
  <si>
    <t>181806</t>
  </si>
  <si>
    <t>陈泽彬</t>
  </si>
  <si>
    <t>181934</t>
  </si>
  <si>
    <t>邹金杏</t>
  </si>
  <si>
    <t>182014</t>
  </si>
  <si>
    <t>李欣宜</t>
  </si>
  <si>
    <t>182020</t>
  </si>
  <si>
    <t>欧沛楠</t>
  </si>
  <si>
    <t>181925</t>
  </si>
  <si>
    <t>涂雅淇</t>
  </si>
  <si>
    <t>181913</t>
  </si>
  <si>
    <t>李沁睿</t>
  </si>
  <si>
    <t>181803</t>
  </si>
  <si>
    <t>陈柏莹</t>
  </si>
  <si>
    <t>181813</t>
  </si>
  <si>
    <t>黄安妮</t>
  </si>
  <si>
    <t>181903</t>
  </si>
  <si>
    <t>陈钰媚</t>
  </si>
  <si>
    <t>181926</t>
  </si>
  <si>
    <t>文思然</t>
  </si>
  <si>
    <t>181907</t>
  </si>
  <si>
    <t>黄洁兰</t>
  </si>
  <si>
    <t>182021</t>
  </si>
  <si>
    <t>欧阳盈</t>
  </si>
  <si>
    <t>181808</t>
  </si>
  <si>
    <t>邓宇婷</t>
  </si>
  <si>
    <t>181914</t>
  </si>
  <si>
    <t>梁露之</t>
  </si>
  <si>
    <t>182002</t>
  </si>
  <si>
    <t>曾颖</t>
  </si>
  <si>
    <t>181841</t>
  </si>
  <si>
    <t>石天伟</t>
  </si>
  <si>
    <t>182011</t>
  </si>
  <si>
    <t>黄珍华</t>
  </si>
  <si>
    <t>182008</t>
  </si>
  <si>
    <t>何璇</t>
  </si>
  <si>
    <t>181834</t>
  </si>
  <si>
    <t>聂丽婷</t>
  </si>
  <si>
    <t>182029</t>
  </si>
  <si>
    <t>吴永龙</t>
  </si>
  <si>
    <t>181819</t>
  </si>
  <si>
    <t>黄子宸</t>
  </si>
  <si>
    <t>181923</t>
  </si>
  <si>
    <t>覃肖静</t>
  </si>
  <si>
    <t>182017</t>
  </si>
  <si>
    <t>莫格玲</t>
  </si>
  <si>
    <t>182026</t>
  </si>
  <si>
    <t>覃浩婷</t>
  </si>
  <si>
    <t>182030</t>
  </si>
  <si>
    <t>冼锦秀</t>
  </si>
  <si>
    <t>182023</t>
  </si>
  <si>
    <t>区烨静</t>
  </si>
  <si>
    <t>182028</t>
  </si>
  <si>
    <t>吴虹漫</t>
  </si>
  <si>
    <t>181905</t>
  </si>
  <si>
    <t>方韵</t>
  </si>
  <si>
    <t>181902</t>
  </si>
  <si>
    <t>陈嘉欣</t>
  </si>
  <si>
    <t>181922</t>
  </si>
  <si>
    <t>苏品桥</t>
  </si>
  <si>
    <t>182033</t>
  </si>
  <si>
    <t>张瑜卓</t>
  </si>
  <si>
    <t>181832</t>
  </si>
  <si>
    <t>刘木兰</t>
  </si>
  <si>
    <t>181838</t>
  </si>
  <si>
    <t>区可儿</t>
  </si>
  <si>
    <t>181915</t>
  </si>
  <si>
    <t>林叶芊芊</t>
  </si>
  <si>
    <t>182013</t>
  </si>
  <si>
    <t>孔锦梅</t>
  </si>
  <si>
    <t>182027</t>
  </si>
  <si>
    <t>谭钰莹</t>
  </si>
  <si>
    <t>182012</t>
  </si>
  <si>
    <t>黄卓幸</t>
  </si>
  <si>
    <t>181912</t>
  </si>
  <si>
    <t>李淼馨</t>
  </si>
  <si>
    <t>182016</t>
  </si>
  <si>
    <t>柳莹</t>
  </si>
  <si>
    <t>182009</t>
  </si>
  <si>
    <t>何阳娇</t>
  </si>
  <si>
    <t>182036</t>
  </si>
  <si>
    <t>潘韦童欣</t>
  </si>
  <si>
    <t>182001</t>
  </si>
  <si>
    <t>岑思</t>
  </si>
  <si>
    <t>181920</t>
  </si>
  <si>
    <t>毛婉婷</t>
  </si>
  <si>
    <t>181909</t>
  </si>
  <si>
    <t>黄梓婕</t>
  </si>
  <si>
    <t>181921</t>
  </si>
  <si>
    <t>潘蕾羽</t>
  </si>
  <si>
    <t>181918</t>
  </si>
  <si>
    <t>罗俊慧</t>
  </si>
  <si>
    <t>182035</t>
  </si>
  <si>
    <t>周婉怡</t>
  </si>
  <si>
    <t>181919</t>
  </si>
  <si>
    <t>麦研</t>
  </si>
  <si>
    <t>182006</t>
  </si>
  <si>
    <t>陈熙婷</t>
  </si>
  <si>
    <t>181932</t>
  </si>
  <si>
    <t>郑钧予</t>
  </si>
  <si>
    <t>181928</t>
  </si>
  <si>
    <t>谢熺樑</t>
  </si>
  <si>
    <t>182004</t>
  </si>
  <si>
    <t>陈柳霞</t>
  </si>
  <si>
    <t>182034</t>
  </si>
  <si>
    <t>钟钰莹</t>
  </si>
  <si>
    <t>182007</t>
  </si>
  <si>
    <t>邓茜</t>
  </si>
  <si>
    <t>181904</t>
  </si>
  <si>
    <t>邓嘉欣</t>
  </si>
  <si>
    <t>181929</t>
  </si>
  <si>
    <t>禤云鹤</t>
  </si>
  <si>
    <t>181916</t>
  </si>
  <si>
    <t>龙鈺弘</t>
  </si>
  <si>
    <t>181917</t>
  </si>
  <si>
    <t>陆晓川</t>
  </si>
  <si>
    <t>181906</t>
  </si>
  <si>
    <t>贺细晴</t>
  </si>
  <si>
    <t>总成绩</t>
  </si>
  <si>
    <t>学生类别</t>
  </si>
  <si>
    <t>20180499</t>
  </si>
  <si>
    <t>20180117</t>
  </si>
  <si>
    <t>20180593</t>
  </si>
  <si>
    <t>市区统招生</t>
  </si>
  <si>
    <t>20180898</t>
  </si>
  <si>
    <t>20180354</t>
  </si>
  <si>
    <t>20180757</t>
  </si>
  <si>
    <t>20180633</t>
  </si>
  <si>
    <t>20180155</t>
  </si>
  <si>
    <t>20180009</t>
  </si>
  <si>
    <t>20180115</t>
  </si>
  <si>
    <t>20180908</t>
  </si>
  <si>
    <t>20180740</t>
  </si>
  <si>
    <t>20180510</t>
  </si>
  <si>
    <t>20180810</t>
  </si>
  <si>
    <t>20180647</t>
  </si>
  <si>
    <t>20180595</t>
  </si>
  <si>
    <t>20180162</t>
  </si>
  <si>
    <t>20180677</t>
  </si>
  <si>
    <t>20180982</t>
  </si>
  <si>
    <t>20180044</t>
  </si>
  <si>
    <t>20180153</t>
  </si>
  <si>
    <t>20180556</t>
  </si>
  <si>
    <t>20180482</t>
  </si>
  <si>
    <t>20181001</t>
  </si>
  <si>
    <t>20180553</t>
  </si>
  <si>
    <t>20180062</t>
  </si>
  <si>
    <t>20180406</t>
  </si>
  <si>
    <t>20180636</t>
  </si>
  <si>
    <t>20180183</t>
  </si>
  <si>
    <t>20180529</t>
  </si>
  <si>
    <t>20181052</t>
  </si>
  <si>
    <t>20181025</t>
  </si>
  <si>
    <t>20180951</t>
  </si>
  <si>
    <t>20180134</t>
  </si>
  <si>
    <t>20181054</t>
  </si>
  <si>
    <t>20180481</t>
  </si>
  <si>
    <t>20180620</t>
  </si>
  <si>
    <t>20180761</t>
  </si>
  <si>
    <t>20180811</t>
  </si>
  <si>
    <t>20180727</t>
  </si>
  <si>
    <t>20180202</t>
  </si>
  <si>
    <t>20180323</t>
  </si>
  <si>
    <t>20180897</t>
  </si>
  <si>
    <t>20180316</t>
  </si>
  <si>
    <t>20180690</t>
  </si>
  <si>
    <t>20180551</t>
  </si>
  <si>
    <t>20180959</t>
  </si>
  <si>
    <t>20180352</t>
  </si>
  <si>
    <t>20180639</t>
  </si>
  <si>
    <t>20180409</t>
  </si>
  <si>
    <t>20180122</t>
  </si>
  <si>
    <t>20180231</t>
  </si>
  <si>
    <t>20180611</t>
  </si>
  <si>
    <t>20180679</t>
  </si>
  <si>
    <t>20180853</t>
  </si>
  <si>
    <t>20180684</t>
  </si>
  <si>
    <t>20180361</t>
  </si>
  <si>
    <t>20180111</t>
  </si>
  <si>
    <t>20180710</t>
  </si>
  <si>
    <t>20180261</t>
  </si>
  <si>
    <t>20180582</t>
  </si>
  <si>
    <t>20180404</t>
  </si>
  <si>
    <t>20180822</t>
  </si>
  <si>
    <t>20180541</t>
  </si>
  <si>
    <t>20180220</t>
  </si>
  <si>
    <t>20181038</t>
  </si>
  <si>
    <t>20180847</t>
  </si>
  <si>
    <t>20181039</t>
  </si>
  <si>
    <t>20180599</t>
  </si>
  <si>
    <t>20180681</t>
  </si>
  <si>
    <t>20180846</t>
  </si>
  <si>
    <t>20180465</t>
  </si>
  <si>
    <t>20180388</t>
  </si>
  <si>
    <t>20180841</t>
  </si>
  <si>
    <t>20180248</t>
  </si>
  <si>
    <t>20180993</t>
  </si>
  <si>
    <t>20180439</t>
  </si>
  <si>
    <t>20180470</t>
  </si>
  <si>
    <t>20180649</t>
  </si>
  <si>
    <t>20180703</t>
  </si>
  <si>
    <t>20180503</t>
  </si>
  <si>
    <t>20180673</t>
  </si>
  <si>
    <t>20180278</t>
  </si>
  <si>
    <t>20181045</t>
  </si>
  <si>
    <t>20180017</t>
  </si>
  <si>
    <t>20180604</t>
  </si>
  <si>
    <t>20180984</t>
  </si>
  <si>
    <t>20180314</t>
  </si>
  <si>
    <t>20180594</t>
  </si>
  <si>
    <t>20180065</t>
  </si>
  <si>
    <t>20180783</t>
  </si>
  <si>
    <t>20180414</t>
  </si>
  <si>
    <t>20180808</t>
  </si>
  <si>
    <t>20180151</t>
  </si>
  <si>
    <t>20180288</t>
  </si>
  <si>
    <t>20180071</t>
  </si>
  <si>
    <t>20180456</t>
  </si>
  <si>
    <t>20181026</t>
  </si>
  <si>
    <t>20180131</t>
  </si>
  <si>
    <t>20180545</t>
  </si>
  <si>
    <t>20180209</t>
  </si>
  <si>
    <t>20180618</t>
  </si>
  <si>
    <t>20180624</t>
  </si>
  <si>
    <t>20180671</t>
  </si>
  <si>
    <t>20180570</t>
  </si>
  <si>
    <t>20180119</t>
  </si>
  <si>
    <t>20180896</t>
  </si>
  <si>
    <t>20180476</t>
  </si>
  <si>
    <t>20180629</t>
  </si>
  <si>
    <t>20180709</t>
  </si>
  <si>
    <t>20180612</t>
  </si>
  <si>
    <t>20181008</t>
  </si>
  <si>
    <t>20180648</t>
  </si>
  <si>
    <t>20180907</t>
  </si>
  <si>
    <t>20180203</t>
  </si>
  <si>
    <t>20180794</t>
  </si>
  <si>
    <t>20180780</t>
  </si>
  <si>
    <t>20180672</t>
  </si>
  <si>
    <t>20180266</t>
  </si>
  <si>
    <t>20180549</t>
  </si>
  <si>
    <t>20180116</t>
  </si>
  <si>
    <t>20180882</t>
  </si>
  <si>
    <t>20180207</t>
  </si>
  <si>
    <t>20181056</t>
  </si>
  <si>
    <t>20180704</t>
  </si>
  <si>
    <t>20180460</t>
  </si>
  <si>
    <t>20180513</t>
  </si>
  <si>
    <t>20180871</t>
  </si>
  <si>
    <t>20180236</t>
  </si>
  <si>
    <t>20180666</t>
  </si>
  <si>
    <t>20181004</t>
  </si>
  <si>
    <t>20180579</t>
  </si>
  <si>
    <t>20180304</t>
  </si>
  <si>
    <t>20181061</t>
  </si>
  <si>
    <t>20180394</t>
  </si>
  <si>
    <t>20180480</t>
  </si>
  <si>
    <t>20180812</t>
  </si>
  <si>
    <t>20180668</t>
  </si>
  <si>
    <t>20180002</t>
  </si>
  <si>
    <t>20180190</t>
  </si>
  <si>
    <t>20180587</t>
  </si>
  <si>
    <t>20180179</t>
  </si>
  <si>
    <t>20180571</t>
  </si>
  <si>
    <t>20181030</t>
  </si>
  <si>
    <t>20180023</t>
  </si>
  <si>
    <t>20180218</t>
  </si>
  <si>
    <t>20180156</t>
  </si>
  <si>
    <t>20180252</t>
  </si>
  <si>
    <t>20180421</t>
  </si>
  <si>
    <t>20180140</t>
  </si>
  <si>
    <t>20180187</t>
  </si>
  <si>
    <t>20180813</t>
  </si>
  <si>
    <t>20180949</t>
  </si>
  <si>
    <t>20180820</t>
  </si>
  <si>
    <t>20180038</t>
  </si>
  <si>
    <t>20180590</t>
  </si>
  <si>
    <t>20180989</t>
  </si>
  <si>
    <t>20180484</t>
  </si>
  <si>
    <t>20180753</t>
  </si>
  <si>
    <t>20180216</t>
  </si>
  <si>
    <t>20180485</t>
  </si>
  <si>
    <t>20180883</t>
  </si>
  <si>
    <t>20180371</t>
  </si>
  <si>
    <t>20180817</t>
  </si>
  <si>
    <t>20180895</t>
  </si>
  <si>
    <t>20180886</t>
  </si>
  <si>
    <t>20180428</t>
  </si>
  <si>
    <t>20180053</t>
  </si>
  <si>
    <t>20180667</t>
  </si>
  <si>
    <t>20180010</t>
  </si>
  <si>
    <t>20180451</t>
  </si>
  <si>
    <t>20180490</t>
  </si>
  <si>
    <t>20180610</t>
  </si>
  <si>
    <t>20180198</t>
  </si>
  <si>
    <t>20180607</t>
  </si>
  <si>
    <t>20180479</t>
  </si>
  <si>
    <t>20180815</t>
  </si>
  <si>
    <t>20180792</t>
  </si>
  <si>
    <t>20181042</t>
  </si>
  <si>
    <t>20180188</t>
  </si>
  <si>
    <t>20180359</t>
  </si>
  <si>
    <t>20180656</t>
  </si>
  <si>
    <t>20180326</t>
  </si>
  <si>
    <t>20180309</t>
  </si>
  <si>
    <t>20180927</t>
  </si>
  <si>
    <t>20180178</t>
  </si>
  <si>
    <t>20180474</t>
  </si>
  <si>
    <t>20180839</t>
  </si>
  <si>
    <t>20180533</t>
  </si>
  <si>
    <t>20180276</t>
  </si>
  <si>
    <t>20180956</t>
  </si>
  <si>
    <t>20180268</t>
  </si>
  <si>
    <t>20180095</t>
  </si>
  <si>
    <t>20180407</t>
  </si>
  <si>
    <t>20180313</t>
  </si>
  <si>
    <t>20180292</t>
  </si>
  <si>
    <t>20181041</t>
  </si>
  <si>
    <t>20180793</t>
  </si>
  <si>
    <t>20180577</t>
  </si>
  <si>
    <t>20180561</t>
  </si>
  <si>
    <t>20180632</t>
  </si>
  <si>
    <t>20180260</t>
  </si>
  <si>
    <t>20180878</t>
  </si>
  <si>
    <t>20180497</t>
  </si>
  <si>
    <t>20180923</t>
  </si>
  <si>
    <t>20180980</t>
  </si>
  <si>
    <t>20180616</t>
  </si>
  <si>
    <t>20180767</t>
  </si>
  <si>
    <t>20180874</t>
  </si>
  <si>
    <t>20180943</t>
  </si>
  <si>
    <t>20180442</t>
  </si>
  <si>
    <t>20180398</t>
  </si>
  <si>
    <t>20180834</t>
  </si>
  <si>
    <t>20180142</t>
  </si>
  <si>
    <t>20180037</t>
  </si>
  <si>
    <t>20180575</t>
  </si>
  <si>
    <t>20181047</t>
  </si>
  <si>
    <t>20180524</t>
  </si>
  <si>
    <t>20180105</t>
  </si>
  <si>
    <t>20180454</t>
  </si>
  <si>
    <t>20180940</t>
  </si>
  <si>
    <t>20180760</t>
  </si>
  <si>
    <t>20181021</t>
  </si>
  <si>
    <t>20180362</t>
  </si>
  <si>
    <t>20180143</t>
  </si>
  <si>
    <t>20180083</t>
  </si>
  <si>
    <t>20180689</t>
  </si>
  <si>
    <t>20180509</t>
  </si>
  <si>
    <t>20180771</t>
  </si>
  <si>
    <t>20180745</t>
  </si>
  <si>
    <t>20180601</t>
  </si>
  <si>
    <t>20180695</t>
  </si>
  <si>
    <t>20180803</t>
  </si>
  <si>
    <t>20180463</t>
  </si>
  <si>
    <t>20180900</t>
  </si>
  <si>
    <t>20180234</t>
  </si>
  <si>
    <t>20180045</t>
  </si>
  <si>
    <t>20180171</t>
  </si>
  <si>
    <t>20180358</t>
  </si>
  <si>
    <t>20180265</t>
  </si>
  <si>
    <t>20180032</t>
  </si>
  <si>
    <t>20180177</t>
  </si>
  <si>
    <t>20180776</t>
  </si>
  <si>
    <t>20180478</t>
  </si>
  <si>
    <t>20180958</t>
  </si>
  <si>
    <t>20180970</t>
  </si>
  <si>
    <t>20180467</t>
  </si>
  <si>
    <t>20181032</t>
  </si>
  <si>
    <t>20180713</t>
  </si>
  <si>
    <t>20180426</t>
  </si>
  <si>
    <t>20180271</t>
  </si>
  <si>
    <t>20180225</t>
  </si>
  <si>
    <t>20180415</t>
  </si>
  <si>
    <t>20180258</t>
  </si>
  <si>
    <t>20180176</t>
  </si>
  <si>
    <t>20180859</t>
  </si>
  <si>
    <t>20180731</t>
  </si>
  <si>
    <t>20180600</t>
  </si>
  <si>
    <t>20181058</t>
  </si>
  <si>
    <t>20180964</t>
  </si>
  <si>
    <t>20180722</t>
  </si>
  <si>
    <t>20180185</t>
  </si>
  <si>
    <t>20180932</t>
  </si>
  <si>
    <t>20180589</t>
  </si>
  <si>
    <t>20180387</t>
  </si>
  <si>
    <t>20180224</t>
  </si>
  <si>
    <t>20180353</t>
  </si>
  <si>
    <t>20181051</t>
  </si>
  <si>
    <t>20180857</t>
  </si>
  <si>
    <t>20180963</t>
  </si>
  <si>
    <t>20180427</t>
  </si>
  <si>
    <t>20180777</t>
  </si>
  <si>
    <t>20180734</t>
  </si>
  <si>
    <t>20180192</t>
  </si>
  <si>
    <t>20180534</t>
  </si>
  <si>
    <t>20180928</t>
  </si>
  <si>
    <t>20180725</t>
  </si>
  <si>
    <t>20180835</t>
  </si>
  <si>
    <t>20180557</t>
  </si>
  <si>
    <t>20180180</t>
  </si>
  <si>
    <t>20180791</t>
  </si>
  <si>
    <t>20180332</t>
  </si>
  <si>
    <t>20180748</t>
  </si>
  <si>
    <t>20180319</t>
  </si>
  <si>
    <t>20180718</t>
  </si>
  <si>
    <t>20180063</t>
  </si>
  <si>
    <t>20180902</t>
  </si>
  <si>
    <t>20180228</t>
  </si>
  <si>
    <t>20180880</t>
  </si>
  <si>
    <t>20180498</t>
  </si>
  <si>
    <t>20181077</t>
  </si>
  <si>
    <t>20180145</t>
  </si>
  <si>
    <t>20180899</t>
  </si>
  <si>
    <t>20180796</t>
  </si>
  <si>
    <t>20180699</t>
  </si>
  <si>
    <t>20180034</t>
  </si>
  <si>
    <t>20180539</t>
  </si>
  <si>
    <t>20181033</t>
  </si>
  <si>
    <t>20180233</t>
  </si>
  <si>
    <t>20180983</t>
  </si>
  <si>
    <t>20180712</t>
  </si>
  <si>
    <t>20180918</t>
  </si>
  <si>
    <t>20180528</t>
  </si>
  <si>
    <t>20180103</t>
  </si>
  <si>
    <t>20180282</t>
  </si>
  <si>
    <t>20180493</t>
  </si>
  <si>
    <t>20180281</t>
  </si>
  <si>
    <t>20180925</t>
  </si>
  <si>
    <t>20180698</t>
  </si>
  <si>
    <t>20180773</t>
  </si>
  <si>
    <t>20180726</t>
  </si>
  <si>
    <t>20180246</t>
  </si>
  <si>
    <t>20181037</t>
  </si>
  <si>
    <t>20180141</t>
  </si>
  <si>
    <t>20180184</t>
  </si>
  <si>
    <t>20180992</t>
  </si>
  <si>
    <t>20180417</t>
  </si>
  <si>
    <t>20180971</t>
  </si>
  <si>
    <t>20180957</t>
  </si>
  <si>
    <t>20180974</t>
  </si>
  <si>
    <t>20180082</t>
  </si>
  <si>
    <t>20180865</t>
  </si>
  <si>
    <t>20180458</t>
  </si>
  <si>
    <t>20180979</t>
  </si>
  <si>
    <t>20180864</t>
  </si>
  <si>
    <t>20180204</t>
  </si>
  <si>
    <t>20180339</t>
  </si>
  <si>
    <t>20180622</t>
  </si>
  <si>
    <t>20180136</t>
  </si>
  <si>
    <t>20180831</t>
  </si>
  <si>
    <t>20180693</t>
  </si>
  <si>
    <t>20180093</t>
  </si>
  <si>
    <t>20180723</t>
  </si>
  <si>
    <t>20180778</t>
  </si>
  <si>
    <t>20180126</t>
  </si>
  <si>
    <t>20180924</t>
  </si>
  <si>
    <t>20180746</t>
  </si>
  <si>
    <t>20180397</t>
  </si>
  <si>
    <t>20180330</t>
  </si>
  <si>
    <t>20180851</t>
  </si>
  <si>
    <t>20180519</t>
  </si>
  <si>
    <t>20180106</t>
  </si>
  <si>
    <t>20180229</t>
  </si>
  <si>
    <t>20181000</t>
  </si>
  <si>
    <t>20181029</t>
  </si>
  <si>
    <t>20180011</t>
  </si>
  <si>
    <t>20181023</t>
  </si>
  <si>
    <t>20180424</t>
  </si>
  <si>
    <t>20180765</t>
  </si>
  <si>
    <t>20181007</t>
  </si>
  <si>
    <t>20180807</t>
  </si>
  <si>
    <t>20180728</t>
  </si>
  <si>
    <t>20180098</t>
  </si>
  <si>
    <t>20180047</t>
  </si>
  <si>
    <t>20180801</t>
  </si>
  <si>
    <t>20180525</t>
  </si>
  <si>
    <t>20180802</t>
  </si>
  <si>
    <t>20180651</t>
  </si>
  <si>
    <t>20181010</t>
  </si>
  <si>
    <t>20181059</t>
  </si>
  <si>
    <t>20180962</t>
  </si>
  <si>
    <t>20180729</t>
  </si>
  <si>
    <t>20180422</t>
  </si>
  <si>
    <t>20180523</t>
  </si>
  <si>
    <t>20180625</t>
  </si>
  <si>
    <t>20180300</t>
  </si>
  <si>
    <t>20180242</t>
  </si>
  <si>
    <t>20180544</t>
  </si>
  <si>
    <t>20180617</t>
  </si>
  <si>
    <t>20181066</t>
  </si>
  <si>
    <t>20181055</t>
  </si>
  <si>
    <t>20181074</t>
  </si>
  <si>
    <t>20180569</t>
  </si>
  <si>
    <t>20180331</t>
  </si>
  <si>
    <t>20180108</t>
  </si>
  <si>
    <t>20180165</t>
  </si>
  <si>
    <t>20180573</t>
  </si>
  <si>
    <t>20180658</t>
  </si>
  <si>
    <t>20180596</t>
  </si>
  <si>
    <t>20180782</t>
  </si>
  <si>
    <t>20180705</t>
  </si>
  <si>
    <t>20180708</t>
  </si>
  <si>
    <t>20180457</t>
  </si>
  <si>
    <t>20180251</t>
  </si>
  <si>
    <t>20180921</t>
  </si>
  <si>
    <t>20180263</t>
  </si>
  <si>
    <t>20180284</t>
  </si>
  <si>
    <t>20180068</t>
  </si>
  <si>
    <t>20180774</t>
  </si>
  <si>
    <t>20180652</t>
  </si>
  <si>
    <t>20181016</t>
  </si>
  <si>
    <t>20180195</t>
  </si>
  <si>
    <t>20181011</t>
  </si>
  <si>
    <t>20180526</t>
  </si>
  <si>
    <t>20180516</t>
  </si>
  <si>
    <t>20180511</t>
  </si>
  <si>
    <t>20180953</t>
  </si>
  <si>
    <t>20180827</t>
  </si>
  <si>
    <t>20180751</t>
  </si>
  <si>
    <t>20180066</t>
  </si>
  <si>
    <t>20180152</t>
  </si>
  <si>
    <t>20180790</t>
  </si>
  <si>
    <t>20180638</t>
  </si>
  <si>
    <t>20180285</t>
  </si>
  <si>
    <t>20180241</t>
  </si>
  <si>
    <t>20180889</t>
  </si>
  <si>
    <t>20180562</t>
  </si>
  <si>
    <t>20180929</t>
  </si>
  <si>
    <t>20180450</t>
  </si>
  <si>
    <t>20180280</t>
  </si>
  <si>
    <t>20180343</t>
  </si>
  <si>
    <t>20180904</t>
  </si>
  <si>
    <t>20180466</t>
  </si>
  <si>
    <t>20181014</t>
  </si>
  <si>
    <t>20180201</t>
  </si>
  <si>
    <t>20180303</t>
  </si>
  <si>
    <t>20180077</t>
  </si>
  <si>
    <t>20180072</t>
  </si>
  <si>
    <t>20180717</t>
  </si>
  <si>
    <t>20180489</t>
  </si>
  <si>
    <t>20180255</t>
  </si>
  <si>
    <t>20180420</t>
  </si>
  <si>
    <t>20180860</t>
  </si>
  <si>
    <t>20180972</t>
  </si>
  <si>
    <t>20180472</t>
  </si>
  <si>
    <t>20180322</t>
  </si>
  <si>
    <t>20180059</t>
  </si>
  <si>
    <t>20180416</t>
  </si>
  <si>
    <t>20180848</t>
  </si>
  <si>
    <t>20180273</t>
  </si>
  <si>
    <t>20180373</t>
  </si>
  <si>
    <t>20180583</t>
  </si>
  <si>
    <t>20180075</t>
  </si>
  <si>
    <t>20180738</t>
  </si>
  <si>
    <t>20180816</t>
  </si>
  <si>
    <t>20181069</t>
  </si>
  <si>
    <t>20180634</t>
  </si>
  <si>
    <t>20180584</t>
  </si>
  <si>
    <t>20180628</t>
  </si>
  <si>
    <t>20180074</t>
  </si>
  <si>
    <t>20180086</t>
  </si>
  <si>
    <t>20180588</t>
  </si>
  <si>
    <t>20180014</t>
  </si>
  <si>
    <t>20180832</t>
  </si>
  <si>
    <t>20181075</t>
  </si>
  <si>
    <t>20180148</t>
  </si>
  <si>
    <t>20180350</t>
  </si>
  <si>
    <t>20180514</t>
  </si>
  <si>
    <t>20180714</t>
  </si>
  <si>
    <t>20181036</t>
  </si>
  <si>
    <t>20180706</t>
  </si>
  <si>
    <t>20180390</t>
  </si>
  <si>
    <t>20180462</t>
  </si>
  <si>
    <t>20180506</t>
  </si>
  <si>
    <t>20180291</t>
  </si>
  <si>
    <t>20180400</t>
  </si>
  <si>
    <t>20181064</t>
  </si>
  <si>
    <t>20180173</t>
  </si>
  <si>
    <t>20180483</t>
  </si>
  <si>
    <t>20180113</t>
  </si>
  <si>
    <t>20180219</t>
  </si>
  <si>
    <t>20180412</t>
  </si>
  <si>
    <t>20180154</t>
  </si>
  <si>
    <t>20180158</t>
  </si>
  <si>
    <t>20180215</t>
  </si>
  <si>
    <t>20180048</t>
  </si>
  <si>
    <t>20180090</t>
  </si>
  <si>
    <t>20180384</t>
  </si>
  <si>
    <t>20180181</t>
  </si>
  <si>
    <t>20180351</t>
  </si>
  <si>
    <t>20180206</t>
  </si>
  <si>
    <t>20180120</t>
  </si>
  <si>
    <t>20180168</t>
  </si>
  <si>
    <t>20180312</t>
  </si>
  <si>
    <t>20180167</t>
  </si>
  <si>
    <t>20180446</t>
  </si>
  <si>
    <t>20180127</t>
  </si>
  <si>
    <t>20180094</t>
  </si>
  <si>
    <t>20180395</t>
  </si>
  <si>
    <t>20180532</t>
  </si>
  <si>
    <t>20180307</t>
  </si>
  <si>
    <t>20180174</t>
  </si>
  <si>
    <t>20181040</t>
  </si>
  <si>
    <t>20180109</t>
  </si>
  <si>
    <t>20181009</t>
  </si>
  <si>
    <t>20180013</t>
  </si>
  <si>
    <t>20180289</t>
  </si>
  <si>
    <t>20180448</t>
  </si>
  <si>
    <t>20180380</t>
  </si>
  <si>
    <t>20180269</t>
  </si>
  <si>
    <t>20180222</t>
  </si>
  <si>
    <t>20180149</t>
  </si>
  <si>
    <t>20180018</t>
  </si>
  <si>
    <t>20180505</t>
  </si>
  <si>
    <t>20180340</t>
  </si>
  <si>
    <t>20180453</t>
  </si>
  <si>
    <t>20180213</t>
  </si>
  <si>
    <t>20180461</t>
  </si>
  <si>
    <t>20180118</t>
  </si>
  <si>
    <t>20180135</t>
  </si>
  <si>
    <t>20180020</t>
  </si>
  <si>
    <t>20180039</t>
  </si>
  <si>
    <t>20180217</t>
  </si>
  <si>
    <t>20180262</t>
  </si>
  <si>
    <t>20180021</t>
  </si>
  <si>
    <t>20180051</t>
  </si>
  <si>
    <t>20180101</t>
  </si>
  <si>
    <t>20180239</t>
  </si>
  <si>
    <t>20181070</t>
  </si>
  <si>
    <t>20180372</t>
  </si>
  <si>
    <t>20180232</t>
  </si>
  <si>
    <t>20180464</t>
  </si>
  <si>
    <t>20180054</t>
  </si>
  <si>
    <t>20180031</t>
  </si>
  <si>
    <t>20180320</t>
  </si>
  <si>
    <t>20180376</t>
  </si>
  <si>
    <t>20180182</t>
  </si>
  <si>
    <t>20180114</t>
  </si>
  <si>
    <t>20180558</t>
  </si>
  <si>
    <t>20180391</t>
  </si>
  <si>
    <t>20180245</t>
  </si>
  <si>
    <t>20180027</t>
  </si>
  <si>
    <t>20180223</t>
  </si>
  <si>
    <t>20180488</t>
  </si>
  <si>
    <t>20180243</t>
  </si>
  <si>
    <t>20180050</t>
  </si>
  <si>
    <t>20180447</t>
  </si>
  <si>
    <t>20180492</t>
  </si>
  <si>
    <t>20180329</t>
  </si>
  <si>
    <t>20180197</t>
  </si>
  <si>
    <t>20180067</t>
  </si>
  <si>
    <t>20180530</t>
  </si>
  <si>
    <t>20180081</t>
  </si>
  <si>
    <t>20180399</t>
  </si>
  <si>
    <t>20180496</t>
  </si>
  <si>
    <t>20180042</t>
  </si>
  <si>
    <t>20180008</t>
  </si>
  <si>
    <t>20180107</t>
  </si>
  <si>
    <t>20180308</t>
  </si>
  <si>
    <t>20180491</t>
  </si>
  <si>
    <t>20180205</t>
  </si>
  <si>
    <t>20180058</t>
  </si>
  <si>
    <t>20180080</t>
  </si>
  <si>
    <t>20180138</t>
  </si>
  <si>
    <t>20180392</t>
  </si>
  <si>
    <t>20180036</t>
  </si>
  <si>
    <t>20180423</t>
  </si>
  <si>
    <t>20180356</t>
  </si>
  <si>
    <t>20180437</t>
  </si>
  <si>
    <t>20181076</t>
  </si>
  <si>
    <t>20180336</t>
  </si>
  <si>
    <t>20180445</t>
  </si>
  <si>
    <t>20180161</t>
  </si>
  <si>
    <t>20180007</t>
  </si>
  <si>
    <t>20180006</t>
  </si>
  <si>
    <t>20180169</t>
  </si>
  <si>
    <t>20180419</t>
  </si>
  <si>
    <t>20180894</t>
  </si>
  <si>
    <t>20180125</t>
  </si>
  <si>
    <t>20181067</t>
  </si>
  <si>
    <t>20180471</t>
  </si>
  <si>
    <t>20180517</t>
  </si>
  <si>
    <t>20181057</t>
  </si>
  <si>
    <t>20180814</t>
  </si>
  <si>
    <t>20180603</t>
  </si>
  <si>
    <t>20180318</t>
  </si>
  <si>
    <t>20180986</t>
  </si>
  <si>
    <t>20180732</t>
  </si>
  <si>
    <t>20180191</t>
  </si>
  <si>
    <t>20180385</t>
  </si>
  <si>
    <t>20180759</t>
  </si>
  <si>
    <t>20180960</t>
  </si>
  <si>
    <t>20180644</t>
  </si>
  <si>
    <t>20180911</t>
  </si>
  <si>
    <t>20180130</t>
  </si>
  <si>
    <t>20180160</t>
  </si>
  <si>
    <t>20180643</t>
  </si>
  <si>
    <t>20180994</t>
  </si>
  <si>
    <t>20181027</t>
  </si>
  <si>
    <t>20180507</t>
  </si>
  <si>
    <t>20180443</t>
  </si>
  <si>
    <t>20180845</t>
  </si>
  <si>
    <t>20180952</t>
  </si>
  <si>
    <t>20180311</t>
  </si>
  <si>
    <t>20180715</t>
  </si>
  <si>
    <t>20181050</t>
  </si>
  <si>
    <t>20180403</t>
  </si>
  <si>
    <t>20180637</t>
  </si>
  <si>
    <t>20180221</t>
  </si>
  <si>
    <t>20180944</t>
  </si>
  <si>
    <t>20181003</t>
  </si>
  <si>
    <t>20181068</t>
  </si>
  <si>
    <t>20180270</t>
  </si>
  <si>
    <t>20183001</t>
  </si>
  <si>
    <t>20180909</t>
  </si>
  <si>
    <t>20181019</t>
  </si>
  <si>
    <t>20180752</t>
  </si>
  <si>
    <t>20180259</t>
  </si>
  <si>
    <t>20183002</t>
  </si>
  <si>
    <t>20180574</t>
  </si>
  <si>
    <t>20181006</t>
  </si>
  <si>
    <t>20180540</t>
  </si>
  <si>
    <t>20181002</t>
  </si>
  <si>
    <t>20180999</t>
  </si>
  <si>
    <t>20180920</t>
  </si>
  <si>
    <t>20180821</t>
  </si>
  <si>
    <t>20180004</t>
  </si>
  <si>
    <t>20181048</t>
  </si>
  <si>
    <t>20180598</t>
  </si>
  <si>
    <t>20180087</t>
  </si>
  <si>
    <t>20180535</t>
  </si>
  <si>
    <t>20180486</t>
  </si>
  <si>
    <t>20180069</t>
  </si>
  <si>
    <t>20181063</t>
  </si>
  <si>
    <t>20180856</t>
  </si>
  <si>
    <t>20180733</t>
  </si>
  <si>
    <t>20180137</t>
  </si>
  <si>
    <t>20180875</t>
  </si>
  <si>
    <t>20181031</t>
  </si>
  <si>
    <t>20180692</t>
  </si>
  <si>
    <t>20180937</t>
  </si>
  <si>
    <t>20180028</t>
  </si>
  <si>
    <t>20180750</t>
  </si>
  <si>
    <t>20180057</t>
  </si>
  <si>
    <t>20180881</t>
  </si>
  <si>
    <t>20181017</t>
  </si>
  <si>
    <t>20180998</t>
  </si>
  <si>
    <t>20180585</t>
  </si>
  <si>
    <t>20180707</t>
  </si>
  <si>
    <t>20180003</t>
  </si>
  <si>
    <t>20180102</t>
  </si>
  <si>
    <t>20180818</t>
  </si>
  <si>
    <t>20180144</t>
  </si>
  <si>
    <t>20180991</t>
  </si>
  <si>
    <t>20180781</t>
  </si>
  <si>
    <t>20180931</t>
  </si>
  <si>
    <t>20180294</t>
  </si>
  <si>
    <t>20180858</t>
  </si>
  <si>
    <t>20180686</t>
  </si>
  <si>
    <t>20180547</t>
  </si>
  <si>
    <t>20180565</t>
  </si>
  <si>
    <t>20180935</t>
  </si>
  <si>
    <t>20180946</t>
  </si>
  <si>
    <t>20180933</t>
  </si>
  <si>
    <t>20180035</t>
  </si>
  <si>
    <t>20180434</t>
  </si>
  <si>
    <t>20180680</t>
  </si>
  <si>
    <t>20180688</t>
  </si>
  <si>
    <t>20180879</t>
  </si>
  <si>
    <t>20180694</t>
  </si>
  <si>
    <t>20180076</t>
  </si>
  <si>
    <t>20180452</t>
  </si>
  <si>
    <t>20180379</t>
  </si>
  <si>
    <t>20180606</t>
  </si>
  <si>
    <t>20180542</t>
  </si>
  <si>
    <t>20180838</t>
  </si>
  <si>
    <t>20180227</t>
  </si>
  <si>
    <t>20180132</t>
  </si>
  <si>
    <t>20180737</t>
  </si>
  <si>
    <t>20180755</t>
  </si>
  <si>
    <t>20180829</t>
  </si>
  <si>
    <t>20180597</t>
  </si>
  <si>
    <t>20181071</t>
  </si>
  <si>
    <t>20180674</t>
  </si>
  <si>
    <t>20180405</t>
  </si>
  <si>
    <t>20180085</t>
  </si>
  <si>
    <t>20180518</t>
  </si>
  <si>
    <t>20180249</t>
  </si>
  <si>
    <t>20180015</t>
  </si>
  <si>
    <t>20180520</t>
  </si>
  <si>
    <t>20180500</t>
  </si>
  <si>
    <t>20180719</t>
  </si>
  <si>
    <t>20180743</t>
  </si>
  <si>
    <t>20180915</t>
  </si>
  <si>
    <t>20180806</t>
  </si>
  <si>
    <t>20180967</t>
  </si>
  <si>
    <t>20180396</t>
  </si>
  <si>
    <t>20180635</t>
  </si>
  <si>
    <t>20180279</t>
  </si>
  <si>
    <t>20180945</t>
  </si>
  <si>
    <t>20180418</t>
  </si>
  <si>
    <t>20180521</t>
  </si>
  <si>
    <t>20180060</t>
  </si>
  <si>
    <t>20180247</t>
  </si>
  <si>
    <t>20180965</t>
  </si>
  <si>
    <t>20180872</t>
  </si>
  <si>
    <t>20180338</t>
  </si>
  <si>
    <t>20180768</t>
  </si>
  <si>
    <t>20180954</t>
  </si>
  <si>
    <t>20180230</t>
  </si>
  <si>
    <t>20180799</t>
  </si>
  <si>
    <t>20180211</t>
  </si>
  <si>
    <t>20180133</t>
  </si>
  <si>
    <t>20180019</t>
  </si>
  <si>
    <t>20180208</t>
  </si>
  <si>
    <t>20180345</t>
  </si>
  <si>
    <t>20180194</t>
  </si>
  <si>
    <t>20180784</t>
  </si>
  <si>
    <t>20180025</t>
  </si>
  <si>
    <t>20180735</t>
  </si>
  <si>
    <t>20181020</t>
  </si>
  <si>
    <t>20180685</t>
  </si>
  <si>
    <t>20180969</t>
  </si>
  <si>
    <t>20180934</t>
  </si>
  <si>
    <t>20180903</t>
  </si>
  <si>
    <t>20180905</t>
  </si>
  <si>
    <t>20180299</t>
  </si>
  <si>
    <t>20180150</t>
  </si>
  <si>
    <t>20180826</t>
  </si>
  <si>
    <t>20180079</t>
  </si>
  <si>
    <t>20180564</t>
  </si>
  <si>
    <t>20180430</t>
  </si>
  <si>
    <t>20180720</t>
  </si>
  <si>
    <t>20180997</t>
  </si>
  <si>
    <t>20180619</t>
  </si>
  <si>
    <t>20180475</t>
  </si>
  <si>
    <t>20180295</t>
  </si>
  <si>
    <t>20180043</t>
  </si>
  <si>
    <t>20180868</t>
  </si>
  <si>
    <t>20180522</t>
  </si>
  <si>
    <t>20181018</t>
  </si>
  <si>
    <t>20180739</t>
  </si>
  <si>
    <t>20180764</t>
  </si>
  <si>
    <t>20181024</t>
  </si>
  <si>
    <t>20180357</t>
  </si>
  <si>
    <t>20180256</t>
  </si>
  <si>
    <t>20180763</t>
  </si>
  <si>
    <t>20180297</t>
  </si>
  <si>
    <t>20180580</t>
  </si>
  <si>
    <t>20180702</t>
  </si>
  <si>
    <t>20180244</t>
  </si>
  <si>
    <t>20180968</t>
  </si>
  <si>
    <t>20180166</t>
  </si>
  <si>
    <t>20180022</t>
  </si>
  <si>
    <t>20181013</t>
  </si>
  <si>
    <t>20180560</t>
  </si>
  <si>
    <t>20180640</t>
  </si>
  <si>
    <t>20180012</t>
  </si>
  <si>
    <t>20180189</t>
  </si>
  <si>
    <t>20180696</t>
  </si>
  <si>
    <t>20180100</t>
  </si>
  <si>
    <t>20180287</t>
  </si>
  <si>
    <t>20180615</t>
  </si>
  <si>
    <t>20180369</t>
  </si>
  <si>
    <t>20180056</t>
  </si>
  <si>
    <t>20180275</t>
  </si>
  <si>
    <t>20180473</t>
  </si>
  <si>
    <t>20180196</t>
  </si>
  <si>
    <t>20180214</t>
  </si>
  <si>
    <t>20180862</t>
  </si>
  <si>
    <t>20180621</t>
  </si>
  <si>
    <t>20180296</t>
  </si>
  <si>
    <t>20180199</t>
  </si>
  <si>
    <t>20180254</t>
  </si>
  <si>
    <t>20180586</t>
  </si>
  <si>
    <t>20180655</t>
  </si>
  <si>
    <t>20180867</t>
  </si>
  <si>
    <t>20180938</t>
  </si>
  <si>
    <t>20180950</t>
  </si>
  <si>
    <t>20180890</t>
  </si>
  <si>
    <t>20180642</t>
  </si>
  <si>
    <t>20180691</t>
  </si>
  <si>
    <t>20180779</t>
  </si>
  <si>
    <t>20180823</t>
  </si>
  <si>
    <t>20180440</t>
  </si>
  <si>
    <t>20180873</t>
  </si>
  <si>
    <t>20180049</t>
  </si>
  <si>
    <t>20181044</t>
  </si>
  <si>
    <t>20180070</t>
  </si>
  <si>
    <t>20180040</t>
  </si>
  <si>
    <t>20180257</t>
  </si>
  <si>
    <t>20180650</t>
  </si>
  <si>
    <t>20180277</t>
  </si>
  <si>
    <t>20180402</t>
  </si>
  <si>
    <t>20180548</t>
  </si>
  <si>
    <t>20180367</t>
  </si>
  <si>
    <t>20180444</t>
  </si>
  <si>
    <t>20180436</t>
  </si>
  <si>
    <t>20180870</t>
  </si>
  <si>
    <t>20180531</t>
  </si>
  <si>
    <t>20180441</t>
  </si>
  <si>
    <t>20180939</t>
  </si>
  <si>
    <t>20180508</t>
  </si>
  <si>
    <t>20180200</t>
  </si>
  <si>
    <t>20180468</t>
  </si>
  <si>
    <t>20180495</t>
  </si>
  <si>
    <t>20180975</t>
  </si>
  <si>
    <t>20181049</t>
  </si>
  <si>
    <t>20180913</t>
  </si>
  <si>
    <t>20180368</t>
  </si>
  <si>
    <t>20180026</t>
  </si>
  <si>
    <t>20180096</t>
  </si>
  <si>
    <t>20180360</t>
  </si>
  <si>
    <t>20180401</t>
  </si>
  <si>
    <t>20180700</t>
  </si>
  <si>
    <t>20180842</t>
  </si>
  <si>
    <t>20180559</t>
  </si>
  <si>
    <t>20180302</t>
  </si>
  <si>
    <t>20180756</t>
  </si>
  <si>
    <t>20180267</t>
  </si>
  <si>
    <t>20181060</t>
  </si>
  <si>
    <t>20180321</t>
  </si>
  <si>
    <t>20181005</t>
  </si>
  <si>
    <t>20180566</t>
  </si>
  <si>
    <t>20180800</t>
  </si>
  <si>
    <t>20180139</t>
  </si>
  <si>
    <t>20180888</t>
  </si>
  <si>
    <t>20180665</t>
  </si>
  <si>
    <t>20180819</t>
  </si>
  <si>
    <t>20180863</t>
  </si>
  <si>
    <t>20180614</t>
  </si>
  <si>
    <t>20180501</t>
  </si>
  <si>
    <t>20181035</t>
  </si>
  <si>
    <t>20180576</t>
  </si>
  <si>
    <t>20180563</t>
  </si>
  <si>
    <t>20180411</t>
  </si>
  <si>
    <t>20180333</t>
  </si>
  <si>
    <t>20180789</t>
  </si>
  <si>
    <t>20180572</t>
  </si>
  <si>
    <t>20180605</t>
  </si>
  <si>
    <t>20181034</t>
  </si>
  <si>
    <t>20180459</t>
  </si>
  <si>
    <t>20180646</t>
  </si>
  <si>
    <t>20180449</t>
  </si>
  <si>
    <t>20180033</t>
  </si>
  <si>
    <t>20180381</t>
  </si>
  <si>
    <t>20180410</t>
  </si>
  <si>
    <t>20180981</t>
  </si>
  <si>
    <t>20180770</t>
  </si>
  <si>
    <t>20180687</t>
  </si>
  <si>
    <t>20180654</t>
  </si>
  <si>
    <t>20180836</t>
  </si>
  <si>
    <t>20180159</t>
  </si>
  <si>
    <t>20180844</t>
  </si>
  <si>
    <t>20180711</t>
  </si>
  <si>
    <t>20180990</t>
  </si>
  <si>
    <t>20180948</t>
  </si>
  <si>
    <t>20180877</t>
  </si>
  <si>
    <t>20180250</t>
  </si>
  <si>
    <t>20180175</t>
  </si>
  <si>
    <t>20180833</t>
  </si>
  <si>
    <t>20180825</t>
  </si>
  <si>
    <t>20181073</t>
  </si>
  <si>
    <t>20180910</t>
  </si>
  <si>
    <t>20180286</t>
  </si>
  <si>
    <t>20180315</t>
  </si>
  <si>
    <t>20180536</t>
  </si>
  <si>
    <t>20180347</t>
  </si>
  <si>
    <t>20180869</t>
  </si>
  <si>
    <t>20180527</t>
  </si>
  <si>
    <t>20180001</t>
  </si>
  <si>
    <t>20180769</t>
  </si>
  <si>
    <t>20180377</t>
  </si>
  <si>
    <t>20180365</t>
  </si>
  <si>
    <t>20180977</t>
  </si>
  <si>
    <t>20180089</t>
  </si>
  <si>
    <t>20180092</t>
  </si>
  <si>
    <t>20180306</t>
  </si>
  <si>
    <t>20180670</t>
  </si>
  <si>
    <t>20180349</t>
  </si>
  <si>
    <t>20180146</t>
  </si>
  <si>
    <t>20180985</t>
  </si>
  <si>
    <t>20180272</t>
  </si>
  <si>
    <t>20180662</t>
  </si>
  <si>
    <t>20180592</t>
  </si>
  <si>
    <t>20180157</t>
  </si>
  <si>
    <t>20180052</t>
  </si>
  <si>
    <t>20180855</t>
  </si>
  <si>
    <t>20180375</t>
  </si>
  <si>
    <t>20180386</t>
  </si>
  <si>
    <t>20180805</t>
  </si>
  <si>
    <t>20180348</t>
  </si>
  <si>
    <t>20180016</t>
  </si>
  <si>
    <t>20180110</t>
  </si>
  <si>
    <t>20180324</t>
  </si>
  <si>
    <t>20180775</t>
  </si>
  <si>
    <t>20180366</t>
  </si>
  <si>
    <t>20180567</t>
  </si>
  <si>
    <t>20181072</t>
  </si>
  <si>
    <t>20180432</t>
  </si>
  <si>
    <t>20180097</t>
  </si>
  <si>
    <t>20180413</t>
  </si>
  <si>
    <t>20180091</t>
  </si>
  <si>
    <t>20180046</t>
  </si>
  <si>
    <t>20180112</t>
  </si>
  <si>
    <t>20180758</t>
  </si>
  <si>
    <t>20180675</t>
  </si>
  <si>
    <t>20180837</t>
  </si>
  <si>
    <t>20180785</t>
  </si>
  <si>
    <t>20180744</t>
  </si>
  <si>
    <t>20180104</t>
  </si>
  <si>
    <t>20180237</t>
  </si>
  <si>
    <t>20180494</t>
  </si>
  <si>
    <t>20180435</t>
  </si>
  <si>
    <t>20180653</t>
  </si>
  <si>
    <t>20180682</t>
  </si>
  <si>
    <t>20181015</t>
  </si>
  <si>
    <t>20180887</t>
  </si>
  <si>
    <t>20180613</t>
  </si>
  <si>
    <t>20180849</t>
  </si>
  <si>
    <t>20180264</t>
  </si>
  <si>
    <t>20180623</t>
  </si>
  <si>
    <t>20180866</t>
  </si>
  <si>
    <t>20180543</t>
  </si>
  <si>
    <t>20180341</t>
  </si>
  <si>
    <t>20180210</t>
  </si>
  <si>
    <t>20180455</t>
  </si>
  <si>
    <t>20180843</t>
  </si>
  <si>
    <t>20180669</t>
  </si>
  <si>
    <t>20180005</t>
  </si>
  <si>
    <t>20180383</t>
  </si>
  <si>
    <t>20180370</t>
  </si>
  <si>
    <t>20180147</t>
  </si>
  <si>
    <t>20180754</t>
  </si>
  <si>
    <t>20180678</t>
  </si>
  <si>
    <t>20180795</t>
  </si>
  <si>
    <t>20180602</t>
  </si>
  <si>
    <t>20180955</t>
  </si>
  <si>
    <t>20181053</t>
  </si>
  <si>
    <t>20180064</t>
  </si>
  <si>
    <t>20180922</t>
  </si>
  <si>
    <t>20180235</t>
  </si>
  <si>
    <t>20180298</t>
  </si>
  <si>
    <t>20180253</t>
  </si>
  <si>
    <t>20180641</t>
  </si>
  <si>
    <t>20180996</t>
  </si>
  <si>
    <t>20180772</t>
  </si>
  <si>
    <t>20180550</t>
  </si>
  <si>
    <t>20180121</t>
  </si>
  <si>
    <t>20180078</t>
  </si>
  <si>
    <t>20180310</t>
  </si>
  <si>
    <t>20180828</t>
  </si>
  <si>
    <t>20181043</t>
  </si>
  <si>
    <t>20180661</t>
  </si>
  <si>
    <t>20180389</t>
  </si>
  <si>
    <t>20180830</t>
  </si>
  <si>
    <t>20180581</t>
  </si>
  <si>
    <t>20180884</t>
  </si>
  <si>
    <t>20180978</t>
  </si>
  <si>
    <t>20180676</t>
  </si>
  <si>
    <t>20180657</t>
  </si>
  <si>
    <t>20181022</t>
  </si>
  <si>
    <t>20180163</t>
  </si>
  <si>
    <t>20181062</t>
  </si>
  <si>
    <t>20180515</t>
  </si>
  <si>
    <t>20181065</t>
  </si>
  <si>
    <t>20180724</t>
  </si>
  <si>
    <t>20180659</t>
  </si>
  <si>
    <t>20180029</t>
  </si>
  <si>
    <t>20180487</t>
  </si>
  <si>
    <t>20180787</t>
  </si>
  <si>
    <t>20180477</t>
  </si>
  <si>
    <t>20180283</t>
  </si>
  <si>
    <t>20180809</t>
  </si>
  <si>
    <t>20180797</t>
  </si>
  <si>
    <t>20180804</t>
  </si>
  <si>
    <t>20180976</t>
  </si>
  <si>
    <t>20180238</t>
  </si>
  <si>
    <t>20180942</t>
  </si>
  <si>
    <t>20180469</t>
  </si>
  <si>
    <t>20180129</t>
  </si>
  <si>
    <t>20180840</t>
  </si>
  <si>
    <t>20180947</t>
  </si>
  <si>
    <t>20180061</t>
  </si>
  <si>
    <t>20180274</t>
  </si>
  <si>
    <t>20180055</t>
  </si>
  <si>
    <t>20180123</t>
  </si>
  <si>
    <t>20180786</t>
  </si>
  <si>
    <t>20180552</t>
  </si>
  <si>
    <t>20180301</t>
  </si>
  <si>
    <t>20180554</t>
  </si>
  <si>
    <t>20180124</t>
  </si>
  <si>
    <t>20180626</t>
  </si>
  <si>
    <t>20181046</t>
  </si>
  <si>
    <t>20180766</t>
  </si>
  <si>
    <t>20180861</t>
  </si>
  <si>
    <t>20180325</t>
  </si>
  <si>
    <t>20180335</t>
  </si>
  <si>
    <t>20180537</t>
  </si>
  <si>
    <t>20180716</t>
  </si>
  <si>
    <t>20180393</t>
  </si>
  <si>
    <t>20180346</t>
  </si>
  <si>
    <t>20180893</t>
  </si>
  <si>
    <t>20180431</t>
  </si>
  <si>
    <t>20180798</t>
  </si>
  <si>
    <t>20180226</t>
  </si>
  <si>
    <t>20180852</t>
  </si>
  <si>
    <t>20180876</t>
  </si>
  <si>
    <t>20180030</t>
  </si>
  <si>
    <t>20180892</t>
  </si>
  <si>
    <t>20180084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</si>
  <si>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</si>
  <si>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</si>
  <si>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</si>
  <si>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</si>
  <si>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</si>
  <si>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</si>
  <si>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</si>
  <si>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</si>
  <si>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</si>
  <si>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</si>
  <si>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20180645</t>
  </si>
  <si>
    <t>20181012</t>
  </si>
  <si>
    <t>20180328</t>
  </si>
  <si>
    <t>20180936</t>
  </si>
  <si>
    <t>20180293</t>
  </si>
  <si>
    <t>20180631</t>
  </si>
  <si>
    <t>20180099</t>
  </si>
  <si>
    <t>20180664</t>
  </si>
  <si>
    <t>20180901</t>
  </si>
  <si>
    <t>20180502</t>
  </si>
  <si>
    <t>20180240</t>
  </si>
  <si>
    <t>20180630</t>
  </si>
  <si>
    <t>20180290</t>
  </si>
  <si>
    <t>20180591</t>
  </si>
  <si>
    <t>20180538</t>
  </si>
  <si>
    <t>20180885</t>
  </si>
  <si>
    <t>20180334</t>
  </si>
  <si>
    <t>20181028</t>
  </si>
  <si>
    <t>20180609</t>
  </si>
  <si>
    <t>20180721</t>
  </si>
  <si>
    <t>20180041</t>
  </si>
  <si>
    <t>20180193</t>
  </si>
  <si>
    <t>20180941</t>
  </si>
  <si>
    <t>20180697</t>
  </si>
  <si>
    <t>20180912</t>
  </si>
  <si>
    <t>20180578</t>
  </si>
  <si>
    <t>20180730</t>
  </si>
  <si>
    <t>20180170</t>
  </si>
  <si>
    <t>20180701</t>
  </si>
  <si>
    <t>20180736</t>
  </si>
  <si>
    <t>20180762</t>
  </si>
  <si>
    <t>20180742</t>
  </si>
  <si>
    <t>20180966</t>
  </si>
  <si>
    <t>20180317</t>
  </si>
  <si>
    <t>20180337</t>
  </si>
  <si>
    <t>20180327</t>
  </si>
  <si>
    <t>20180546</t>
  </si>
  <si>
    <t>20180747</t>
  </si>
  <si>
    <t>20180973</t>
  </si>
  <si>
    <t>20180382</t>
  </si>
  <si>
    <t>20180919</t>
  </si>
  <si>
    <t>20180824</t>
  </si>
  <si>
    <t>20180342</t>
  </si>
  <si>
    <t>20180749</t>
  </si>
  <si>
    <t>20180995</t>
  </si>
  <si>
    <t>20180608</t>
  </si>
  <si>
    <t>20180408</t>
  </si>
  <si>
    <t>20180988</t>
  </si>
  <si>
    <t>20180660</t>
  </si>
  <si>
    <t>20180891</t>
  </si>
  <si>
    <t>20180788</t>
  </si>
  <si>
    <t>20180930</t>
  </si>
  <si>
    <t>20180073</t>
  </si>
  <si>
    <t>20180854</t>
  </si>
  <si>
    <t>20180961</t>
  </si>
  <si>
    <t>20180186</t>
  </si>
  <si>
    <t>20180987</t>
  </si>
  <si>
    <t>20180568</t>
  </si>
  <si>
    <t>20180627</t>
  </si>
  <si>
    <t>20180378</t>
  </si>
  <si>
    <t>20180906</t>
  </si>
  <si>
    <t>20180741</t>
  </si>
  <si>
    <t>20180663</t>
  </si>
  <si>
    <t>20180926</t>
  </si>
  <si>
    <t>20180429</t>
  </si>
  <si>
    <t>20180917</t>
  </si>
  <si>
    <t>学生账号</t>
    <phoneticPr fontId="2" type="noConversion"/>
  </si>
  <si>
    <r>
      <t>高一年级18</t>
    </r>
    <r>
      <rPr>
        <sz val="12"/>
        <rFont val="宋体"/>
        <charset val="134"/>
      </rPr>
      <t>01-1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>20班</t>
    </r>
    <r>
      <rPr>
        <sz val="12"/>
        <rFont val="宋体"/>
        <charset val="134"/>
      </rPr>
      <t>月</t>
    </r>
    <r>
      <rPr>
        <sz val="12"/>
        <rFont val="宋体"/>
        <charset val="134"/>
      </rPr>
      <t>考（</t>
    </r>
    <r>
      <rPr>
        <sz val="12"/>
        <rFont val="宋体"/>
        <family val="3"/>
        <charset val="134"/>
      </rPr>
      <t>1</t>
    </r>
    <r>
      <rPr>
        <sz val="12"/>
        <rFont val="宋体"/>
        <charset val="134"/>
      </rPr>
      <t>）成绩表            201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>101</t>
    </r>
    <r>
      <rPr>
        <sz val="12"/>
        <rFont val="宋体"/>
        <family val="3"/>
        <charset val="134"/>
      </rPr>
      <t>7</t>
    </r>
    <phoneticPr fontId="2" type="noConversion"/>
  </si>
  <si>
    <r>
      <t>文科总分前50名、单科前</t>
    </r>
    <r>
      <rPr>
        <sz val="12"/>
        <color indexed="10"/>
        <rFont val="宋体"/>
        <family val="3"/>
        <charset val="134"/>
      </rPr>
      <t>10</t>
    </r>
    <r>
      <rPr>
        <sz val="12"/>
        <color indexed="10"/>
        <rFont val="宋体"/>
        <charset val="134"/>
      </rPr>
      <t>名</t>
    </r>
    <phoneticPr fontId="2" type="noConversion"/>
  </si>
  <si>
    <r>
      <t>高一年级18</t>
    </r>
    <r>
      <rPr>
        <b/>
        <sz val="16"/>
        <rFont val="宋体"/>
        <family val="3"/>
        <charset val="134"/>
      </rPr>
      <t>01-1</t>
    </r>
    <r>
      <rPr>
        <b/>
        <sz val="16"/>
        <rFont val="宋体"/>
        <charset val="134"/>
      </rPr>
      <t>8</t>
    </r>
    <r>
      <rPr>
        <b/>
        <sz val="16"/>
        <rFont val="宋体"/>
        <family val="3"/>
        <charset val="134"/>
      </rPr>
      <t>20班上学期月</t>
    </r>
    <r>
      <rPr>
        <b/>
        <sz val="16"/>
        <rFont val="宋体"/>
        <charset val="134"/>
      </rPr>
      <t xml:space="preserve">考光荣榜     </t>
    </r>
    <r>
      <rPr>
        <b/>
        <sz val="11"/>
        <rFont val="宋体"/>
        <charset val="134"/>
      </rPr>
      <t>201</t>
    </r>
    <r>
      <rPr>
        <b/>
        <sz val="11"/>
        <rFont val="宋体"/>
        <family val="3"/>
        <charset val="134"/>
      </rPr>
      <t>8</t>
    </r>
    <r>
      <rPr>
        <b/>
        <sz val="11"/>
        <rFont val="宋体"/>
        <family val="3"/>
        <charset val="134"/>
      </rPr>
      <t>10</t>
    </r>
    <r>
      <rPr>
        <b/>
        <sz val="11"/>
        <rFont val="宋体"/>
        <family val="3"/>
        <charset val="134"/>
      </rPr>
      <t>17</t>
    </r>
    <phoneticPr fontId="2" type="noConversion"/>
  </si>
  <si>
    <r>
      <t>高一年级1</t>
    </r>
    <r>
      <rPr>
        <sz val="20"/>
        <rFont val="宋体"/>
        <family val="3"/>
        <charset val="134"/>
      </rPr>
      <t>8</t>
    </r>
    <r>
      <rPr>
        <sz val="20"/>
        <rFont val="宋体"/>
        <family val="3"/>
        <charset val="134"/>
      </rPr>
      <t>01-1</t>
    </r>
    <r>
      <rPr>
        <sz val="20"/>
        <rFont val="宋体"/>
        <family val="3"/>
        <charset val="134"/>
      </rPr>
      <t>8</t>
    </r>
    <r>
      <rPr>
        <sz val="20"/>
        <rFont val="宋体"/>
        <family val="3"/>
        <charset val="134"/>
      </rPr>
      <t>20班月</t>
    </r>
    <r>
      <rPr>
        <sz val="20"/>
        <rFont val="宋体"/>
        <family val="3"/>
        <charset val="134"/>
      </rPr>
      <t>考（</t>
    </r>
    <r>
      <rPr>
        <sz val="20"/>
        <rFont val="宋体"/>
        <family val="3"/>
        <charset val="134"/>
      </rPr>
      <t>1</t>
    </r>
    <r>
      <rPr>
        <sz val="20"/>
        <rFont val="宋体"/>
        <family val="3"/>
        <charset val="134"/>
      </rPr>
      <t xml:space="preserve">）统计表            </t>
    </r>
    <r>
      <rPr>
        <sz val="14"/>
        <rFont val="宋体"/>
        <charset val="134"/>
      </rPr>
      <t>201</t>
    </r>
    <r>
      <rPr>
        <sz val="14"/>
        <rFont val="宋体"/>
        <family val="3"/>
        <charset val="134"/>
      </rPr>
      <t>8</t>
    </r>
    <r>
      <rPr>
        <sz val="14"/>
        <rFont val="宋体"/>
        <family val="3"/>
        <charset val="134"/>
      </rPr>
      <t>101</t>
    </r>
    <r>
      <rPr>
        <sz val="14"/>
        <rFont val="宋体"/>
        <family val="3"/>
        <charset val="134"/>
      </rPr>
      <t>7</t>
    </r>
    <phoneticPr fontId="2" type="noConversion"/>
  </si>
  <si>
    <r>
      <t>1</t>
    </r>
    <r>
      <rPr>
        <sz val="18"/>
        <rFont val="宋体"/>
        <family val="3"/>
        <charset val="134"/>
      </rPr>
      <t>8</t>
    </r>
    <r>
      <rPr>
        <sz val="18"/>
        <rFont val="宋体"/>
        <family val="3"/>
        <charset val="134"/>
      </rPr>
      <t>01班</t>
    </r>
    <phoneticPr fontId="2" type="noConversion"/>
  </si>
  <si>
    <r>
      <t>1</t>
    </r>
    <r>
      <rPr>
        <sz val="18"/>
        <rFont val="宋体"/>
        <family val="3"/>
        <charset val="134"/>
      </rPr>
      <t>8</t>
    </r>
    <r>
      <rPr>
        <sz val="18"/>
        <rFont val="宋体"/>
        <family val="3"/>
        <charset val="134"/>
      </rPr>
      <t>02班</t>
    </r>
    <phoneticPr fontId="2" type="noConversion"/>
  </si>
  <si>
    <r>
      <t>1803班</t>
    </r>
    <r>
      <rPr>
        <sz val="18"/>
        <rFont val="宋体"/>
        <family val="3"/>
        <charset val="134"/>
      </rPr>
      <t/>
    </r>
  </si>
  <si>
    <r>
      <t>1804班</t>
    </r>
    <r>
      <rPr>
        <sz val="18"/>
        <rFont val="宋体"/>
        <family val="3"/>
        <charset val="134"/>
      </rPr>
      <t/>
    </r>
  </si>
  <si>
    <r>
      <t>1805班</t>
    </r>
    <r>
      <rPr>
        <sz val="18"/>
        <rFont val="宋体"/>
        <family val="3"/>
        <charset val="134"/>
      </rPr>
      <t/>
    </r>
  </si>
  <si>
    <r>
      <t>1806班</t>
    </r>
    <r>
      <rPr>
        <sz val="18"/>
        <rFont val="宋体"/>
        <family val="3"/>
        <charset val="134"/>
      </rPr>
      <t/>
    </r>
  </si>
  <si>
    <r>
      <t>1807班</t>
    </r>
    <r>
      <rPr>
        <sz val="18"/>
        <rFont val="宋体"/>
        <family val="3"/>
        <charset val="134"/>
      </rPr>
      <t/>
    </r>
  </si>
  <si>
    <r>
      <t>1808班</t>
    </r>
    <r>
      <rPr>
        <sz val="18"/>
        <rFont val="宋体"/>
        <family val="3"/>
        <charset val="134"/>
      </rPr>
      <t/>
    </r>
  </si>
  <si>
    <r>
      <t>1809班</t>
    </r>
    <r>
      <rPr>
        <sz val="18"/>
        <rFont val="宋体"/>
        <family val="3"/>
        <charset val="134"/>
      </rPr>
      <t/>
    </r>
  </si>
  <si>
    <r>
      <t>1810班</t>
    </r>
    <r>
      <rPr>
        <sz val="18"/>
        <rFont val="宋体"/>
        <family val="3"/>
        <charset val="134"/>
      </rPr>
      <t/>
    </r>
  </si>
  <si>
    <r>
      <t>1811班</t>
    </r>
    <r>
      <rPr>
        <sz val="18"/>
        <rFont val="宋体"/>
        <family val="3"/>
        <charset val="134"/>
      </rPr>
      <t/>
    </r>
  </si>
  <si>
    <r>
      <t>1812班</t>
    </r>
    <r>
      <rPr>
        <sz val="18"/>
        <rFont val="宋体"/>
        <family val="3"/>
        <charset val="134"/>
      </rPr>
      <t/>
    </r>
  </si>
  <si>
    <r>
      <t>1813班</t>
    </r>
    <r>
      <rPr>
        <sz val="18"/>
        <rFont val="宋体"/>
        <family val="3"/>
        <charset val="134"/>
      </rPr>
      <t/>
    </r>
  </si>
  <si>
    <r>
      <t>1814班</t>
    </r>
    <r>
      <rPr>
        <sz val="18"/>
        <rFont val="宋体"/>
        <family val="3"/>
        <charset val="134"/>
      </rPr>
      <t/>
    </r>
  </si>
  <si>
    <r>
      <t>1815班</t>
    </r>
    <r>
      <rPr>
        <sz val="18"/>
        <rFont val="宋体"/>
        <family val="3"/>
        <charset val="134"/>
      </rPr>
      <t/>
    </r>
  </si>
  <si>
    <r>
      <t>1816班</t>
    </r>
    <r>
      <rPr>
        <sz val="18"/>
        <rFont val="宋体"/>
        <family val="3"/>
        <charset val="134"/>
      </rPr>
      <t/>
    </r>
  </si>
  <si>
    <r>
      <t>1817班</t>
    </r>
    <r>
      <rPr>
        <sz val="18"/>
        <rFont val="宋体"/>
        <family val="3"/>
        <charset val="134"/>
      </rPr>
      <t/>
    </r>
  </si>
  <si>
    <r>
      <t>1</t>
    </r>
    <r>
      <rPr>
        <sz val="18"/>
        <rFont val="宋体"/>
        <family val="3"/>
        <charset val="134"/>
      </rPr>
      <t>8</t>
    </r>
    <r>
      <rPr>
        <sz val="18"/>
        <rFont val="宋体"/>
        <family val="3"/>
        <charset val="134"/>
      </rPr>
      <t>18班</t>
    </r>
    <phoneticPr fontId="2" type="noConversion"/>
  </si>
  <si>
    <r>
      <t>1</t>
    </r>
    <r>
      <rPr>
        <sz val="18"/>
        <rFont val="宋体"/>
        <family val="3"/>
        <charset val="134"/>
      </rPr>
      <t>8</t>
    </r>
    <r>
      <rPr>
        <sz val="18"/>
        <rFont val="宋体"/>
        <family val="3"/>
        <charset val="134"/>
      </rPr>
      <t>19班</t>
    </r>
    <phoneticPr fontId="2" type="noConversion"/>
  </si>
  <si>
    <r>
      <t>1</t>
    </r>
    <r>
      <rPr>
        <sz val="18"/>
        <rFont val="宋体"/>
        <family val="3"/>
        <charset val="134"/>
      </rPr>
      <t>8</t>
    </r>
    <r>
      <rPr>
        <sz val="18"/>
        <rFont val="宋体"/>
        <family val="3"/>
        <charset val="134"/>
      </rPr>
      <t>20班</t>
    </r>
    <phoneticPr fontId="2" type="noConversion"/>
  </si>
  <si>
    <r>
      <t>高一年级月考（1）成绩贡献值    2018101</t>
    </r>
    <r>
      <rPr>
        <sz val="12"/>
        <rFont val="宋体"/>
        <charset val="134"/>
      </rPr>
      <t>7</t>
    </r>
    <phoneticPr fontId="84" type="noConversion"/>
  </si>
  <si>
    <t>月考总分</t>
  </si>
  <si>
    <t>班级排名</t>
  </si>
  <si>
    <t>年级排名</t>
  </si>
  <si>
    <t>化学</t>
    <phoneticPr fontId="2" type="noConversion"/>
  </si>
  <si>
    <t>语文单排</t>
    <phoneticPr fontId="2" type="noConversion"/>
  </si>
  <si>
    <t>数学单排</t>
    <phoneticPr fontId="2" type="noConversion"/>
  </si>
  <si>
    <t>英语单排</t>
    <phoneticPr fontId="2" type="noConversion"/>
  </si>
  <si>
    <t>物理单排</t>
    <phoneticPr fontId="2" type="noConversion"/>
  </si>
  <si>
    <t>化学单排</t>
    <phoneticPr fontId="2" type="noConversion"/>
  </si>
  <si>
    <t>生物单排</t>
    <phoneticPr fontId="2" type="noConversion"/>
  </si>
  <si>
    <t>赵立田</t>
    <phoneticPr fontId="2" type="noConversion"/>
  </si>
  <si>
    <t>韩洁莹</t>
    <phoneticPr fontId="2" type="noConversion"/>
  </si>
  <si>
    <t>邓惠方</t>
    <phoneticPr fontId="2" type="noConversion"/>
  </si>
  <si>
    <t>唐明映</t>
    <phoneticPr fontId="2" type="noConversion"/>
  </si>
  <si>
    <t>吕韵</t>
    <phoneticPr fontId="2" type="noConversion"/>
  </si>
  <si>
    <t>周莉</t>
    <phoneticPr fontId="2" type="noConversion"/>
  </si>
  <si>
    <t>罗仲威</t>
    <phoneticPr fontId="2" type="noConversion"/>
  </si>
  <si>
    <t>姚明霞</t>
    <phoneticPr fontId="2" type="noConversion"/>
  </si>
  <si>
    <t>夏琼妮</t>
    <phoneticPr fontId="2" type="noConversion"/>
  </si>
  <si>
    <t>朱巧红</t>
    <phoneticPr fontId="2" type="noConversion"/>
  </si>
  <si>
    <t>王东海</t>
    <phoneticPr fontId="2" type="noConversion"/>
  </si>
  <si>
    <t>梁彩玲</t>
    <phoneticPr fontId="2" type="noConversion"/>
  </si>
  <si>
    <t>杨丽</t>
    <phoneticPr fontId="2" type="noConversion"/>
  </si>
  <si>
    <t>彭宝娟</t>
    <phoneticPr fontId="2" type="noConversion"/>
  </si>
  <si>
    <t>苏昊</t>
    <phoneticPr fontId="2" type="noConversion"/>
  </si>
  <si>
    <t>张立丽</t>
    <phoneticPr fontId="2" type="noConversion"/>
  </si>
  <si>
    <t>谭远森</t>
    <phoneticPr fontId="2" type="noConversion"/>
  </si>
  <si>
    <t>杨春兰</t>
    <phoneticPr fontId="2" type="noConversion"/>
  </si>
  <si>
    <t>彭乾</t>
    <phoneticPr fontId="2" type="noConversion"/>
  </si>
  <si>
    <t>陈珍妮</t>
    <phoneticPr fontId="2" type="noConversion"/>
  </si>
  <si>
    <t>童碧斌</t>
    <phoneticPr fontId="2" type="noConversion"/>
  </si>
  <si>
    <t>周勇</t>
    <phoneticPr fontId="2" type="noConversion"/>
  </si>
  <si>
    <t>邹瑶</t>
    <phoneticPr fontId="2" type="noConversion"/>
  </si>
  <si>
    <t>陈柳燕</t>
    <phoneticPr fontId="2" type="noConversion"/>
  </si>
  <si>
    <t>李泉波</t>
    <phoneticPr fontId="2" type="noConversion"/>
  </si>
  <si>
    <t>叶彦灵</t>
    <phoneticPr fontId="2" type="noConversion"/>
  </si>
  <si>
    <t>陈清倩</t>
    <phoneticPr fontId="2" type="noConversion"/>
  </si>
  <si>
    <t>陈丽文</t>
    <phoneticPr fontId="2" type="noConversion"/>
  </si>
  <si>
    <t>彭湘玲</t>
    <phoneticPr fontId="2" type="noConversion"/>
  </si>
  <si>
    <t>陈东</t>
    <phoneticPr fontId="2" type="noConversion"/>
  </si>
  <si>
    <t>何忠林</t>
    <phoneticPr fontId="2" type="noConversion"/>
  </si>
  <si>
    <t>关宁</t>
    <phoneticPr fontId="2" type="noConversion"/>
  </si>
  <si>
    <t>卢珊</t>
    <phoneticPr fontId="2" type="noConversion"/>
  </si>
  <si>
    <t>龙辛夷</t>
    <phoneticPr fontId="2" type="noConversion"/>
  </si>
  <si>
    <t>左荣梅</t>
    <phoneticPr fontId="2" type="noConversion"/>
  </si>
  <si>
    <t>钟海妮</t>
    <phoneticPr fontId="2" type="noConversion"/>
  </si>
  <si>
    <t>杨君妮</t>
    <phoneticPr fontId="2" type="noConversion"/>
  </si>
  <si>
    <t>刘涛</t>
    <phoneticPr fontId="2" type="noConversion"/>
  </si>
  <si>
    <t>邱裕玲</t>
    <phoneticPr fontId="2" type="noConversion"/>
  </si>
  <si>
    <t>崔影杏</t>
    <phoneticPr fontId="2" type="noConversion"/>
  </si>
  <si>
    <t>孙绍华</t>
    <phoneticPr fontId="2" type="noConversion"/>
  </si>
  <si>
    <t>杨镇泽</t>
    <phoneticPr fontId="2" type="noConversion"/>
  </si>
  <si>
    <t>周刚</t>
    <phoneticPr fontId="2" type="noConversion"/>
  </si>
  <si>
    <t>林惠贞</t>
    <phoneticPr fontId="2" type="noConversion"/>
  </si>
  <si>
    <t>阳辉</t>
    <phoneticPr fontId="2" type="noConversion"/>
  </si>
  <si>
    <t>庞丽萍</t>
    <phoneticPr fontId="2" type="noConversion"/>
  </si>
  <si>
    <t>林鑫鑫</t>
    <phoneticPr fontId="2" type="noConversion"/>
  </si>
  <si>
    <t>冯舒雯</t>
    <phoneticPr fontId="2" type="noConversion"/>
  </si>
  <si>
    <t>赵莹</t>
    <phoneticPr fontId="2" type="noConversion"/>
  </si>
  <si>
    <t>黎佳</t>
    <phoneticPr fontId="2" type="noConversion"/>
  </si>
  <si>
    <t>黄惠芝</t>
    <phoneticPr fontId="2" type="noConversion"/>
  </si>
  <si>
    <t>杨伟勇</t>
    <phoneticPr fontId="2" type="noConversion"/>
  </si>
  <si>
    <t>张丽华</t>
    <phoneticPr fontId="2" type="noConversion"/>
  </si>
  <si>
    <t>陈欣宁</t>
    <phoneticPr fontId="2" type="noConversion"/>
  </si>
  <si>
    <t>黎彦宏</t>
    <phoneticPr fontId="2" type="noConversion"/>
  </si>
  <si>
    <t>霍民瑶</t>
    <phoneticPr fontId="2" type="noConversion"/>
  </si>
  <si>
    <t>张诚杰</t>
    <phoneticPr fontId="2" type="noConversion"/>
  </si>
  <si>
    <t>黄伟文</t>
    <phoneticPr fontId="2" type="noConversion"/>
  </si>
  <si>
    <t>赵汝生</t>
    <phoneticPr fontId="2" type="noConversion"/>
  </si>
  <si>
    <t>庞海容</t>
    <phoneticPr fontId="2" type="noConversion"/>
  </si>
  <si>
    <t>黎瑜莹</t>
    <phoneticPr fontId="2" type="noConversion"/>
  </si>
  <si>
    <t>欧漫宇</t>
    <phoneticPr fontId="2" type="noConversion"/>
  </si>
  <si>
    <t>班级</t>
    <phoneticPr fontId="2" type="noConversion"/>
  </si>
  <si>
    <r>
      <t>理科前5</t>
    </r>
    <r>
      <rPr>
        <sz val="12"/>
        <color indexed="10"/>
        <rFont val="宋体"/>
        <family val="3"/>
        <charset val="134"/>
      </rPr>
      <t>0名，前100名各班人数</t>
    </r>
    <phoneticPr fontId="2" type="noConversion"/>
  </si>
  <si>
    <t>前50名人数</t>
    <phoneticPr fontId="2" type="noConversion"/>
  </si>
  <si>
    <t>前100名人数</t>
    <phoneticPr fontId="2" type="noConversion"/>
  </si>
  <si>
    <t>合计</t>
    <phoneticPr fontId="2" type="noConversion"/>
  </si>
  <si>
    <r>
      <t>一本≥5</t>
    </r>
    <r>
      <rPr>
        <sz val="12"/>
        <rFont val="宋体"/>
        <family val="3"/>
        <charset val="134"/>
      </rPr>
      <t>01.5</t>
    </r>
    <phoneticPr fontId="84" type="noConversion"/>
  </si>
  <si>
    <t>二本≥227</t>
    <phoneticPr fontId="84" type="noConversion"/>
  </si>
  <si>
    <r>
      <t>一本≥1</t>
    </r>
    <r>
      <rPr>
        <sz val="12"/>
        <rFont val="宋体"/>
        <family val="3"/>
        <charset val="134"/>
      </rPr>
      <t>03</t>
    </r>
    <phoneticPr fontId="84" type="noConversion"/>
  </si>
  <si>
    <r>
      <t>二本≥</t>
    </r>
    <r>
      <rPr>
        <sz val="12"/>
        <rFont val="宋体"/>
        <charset val="134"/>
      </rPr>
      <t>5</t>
    </r>
    <r>
      <rPr>
        <sz val="12"/>
        <rFont val="宋体"/>
        <family val="3"/>
        <charset val="134"/>
      </rPr>
      <t>9</t>
    </r>
    <phoneticPr fontId="84" type="noConversion"/>
  </si>
  <si>
    <r>
      <t>一本≥8</t>
    </r>
    <r>
      <rPr>
        <sz val="12"/>
        <rFont val="宋体"/>
        <family val="3"/>
        <charset val="134"/>
      </rPr>
      <t>6</t>
    </r>
    <phoneticPr fontId="84" type="noConversion"/>
  </si>
  <si>
    <r>
      <t>二本≥1</t>
    </r>
    <r>
      <rPr>
        <sz val="12"/>
        <rFont val="宋体"/>
        <family val="3"/>
        <charset val="134"/>
      </rPr>
      <t>5</t>
    </r>
    <phoneticPr fontId="84" type="noConversion"/>
  </si>
  <si>
    <r>
      <t>一本≥10</t>
    </r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.5</t>
    </r>
    <phoneticPr fontId="84" type="noConversion"/>
  </si>
  <si>
    <r>
      <t>二本≥3</t>
    </r>
    <r>
      <rPr>
        <sz val="12"/>
        <rFont val="宋体"/>
        <family val="3"/>
        <charset val="134"/>
      </rPr>
      <t>5</t>
    </r>
    <phoneticPr fontId="84" type="noConversion"/>
  </si>
  <si>
    <r>
      <t>一本≥6</t>
    </r>
    <r>
      <rPr>
        <sz val="12"/>
        <rFont val="宋体"/>
        <family val="3"/>
        <charset val="134"/>
      </rPr>
      <t>1</t>
    </r>
    <phoneticPr fontId="84" type="noConversion"/>
  </si>
  <si>
    <r>
      <t>二本≥1</t>
    </r>
    <r>
      <rPr>
        <sz val="12"/>
        <rFont val="宋体"/>
        <family val="3"/>
        <charset val="134"/>
      </rPr>
      <t>1</t>
    </r>
    <phoneticPr fontId="84" type="noConversion"/>
  </si>
  <si>
    <r>
      <t>一本≥7</t>
    </r>
    <r>
      <rPr>
        <sz val="12"/>
        <rFont val="宋体"/>
        <family val="3"/>
        <charset val="134"/>
      </rPr>
      <t>7</t>
    </r>
    <phoneticPr fontId="84" type="noConversion"/>
  </si>
  <si>
    <r>
      <t>二本≥2</t>
    </r>
    <r>
      <rPr>
        <sz val="12"/>
        <rFont val="宋体"/>
        <family val="3"/>
        <charset val="134"/>
      </rPr>
      <t>1</t>
    </r>
    <phoneticPr fontId="84" type="noConversion"/>
  </si>
  <si>
    <r>
      <t>一本≥6</t>
    </r>
    <r>
      <rPr>
        <sz val="12"/>
        <rFont val="宋体"/>
        <family val="3"/>
        <charset val="134"/>
      </rPr>
      <t>3</t>
    </r>
    <phoneticPr fontId="84" type="noConversion"/>
  </si>
  <si>
    <r>
      <t>二本≥2</t>
    </r>
    <r>
      <rPr>
        <sz val="12"/>
        <rFont val="宋体"/>
        <family val="3"/>
        <charset val="134"/>
      </rPr>
      <t>5</t>
    </r>
    <phoneticPr fontId="84" type="noConversion"/>
  </si>
  <si>
    <r>
      <t>一本≥4</t>
    </r>
    <r>
      <rPr>
        <sz val="12"/>
        <rFont val="宋体"/>
        <family val="3"/>
        <charset val="134"/>
      </rPr>
      <t>84.5</t>
    </r>
    <phoneticPr fontId="84" type="noConversion"/>
  </si>
  <si>
    <r>
      <t>二本≥3</t>
    </r>
    <r>
      <rPr>
        <sz val="12"/>
        <rFont val="宋体"/>
        <family val="3"/>
        <charset val="134"/>
      </rPr>
      <t>99.5</t>
    </r>
    <phoneticPr fontId="84" type="noConversion"/>
  </si>
  <si>
    <r>
      <t>一本≥1</t>
    </r>
    <r>
      <rPr>
        <sz val="12"/>
        <rFont val="宋体"/>
        <family val="3"/>
        <charset val="134"/>
      </rPr>
      <t>10</t>
    </r>
    <phoneticPr fontId="84" type="noConversion"/>
  </si>
  <si>
    <r>
      <t>二本≥7</t>
    </r>
    <r>
      <rPr>
        <sz val="12"/>
        <rFont val="宋体"/>
        <family val="3"/>
        <charset val="134"/>
      </rPr>
      <t>8</t>
    </r>
    <phoneticPr fontId="84" type="noConversion"/>
  </si>
  <si>
    <r>
      <t>一本≥6</t>
    </r>
    <r>
      <rPr>
        <sz val="12"/>
        <rFont val="宋体"/>
        <family val="3"/>
        <charset val="134"/>
      </rPr>
      <t>9</t>
    </r>
    <phoneticPr fontId="84" type="noConversion"/>
  </si>
  <si>
    <r>
      <t>二本≥3</t>
    </r>
    <r>
      <rPr>
        <sz val="12"/>
        <rFont val="宋体"/>
        <family val="3"/>
        <charset val="134"/>
      </rPr>
      <t>1</t>
    </r>
    <phoneticPr fontId="84" type="noConversion"/>
  </si>
  <si>
    <r>
      <t>一本≥1</t>
    </r>
    <r>
      <rPr>
        <sz val="12"/>
        <rFont val="宋体"/>
        <family val="3"/>
        <charset val="134"/>
      </rPr>
      <t>08.5</t>
    </r>
    <phoneticPr fontId="84" type="noConversion"/>
  </si>
  <si>
    <r>
      <t>二本≥6</t>
    </r>
    <r>
      <rPr>
        <sz val="12"/>
        <rFont val="宋体"/>
        <family val="3"/>
        <charset val="134"/>
      </rPr>
      <t>9.5</t>
    </r>
    <phoneticPr fontId="84" type="noConversion"/>
  </si>
  <si>
    <r>
      <t>一本≥7</t>
    </r>
    <r>
      <rPr>
        <sz val="12"/>
        <rFont val="宋体"/>
        <family val="3"/>
        <charset val="134"/>
      </rPr>
      <t>5</t>
    </r>
    <phoneticPr fontId="84" type="noConversion"/>
  </si>
  <si>
    <r>
      <t>二本≥5</t>
    </r>
    <r>
      <rPr>
        <sz val="12"/>
        <rFont val="宋体"/>
        <family val="3"/>
        <charset val="134"/>
      </rPr>
      <t>0</t>
    </r>
    <phoneticPr fontId="84" type="noConversion"/>
  </si>
  <si>
    <r>
      <t>一本≥7</t>
    </r>
    <r>
      <rPr>
        <sz val="12"/>
        <rFont val="宋体"/>
        <family val="3"/>
        <charset val="134"/>
      </rPr>
      <t>2</t>
    </r>
    <phoneticPr fontId="84" type="noConversion"/>
  </si>
  <si>
    <r>
      <t>二本≥</t>
    </r>
    <r>
      <rPr>
        <sz val="12"/>
        <rFont val="宋体"/>
        <charset val="134"/>
      </rPr>
      <t>5</t>
    </r>
    <r>
      <rPr>
        <sz val="12"/>
        <rFont val="宋体"/>
        <family val="3"/>
        <charset val="134"/>
      </rPr>
      <t>1</t>
    </r>
    <phoneticPr fontId="84" type="noConversion"/>
  </si>
  <si>
    <r>
      <t>一本≥5</t>
    </r>
    <r>
      <rPr>
        <sz val="12"/>
        <rFont val="宋体"/>
        <family val="3"/>
        <charset val="134"/>
      </rPr>
      <t>2</t>
    </r>
    <phoneticPr fontId="84" type="noConversion"/>
  </si>
  <si>
    <r>
      <t>二本≥3</t>
    </r>
    <r>
      <rPr>
        <sz val="12"/>
        <rFont val="宋体"/>
        <family val="3"/>
        <charset val="134"/>
      </rPr>
      <t>3</t>
    </r>
    <phoneticPr fontId="84" type="noConversion"/>
  </si>
  <si>
    <t>完成情况</t>
    <phoneticPr fontId="84" type="noConversion"/>
  </si>
  <si>
    <t xml:space="preserve"> </t>
    <phoneticPr fontId="84" type="noConversion"/>
  </si>
  <si>
    <t>及格率名次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</si>
</sst>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1" formatCode="_ * #,##0_ ;_ * \-#,##0_ ;_ * &quot;-&quot;_ ;_ @_ "/>
    <numFmt numFmtId="43" formatCode="_ * #,##0.00_ ;_ * \-#,##0.00_ ;_ * &quot;-&quot;??_ ;_ @_ "/>
    <numFmt numFmtId="183" formatCode="_-* #,##0.00_-;\-* #,##0.00_-;_-* &quot;-&quot;??_-;_-@_-"/>
    <numFmt numFmtId="184" formatCode="&quot;$&quot;#,##0_);[Red]\(&quot;$&quot;#,##0\)"/>
    <numFmt numFmtId="185" formatCode="&quot;$&quot;#,##0.00_);[Red]\(&quot;$&quot;#,##0.00\)"/>
    <numFmt numFmtId="186" formatCode="_(&quot;$&quot;* #,##0_);_(&quot;$&quot;* \(#,##0\);_(&quot;$&quot;* &quot;-&quot;_);_(@_)"/>
    <numFmt numFmtId="188" formatCode="_(&quot;$&quot;* #,##0.00_);_(&quot;$&quot;* \(#,##0.00\);_(&quot;$&quot;* &quot;-&quot;??_);_(@_)"/>
    <numFmt numFmtId="190" formatCode="0.00_);[Red]\(0.00\)"/>
    <numFmt numFmtId="191" formatCode="0.00_ "/>
    <numFmt numFmtId="192" formatCode="0_ "/>
    <numFmt numFmtId="193" formatCode="0_);[Red]\(0\)"/>
    <numFmt numFmtId="194" formatCode="0_ ;[Red]\-0\ "/>
    <numFmt numFmtId="195" formatCode="#,##0;\-#,##0;&quot;-&quot;"/>
    <numFmt numFmtId="196" formatCode="#,##0;\(#,##0\)"/>
    <numFmt numFmtId="197" formatCode="_-&quot;$&quot;* #,##0_-;\-&quot;$&quot;* #,##0_-;_-&quot;$&quot;* &quot;-&quot;_-;_-@_-"/>
    <numFmt numFmtId="198" formatCode="\$#,##0.00;\(\$#,##0.00\)"/>
    <numFmt numFmtId="199" formatCode="\$#,##0;\(\$#,##0\)"/>
    <numFmt numFmtId="200" formatCode="_-* #,##0_$_-;\-* #,##0_$_-;_-* &quot;-&quot;_$_-;_-@_-"/>
    <numFmt numFmtId="201" formatCode="_-* #,##0.00_$_-;\-* #,##0.00_$_-;_-* &quot;-&quot;??_$_-;_-@_-"/>
    <numFmt numFmtId="202" formatCode="_-* #,##0&quot;$&quot;_-;\-* #,##0&quot;$&quot;_-;_-* &quot;-&quot;&quot;$&quot;_-;_-@_-"/>
    <numFmt numFmtId="203" formatCode="_-* #,##0.00&quot;$&quot;_-;\-* #,##0.00&quot;$&quot;_-;_-* &quot;-&quot;??&quot;$&quot;_-;_-@_-"/>
    <numFmt numFmtId="204" formatCode="0.0"/>
    <numFmt numFmtId="205" formatCode="yy\.mm\.dd"/>
    <numFmt numFmtId="206" formatCode="#,##0.0_);\(#,##0.0\)"/>
    <numFmt numFmtId="207" formatCode="&quot;$&quot;\ #,##0_-;[Red]&quot;$&quot;\ #,##0\-"/>
    <numFmt numFmtId="208" formatCode="&quot;$&quot;\ #,##0.00_-;[Red]&quot;$&quot;\ #,##0.00\-"/>
    <numFmt numFmtId="209" formatCode="_-&quot;$&quot;\ * #,##0_-;_-&quot;$&quot;\ * #,##0\-;_-&quot;$&quot;\ * &quot;-&quot;_-;_-@_-"/>
    <numFmt numFmtId="210" formatCode="_-&quot;$&quot;\ * #,##0.00_-;_-&quot;$&quot;\ * #,##0.00\-;_-&quot;$&quot;\ * &quot;-&quot;??_-;_-@_-"/>
  </numFmts>
  <fonts count="11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6"/>
      <name val="宋体"/>
      <charset val="134"/>
    </font>
    <font>
      <sz val="12"/>
      <color indexed="1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4"/>
      <name val="宋体"/>
      <charset val="134"/>
    </font>
    <font>
      <b/>
      <sz val="11"/>
      <name val="宋体"/>
      <charset val="134"/>
    </font>
    <font>
      <sz val="10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Geneva"/>
      <family val="2"/>
    </font>
    <font>
      <sz val="10"/>
      <name val="楷体_GB2312"/>
      <family val="3"/>
      <charset val="134"/>
    </font>
    <font>
      <sz val="11"/>
      <color indexed="8"/>
      <name val="宋体"/>
      <charset val="134"/>
    </font>
    <font>
      <sz val="12"/>
      <color indexed="8"/>
      <name val="楷体_GB2312"/>
      <family val="3"/>
      <charset val="134"/>
    </font>
    <font>
      <sz val="11"/>
      <color indexed="9"/>
      <name val="宋体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charset val="134"/>
    </font>
    <font>
      <sz val="8"/>
      <name val="Times New Roman"/>
      <family val="1"/>
    </font>
    <font>
      <sz val="11"/>
      <color indexed="20"/>
      <name val="宋体"/>
      <charset val="134"/>
    </font>
    <font>
      <sz val="10"/>
      <color indexed="8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0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name val="Arial"/>
      <family val="2"/>
    </font>
    <font>
      <sz val="11"/>
      <color indexed="62"/>
      <name val="宋体"/>
      <charset val="134"/>
    </font>
    <font>
      <sz val="12"/>
      <name val="Helv"/>
      <family val="2"/>
    </font>
    <font>
      <sz val="11"/>
      <color indexed="52"/>
      <name val="宋体"/>
      <charset val="134"/>
    </font>
    <font>
      <sz val="12"/>
      <color indexed="9"/>
      <name val="Helv"/>
      <family val="2"/>
    </font>
    <font>
      <sz val="10"/>
      <name val="MS Sans Serif"/>
      <family val="2"/>
    </font>
    <font>
      <sz val="11"/>
      <color indexed="60"/>
      <name val="宋体"/>
      <charset val="134"/>
    </font>
    <font>
      <sz val="7"/>
      <name val="Small Fonts"/>
      <family val="2"/>
    </font>
    <font>
      <b/>
      <sz val="11"/>
      <color indexed="63"/>
      <name val="宋体"/>
      <charset val="134"/>
    </font>
    <font>
      <b/>
      <sz val="10"/>
      <name val="Tms Rmn"/>
      <family val="1"/>
    </font>
    <font>
      <sz val="10"/>
      <color indexed="8"/>
      <name val="MS Sans Serif"/>
      <family val="2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楷体_GB2312"/>
      <family val="3"/>
      <charset val="134"/>
    </font>
    <font>
      <b/>
      <sz val="13"/>
      <color indexed="56"/>
      <name val="楷体_GB2312"/>
      <family val="3"/>
      <charset val="134"/>
    </font>
    <font>
      <b/>
      <sz val="11"/>
      <color indexed="56"/>
      <name val="楷体_GB2312"/>
      <family val="3"/>
      <charset val="134"/>
    </font>
    <font>
      <b/>
      <sz val="14"/>
      <name val="楷体"/>
      <family val="3"/>
      <charset val="134"/>
    </font>
    <font>
      <b/>
      <sz val="18"/>
      <color indexed="62"/>
      <name val="宋体"/>
      <charset val="134"/>
    </font>
    <font>
      <sz val="10"/>
      <name val="楷体"/>
      <family val="3"/>
      <charset val="134"/>
    </font>
    <font>
      <sz val="12"/>
      <color indexed="20"/>
      <name val="楷体_GB2312"/>
      <family val="3"/>
      <charset val="134"/>
    </font>
    <font>
      <sz val="12"/>
      <color indexed="20"/>
      <name val="宋体"/>
      <charset val="134"/>
    </font>
    <font>
      <sz val="10.5"/>
      <color indexed="20"/>
      <name val="宋体"/>
      <charset val="134"/>
    </font>
    <font>
      <sz val="12"/>
      <color indexed="16"/>
      <name val="宋体"/>
      <charset val="134"/>
    </font>
    <font>
      <sz val="12"/>
      <name val="官帕眉"/>
      <charset val="134"/>
    </font>
    <font>
      <sz val="12"/>
      <color indexed="17"/>
      <name val="楷体_GB2312"/>
      <family val="3"/>
      <charset val="134"/>
    </font>
    <font>
      <sz val="12"/>
      <color indexed="17"/>
      <name val="宋体"/>
      <charset val="134"/>
    </font>
    <font>
      <sz val="10.5"/>
      <color indexed="17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楷体_GB2312"/>
      <family val="3"/>
      <charset val="134"/>
    </font>
    <font>
      <b/>
      <sz val="12"/>
      <color indexed="8"/>
      <name val="宋体"/>
      <charset val="134"/>
    </font>
    <font>
      <b/>
      <sz val="12"/>
      <color indexed="52"/>
      <name val="楷体_GB2312"/>
      <family val="3"/>
      <charset val="134"/>
    </font>
    <font>
      <b/>
      <sz val="12"/>
      <color indexed="9"/>
      <name val="楷体_GB2312"/>
      <family val="3"/>
      <charset val="134"/>
    </font>
    <font>
      <i/>
      <sz val="12"/>
      <color indexed="23"/>
      <name val="楷体_GB2312"/>
      <family val="3"/>
      <charset val="134"/>
    </font>
    <font>
      <sz val="12"/>
      <color indexed="10"/>
      <name val="楷体_GB2312"/>
      <family val="3"/>
      <charset val="134"/>
    </font>
    <font>
      <sz val="12"/>
      <color indexed="52"/>
      <name val="楷体_GB2312"/>
      <family val="3"/>
      <charset val="134"/>
    </font>
    <font>
      <sz val="11"/>
      <name val="ＭＳ Ｐゴシック"/>
      <family val="2"/>
    </font>
    <font>
      <sz val="12"/>
      <name val="바탕체"/>
      <family val="3"/>
    </font>
    <font>
      <sz val="12"/>
      <color indexed="60"/>
      <name val="楷体_GB2312"/>
      <family val="3"/>
      <charset val="134"/>
    </font>
    <font>
      <b/>
      <sz val="12"/>
      <color indexed="63"/>
      <name val="楷体_GB2312"/>
      <family val="3"/>
      <charset val="134"/>
    </font>
    <font>
      <sz val="12"/>
      <color indexed="62"/>
      <name val="楷体_GB2312"/>
      <family val="3"/>
      <charset val="134"/>
    </font>
    <font>
      <sz val="12"/>
      <name val="Courier"/>
      <family val="3"/>
    </font>
    <font>
      <sz val="12"/>
      <name val="宋体"/>
      <family val="3"/>
      <charset val="134"/>
    </font>
    <font>
      <sz val="20"/>
      <name val="宋体"/>
      <family val="3"/>
      <charset val="134"/>
    </font>
    <font>
      <sz val="1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20"/>
      <name val="宋体"/>
      <family val="3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  <font>
      <sz val="16"/>
      <name val="宋体"/>
      <family val="3"/>
      <charset val="134"/>
    </font>
    <font>
      <b/>
      <sz val="10"/>
      <color indexed="8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name val="宋体"/>
      <family val="3"/>
      <charset val="134"/>
    </font>
    <font>
      <b/>
      <sz val="16"/>
      <name val="宋体"/>
      <family val="3"/>
      <charset val="134"/>
    </font>
    <font>
      <sz val="20"/>
      <name val="宋体"/>
      <family val="3"/>
      <charset val="134"/>
    </font>
    <font>
      <sz val="14"/>
      <name val="宋体"/>
      <family val="3"/>
      <charset val="134"/>
    </font>
    <font>
      <sz val="18"/>
      <name val="宋体"/>
      <family val="3"/>
      <charset val="134"/>
    </font>
    <font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gray0625"/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73">
    <xf numFmtId="0" fontId="0" fillId="0" borderId="0">
      <alignment vertical="center"/>
    </xf>
    <xf numFmtId="0" fontId="15" fillId="0" borderId="0"/>
    <xf numFmtId="0" fontId="14" fillId="0" borderId="0">
      <protection locked="0"/>
    </xf>
    <xf numFmtId="0" fontId="15" fillId="0" borderId="0"/>
    <xf numFmtId="0" fontId="16" fillId="0" borderId="0"/>
    <xf numFmtId="0" fontId="17" fillId="0" borderId="0"/>
    <xf numFmtId="49" fontId="14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6" fillId="0" borderId="0">
      <protection locked="0"/>
    </xf>
    <xf numFmtId="0" fontId="23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23" fillId="36" borderId="0" applyNumberFormat="0" applyBorder="0" applyAlignment="0" applyProtection="0"/>
    <xf numFmtId="0" fontId="21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42" borderId="0" applyNumberFormat="0" applyBorder="0" applyAlignment="0" applyProtection="0">
      <alignment vertical="center"/>
    </xf>
    <xf numFmtId="0" fontId="23" fillId="41" borderId="0" applyNumberFormat="0" applyBorder="0" applyAlignment="0" applyProtection="0"/>
    <xf numFmtId="0" fontId="11" fillId="39" borderId="0" applyNumberFormat="0" applyBorder="0" applyAlignment="0" applyProtection="0"/>
    <xf numFmtId="0" fontId="11" fillId="43" borderId="0" applyNumberFormat="0" applyBorder="0" applyAlignment="0" applyProtection="0"/>
    <xf numFmtId="0" fontId="23" fillId="40" borderId="0" applyNumberFormat="0" applyBorder="0" applyAlignment="0" applyProtection="0"/>
    <xf numFmtId="0" fontId="21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26" borderId="0" applyNumberFormat="0" applyBorder="0" applyAlignment="0" applyProtection="0">
      <alignment vertical="center"/>
    </xf>
    <xf numFmtId="0" fontId="23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35" borderId="0" applyNumberFormat="0" applyBorder="0" applyAlignment="0" applyProtection="0"/>
    <xf numFmtId="0" fontId="23" fillId="36" borderId="0" applyNumberFormat="0" applyBorder="0" applyAlignment="0" applyProtection="0"/>
    <xf numFmtId="0" fontId="21" fillId="27" borderId="0" applyNumberFormat="0" applyBorder="0" applyAlignment="0" applyProtection="0">
      <alignment vertical="center"/>
    </xf>
    <xf numFmtId="0" fontId="23" fillId="46" borderId="0" applyNumberFormat="0" applyBorder="0" applyAlignment="0" applyProtection="0"/>
    <xf numFmtId="0" fontId="11" fillId="39" borderId="0" applyNumberFormat="0" applyBorder="0" applyAlignment="0" applyProtection="0"/>
    <xf numFmtId="0" fontId="11" fillId="47" borderId="0" applyNumberFormat="0" applyBorder="0" applyAlignment="0" applyProtection="0"/>
    <xf numFmtId="0" fontId="23" fillId="47" borderId="0" applyNumberFormat="0" applyBorder="0" applyAlignment="0" applyProtection="0"/>
    <xf numFmtId="0" fontId="21" fillId="48" borderId="0" applyNumberFormat="0" applyBorder="0" applyAlignment="0" applyProtection="0">
      <alignment vertical="center"/>
    </xf>
    <xf numFmtId="0" fontId="24" fillId="0" borderId="0">
      <alignment horizontal="center" wrapText="1"/>
      <protection locked="0"/>
    </xf>
    <xf numFmtId="0" fontId="25" fillId="3" borderId="0" applyNumberFormat="0" applyBorder="0" applyAlignment="0" applyProtection="0">
      <alignment vertical="center"/>
    </xf>
    <xf numFmtId="195" fontId="26" fillId="0" borderId="0" applyFill="0" applyBorder="0" applyAlignment="0"/>
    <xf numFmtId="0" fontId="27" fillId="23" borderId="1" applyNumberFormat="0" applyAlignment="0" applyProtection="0">
      <alignment vertical="center"/>
    </xf>
    <xf numFmtId="0" fontId="28" fillId="49" borderId="2" applyNumberFormat="0" applyAlignment="0" applyProtection="0">
      <alignment vertical="center"/>
    </xf>
    <xf numFmtId="41" fontId="14" fillId="0" borderId="0" applyFont="0" applyFill="0" applyBorder="0" applyAlignment="0" applyProtection="0"/>
    <xf numFmtId="196" fontId="30" fillId="0" borderId="0"/>
    <xf numFmtId="183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198" fontId="30" fillId="0" borderId="0"/>
    <xf numFmtId="0" fontId="31" fillId="0" borderId="0" applyProtection="0"/>
    <xf numFmtId="199" fontId="30" fillId="0" borderId="0"/>
    <xf numFmtId="0" fontId="32" fillId="0" borderId="0" applyNumberFormat="0" applyFill="0" applyBorder="0" applyAlignment="0" applyProtection="0">
      <alignment vertical="center"/>
    </xf>
    <xf numFmtId="0" fontId="1" fillId="0" borderId="0"/>
    <xf numFmtId="2" fontId="31" fillId="0" borderId="0" applyProtection="0"/>
    <xf numFmtId="0" fontId="15" fillId="0" borderId="0"/>
    <xf numFmtId="0" fontId="33" fillId="4" borderId="0" applyNumberFormat="0" applyBorder="0" applyAlignment="0" applyProtection="0">
      <alignment vertical="center"/>
    </xf>
    <xf numFmtId="38" fontId="34" fillId="50" borderId="0" applyNumberFormat="0" applyBorder="0" applyAlignment="0" applyProtection="0"/>
    <xf numFmtId="0" fontId="35" fillId="0" borderId="3" applyNumberFormat="0" applyAlignment="0" applyProtection="0">
      <alignment horizontal="left" vertical="center"/>
    </xf>
    <xf numFmtId="0" fontId="35" fillId="0" borderId="4">
      <alignment horizontal="left" vertical="center"/>
    </xf>
    <xf numFmtId="0" fontId="36" fillId="0" borderId="5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Protection="0"/>
    <xf numFmtId="0" fontId="35" fillId="0" borderId="0" applyProtection="0"/>
    <xf numFmtId="0" fontId="40" fillId="7" borderId="1" applyNumberFormat="0" applyAlignment="0" applyProtection="0">
      <alignment vertical="center"/>
    </xf>
    <xf numFmtId="10" fontId="34" fillId="51" borderId="8" applyNumberFormat="0" applyBorder="0" applyAlignment="0" applyProtection="0"/>
    <xf numFmtId="206" fontId="41" fillId="52" borderId="0"/>
    <xf numFmtId="0" fontId="42" fillId="0" borderId="9" applyNumberFormat="0" applyFill="0" applyAlignment="0" applyProtection="0">
      <alignment vertical="center"/>
    </xf>
    <xf numFmtId="206" fontId="43" fillId="53" borderId="0"/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20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44" fillId="0" borderId="0" applyFont="0" applyFill="0" applyBorder="0" applyAlignment="0" applyProtection="0"/>
    <xf numFmtId="185" fontId="4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0" fontId="45" fillId="24" borderId="0" applyNumberFormat="0" applyBorder="0" applyAlignment="0" applyProtection="0">
      <alignment vertical="center"/>
    </xf>
    <xf numFmtId="0" fontId="30" fillId="0" borderId="0"/>
    <xf numFmtId="37" fontId="46" fillId="0" borderId="0"/>
    <xf numFmtId="0" fontId="41" fillId="0" borderId="0"/>
    <xf numFmtId="207" fontId="14" fillId="0" borderId="0"/>
    <xf numFmtId="0" fontId="16" fillId="0" borderId="0"/>
    <xf numFmtId="0" fontId="19" fillId="14" borderId="10" applyNumberFormat="0" applyFont="0" applyAlignment="0" applyProtection="0">
      <alignment vertical="center"/>
    </xf>
    <xf numFmtId="0" fontId="47" fillId="23" borderId="11" applyNumberFormat="0" applyAlignment="0" applyProtection="0">
      <alignment vertical="center"/>
    </xf>
    <xf numFmtId="14" fontId="24" fillId="0" borderId="0">
      <alignment horizontal="center" wrapText="1"/>
      <protection locked="0"/>
    </xf>
    <xf numFmtId="10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13" fontId="14" fillId="0" borderId="0" applyFont="0" applyFill="0" applyProtection="0"/>
    <xf numFmtId="0" fontId="44" fillId="0" borderId="0" applyNumberFormat="0" applyFont="0" applyFill="0" applyBorder="0" applyAlignment="0" applyProtection="0">
      <alignment horizontal="left"/>
    </xf>
    <xf numFmtId="15" fontId="44" fillId="0" borderId="0" applyFont="0" applyFill="0" applyBorder="0" applyAlignment="0" applyProtection="0"/>
    <xf numFmtId="4" fontId="44" fillId="0" borderId="0" applyFont="0" applyFill="0" applyBorder="0" applyAlignment="0" applyProtection="0"/>
    <xf numFmtId="0" fontId="29" fillId="0" borderId="12">
      <alignment horizontal="center"/>
    </xf>
    <xf numFmtId="3" fontId="44" fillId="0" borderId="0" applyFont="0" applyFill="0" applyBorder="0" applyAlignment="0" applyProtection="0"/>
    <xf numFmtId="0" fontId="44" fillId="54" borderId="0" applyNumberFormat="0" applyFont="0" applyBorder="0" applyAlignment="0" applyProtection="0"/>
    <xf numFmtId="0" fontId="1" fillId="0" borderId="0" applyNumberFormat="0" applyFill="0" applyBorder="0" applyAlignment="0" applyProtection="0"/>
    <xf numFmtId="0" fontId="48" fillId="55" borderId="13">
      <protection locked="0"/>
    </xf>
    <xf numFmtId="0" fontId="49" fillId="0" borderId="0"/>
    <xf numFmtId="0" fontId="48" fillId="55" borderId="13">
      <protection locked="0"/>
    </xf>
    <xf numFmtId="0" fontId="48" fillId="55" borderId="13">
      <protection locked="0"/>
    </xf>
    <xf numFmtId="0" fontId="50" fillId="0" borderId="0" applyNumberFormat="0" applyFill="0" applyBorder="0" applyAlignment="0" applyProtection="0">
      <alignment vertical="center"/>
    </xf>
    <xf numFmtId="0" fontId="31" fillId="0" borderId="14" applyProtection="0"/>
    <xf numFmtId="0" fontId="51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8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0" fontId="14" fillId="0" borderId="15" applyNumberFormat="0" applyFill="0" applyProtection="0">
      <alignment horizontal="right"/>
    </xf>
    <xf numFmtId="0" fontId="50" fillId="0" borderId="0" applyNumberFormat="0" applyFill="0" applyBorder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52" fillId="0" borderId="5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5" fillId="0" borderId="15" applyNumberFormat="0" applyFill="0" applyProtection="0">
      <alignment horizontal="center"/>
    </xf>
    <xf numFmtId="0" fontId="56" fillId="0" borderId="0" applyNumberFormat="0" applyFill="0" applyBorder="0" applyAlignment="0" applyProtection="0"/>
    <xf numFmtId="0" fontId="57" fillId="0" borderId="16" applyNumberFormat="0" applyFill="0" applyProtection="0">
      <alignment horizont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1" fillId="56" borderId="0" applyNumberFormat="0" applyBorder="0" applyAlignment="0" applyProtection="0"/>
    <xf numFmtId="0" fontId="6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1" fillId="56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61" fillId="56" borderId="0" applyNumberFormat="0" applyBorder="0" applyAlignment="0" applyProtection="0"/>
    <xf numFmtId="0" fontId="25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/>
    <xf numFmtId="0" fontId="19" fillId="0" borderId="0">
      <alignment vertical="center"/>
    </xf>
    <xf numFmtId="0" fontId="1" fillId="0" borderId="0">
      <alignment vertical="center"/>
    </xf>
    <xf numFmtId="0" fontId="14" fillId="0" borderId="0" applyNumberFormat="0" applyFont="0" applyFill="0" applyBorder="0" applyAlignment="0" applyProtection="0"/>
    <xf numFmtId="0" fontId="8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9" fontId="62" fillId="0" borderId="0" applyFont="0" applyFill="0" applyBorder="0" applyAlignment="0" applyProtection="0"/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4" fillId="43" borderId="0" applyNumberFormat="0" applyBorder="0" applyAlignment="0" applyProtection="0"/>
    <xf numFmtId="0" fontId="65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43" borderId="0" applyNumberFormat="0" applyBorder="0" applyAlignment="0" applyProtection="0"/>
    <xf numFmtId="0" fontId="64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64" fillId="43" borderId="0" applyNumberFormat="0" applyBorder="0" applyAlignment="0" applyProtection="0"/>
    <xf numFmtId="0" fontId="33" fillId="6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6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27" fillId="23" borderId="1" applyNumberFormat="0" applyAlignment="0" applyProtection="0">
      <alignment vertical="center"/>
    </xf>
    <xf numFmtId="0" fontId="69" fillId="23" borderId="1" applyNumberFormat="0" applyAlignment="0" applyProtection="0">
      <alignment vertical="center"/>
    </xf>
    <xf numFmtId="0" fontId="28" fillId="49" borderId="2" applyNumberFormat="0" applyAlignment="0" applyProtection="0">
      <alignment vertical="center"/>
    </xf>
    <xf numFmtId="0" fontId="70" fillId="49" borderId="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7" fillId="0" borderId="16" applyNumberFormat="0" applyFill="0" applyProtection="0">
      <alignment horizontal="left"/>
    </xf>
    <xf numFmtId="0" fontId="5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200" fontId="15" fillId="0" borderId="0" applyFont="0" applyFill="0" applyBorder="0" applyAlignment="0" applyProtection="0"/>
    <xf numFmtId="201" fontId="15" fillId="0" borderId="0" applyFont="0" applyFill="0" applyBorder="0" applyAlignment="0" applyProtection="0"/>
    <xf numFmtId="202" fontId="15" fillId="0" borderId="0" applyFont="0" applyFill="0" applyBorder="0" applyAlignment="0" applyProtection="0"/>
    <xf numFmtId="203" fontId="15" fillId="0" borderId="0" applyFont="0" applyFill="0" applyBorder="0" applyAlignment="0" applyProtection="0"/>
    <xf numFmtId="0" fontId="30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62" fillId="0" borderId="0"/>
    <xf numFmtId="0" fontId="68" fillId="57" borderId="0" applyNumberFormat="0" applyBorder="0" applyAlignment="0" applyProtection="0"/>
    <xf numFmtId="0" fontId="68" fillId="58" borderId="0" applyNumberFormat="0" applyBorder="0" applyAlignment="0" applyProtection="0"/>
    <xf numFmtId="0" fontId="68" fillId="59" borderId="0" applyNumberFormat="0" applyBorder="0" applyAlignment="0" applyProtection="0"/>
    <xf numFmtId="0" fontId="21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205" fontId="14" fillId="0" borderId="16" applyFill="0" applyProtection="0">
      <alignment horizontal="right"/>
    </xf>
    <xf numFmtId="0" fontId="14" fillId="0" borderId="15" applyNumberFormat="0" applyFill="0" applyProtection="0">
      <alignment horizontal="left"/>
    </xf>
    <xf numFmtId="0" fontId="45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47" fillId="23" borderId="11" applyNumberFormat="0" applyAlignment="0" applyProtection="0">
      <alignment vertical="center"/>
    </xf>
    <xf numFmtId="0" fontId="77" fillId="23" borderId="11" applyNumberFormat="0" applyAlignment="0" applyProtection="0">
      <alignment vertical="center"/>
    </xf>
    <xf numFmtId="0" fontId="40" fillId="7" borderId="1" applyNumberFormat="0" applyAlignment="0" applyProtection="0">
      <alignment vertical="center"/>
    </xf>
    <xf numFmtId="0" fontId="78" fillId="7" borderId="1" applyNumberFormat="0" applyAlignment="0" applyProtection="0">
      <alignment vertical="center"/>
    </xf>
    <xf numFmtId="1" fontId="14" fillId="0" borderId="16" applyFill="0" applyProtection="0">
      <alignment horizontal="center"/>
    </xf>
    <xf numFmtId="1" fontId="4" fillId="0" borderId="8">
      <alignment vertical="center"/>
      <protection locked="0"/>
    </xf>
    <xf numFmtId="0" fontId="79" fillId="0" borderId="0"/>
    <xf numFmtId="204" fontId="4" fillId="0" borderId="8">
      <alignment vertical="center"/>
      <protection locked="0"/>
    </xf>
    <xf numFmtId="0" fontId="14" fillId="0" borderId="0"/>
    <xf numFmtId="0" fontId="44" fillId="0" borderId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" fillId="14" borderId="10" applyNumberFormat="0" applyFont="0" applyAlignment="0" applyProtection="0">
      <alignment vertical="center"/>
    </xf>
    <xf numFmtId="0" fontId="1" fillId="14" borderId="10" applyNumberFormat="0" applyFont="0" applyAlignment="0" applyProtection="0">
      <alignment vertical="center"/>
    </xf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/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0" fillId="0" borderId="0" xfId="0" applyFont="1">
      <alignment vertical="center"/>
    </xf>
    <xf numFmtId="190" fontId="7" fillId="0" borderId="8" xfId="0" applyNumberFormat="1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0" fontId="82" fillId="0" borderId="8" xfId="0" applyFont="1" applyBorder="1" applyAlignment="1">
      <alignment horizontal="center" vertical="center"/>
    </xf>
    <xf numFmtId="0" fontId="82" fillId="0" borderId="8" xfId="0" applyFont="1" applyFill="1" applyBorder="1" applyAlignment="1">
      <alignment horizontal="center" vertical="center"/>
    </xf>
    <xf numFmtId="0" fontId="82" fillId="0" borderId="8" xfId="0" applyFont="1" applyBorder="1">
      <alignment vertical="center"/>
    </xf>
    <xf numFmtId="190" fontId="82" fillId="0" borderId="8" xfId="0" applyNumberFormat="1" applyFont="1" applyBorder="1" applyAlignment="1">
      <alignment horizontal="center" vertical="center"/>
    </xf>
    <xf numFmtId="193" fontId="82" fillId="0" borderId="8" xfId="0" applyNumberFormat="1" applyFont="1" applyBorder="1" applyAlignment="1">
      <alignment horizontal="center" vertical="center"/>
    </xf>
    <xf numFmtId="10" fontId="82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49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193" fontId="10" fillId="0" borderId="0" xfId="0" applyNumberFormat="1" applyFont="1" applyBorder="1" applyAlignment="1">
      <alignment horizontal="center" vertical="center"/>
    </xf>
    <xf numFmtId="190" fontId="0" fillId="0" borderId="8" xfId="0" applyNumberFormat="1" applyBorder="1" applyAlignment="1">
      <alignment horizontal="center" vertical="center"/>
    </xf>
    <xf numFmtId="19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83" fillId="0" borderId="0" xfId="308">
      <alignment vertical="center"/>
    </xf>
    <xf numFmtId="0" fontId="83" fillId="0" borderId="8" xfId="308" applyFont="1" applyBorder="1" applyAlignment="1">
      <alignment horizontal="center" vertical="center"/>
    </xf>
    <xf numFmtId="0" fontId="83" fillId="0" borderId="8" xfId="308" applyBorder="1" applyAlignment="1">
      <alignment horizontal="center" vertical="center"/>
    </xf>
    <xf numFmtId="192" fontId="83" fillId="0" borderId="8" xfId="308" applyNumberFormat="1" applyBorder="1" applyAlignment="1">
      <alignment horizontal="center" vertical="center"/>
    </xf>
    <xf numFmtId="0" fontId="83" fillId="0" borderId="8" xfId="308" applyBorder="1" applyAlignment="1">
      <alignment horizontal="center"/>
    </xf>
    <xf numFmtId="194" fontId="83" fillId="0" borderId="8" xfId="308" applyNumberFormat="1" applyFont="1" applyFill="1" applyBorder="1" applyAlignment="1">
      <alignment horizontal="center" vertical="center"/>
    </xf>
    <xf numFmtId="194" fontId="83" fillId="0" borderId="8" xfId="308" applyNumberFormat="1" applyBorder="1" applyAlignment="1">
      <alignment horizontal="center" vertical="center"/>
    </xf>
    <xf numFmtId="194" fontId="83" fillId="0" borderId="8" xfId="308" applyNumberFormat="1" applyFont="1" applyBorder="1" applyAlignment="1">
      <alignment horizontal="center" vertical="center"/>
    </xf>
    <xf numFmtId="194" fontId="83" fillId="0" borderId="0" xfId="308" applyNumberFormat="1">
      <alignment vertical="center"/>
    </xf>
    <xf numFmtId="0" fontId="83" fillId="0" borderId="8" xfId="308" applyBorder="1">
      <alignment vertical="center"/>
    </xf>
    <xf numFmtId="0" fontId="89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18" xfId="0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88" fillId="0" borderId="8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center" vertical="center" wrapText="1"/>
    </xf>
    <xf numFmtId="194" fontId="10" fillId="0" borderId="8" xfId="0" applyNumberFormat="1" applyFont="1" applyBorder="1" applyAlignment="1">
      <alignment horizontal="center" vertical="center"/>
    </xf>
    <xf numFmtId="0" fontId="97" fillId="0" borderId="0" xfId="0" applyFont="1" applyAlignment="1">
      <alignment horizontal="center" vertical="center" wrapText="1"/>
    </xf>
    <xf numFmtId="49" fontId="97" fillId="0" borderId="15" xfId="0" applyNumberFormat="1" applyFont="1" applyBorder="1" applyAlignment="1">
      <alignment horizontal="center" vertical="center" wrapText="1"/>
    </xf>
    <xf numFmtId="0" fontId="99" fillId="50" borderId="18" xfId="0" applyFont="1" applyFill="1" applyBorder="1" applyAlignment="1">
      <alignment horizontal="center" vertical="center"/>
    </xf>
    <xf numFmtId="0" fontId="100" fillId="0" borderId="8" xfId="0" applyFont="1" applyBorder="1" applyAlignment="1">
      <alignment horizontal="center" vertical="center"/>
    </xf>
    <xf numFmtId="0" fontId="100" fillId="0" borderId="8" xfId="0" quotePrefix="1" applyFont="1" applyBorder="1" applyAlignment="1">
      <alignment horizontal="center" vertical="center"/>
    </xf>
    <xf numFmtId="0" fontId="100" fillId="0" borderId="8" xfId="0" applyFont="1" applyBorder="1" applyAlignment="1">
      <alignment horizontal="center"/>
    </xf>
    <xf numFmtId="0" fontId="100" fillId="0" borderId="8" xfId="0" applyFont="1" applyFill="1" applyBorder="1" applyAlignment="1">
      <alignment horizontal="center" vertical="center"/>
    </xf>
    <xf numFmtId="0" fontId="100" fillId="0" borderId="8" xfId="0" applyFont="1" applyBorder="1" applyAlignment="1" applyProtection="1">
      <alignment horizontal="center" vertical="top"/>
      <protection locked="0"/>
    </xf>
    <xf numFmtId="49" fontId="10" fillId="0" borderId="19" xfId="0" applyNumberFormat="1" applyFont="1" applyBorder="1" applyAlignment="1">
      <alignment horizontal="center" vertical="center" wrapText="1"/>
    </xf>
    <xf numFmtId="194" fontId="10" fillId="0" borderId="19" xfId="0" applyNumberFormat="1" applyFont="1" applyBorder="1" applyAlignment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193" fontId="100" fillId="0" borderId="8" xfId="0" applyNumberFormat="1" applyFont="1" applyBorder="1" applyAlignment="1">
      <alignment horizontal="center" vertical="center"/>
    </xf>
    <xf numFmtId="0" fontId="101" fillId="0" borderId="8" xfId="0" applyFont="1" applyFill="1" applyBorder="1" applyAlignment="1">
      <alignment horizontal="center" vertical="center"/>
    </xf>
    <xf numFmtId="0" fontId="112" fillId="0" borderId="0" xfId="0" applyFont="1" applyBorder="1" applyAlignment="1">
      <alignment horizontal="center" vertical="center"/>
    </xf>
    <xf numFmtId="0" fontId="0" fillId="0" borderId="8" xfId="0" applyNumberFormat="1" applyBorder="1" applyAlignment="1" applyProtection="1">
      <alignment horizontal="center" vertical="center"/>
    </xf>
    <xf numFmtId="0" fontId="100" fillId="0" borderId="0" xfId="0" applyFont="1" applyAlignment="1">
      <alignment horizontal="center" vertical="center" wrapText="1"/>
    </xf>
    <xf numFmtId="0" fontId="107" fillId="0" borderId="8" xfId="0" applyFont="1" applyBorder="1" applyAlignment="1">
      <alignment horizontal="center" vertical="center"/>
    </xf>
    <xf numFmtId="0" fontId="112" fillId="0" borderId="0" xfId="0" applyFont="1" applyAlignment="1">
      <alignment vertical="center"/>
    </xf>
    <xf numFmtId="0" fontId="108" fillId="0" borderId="8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 wrapText="1"/>
    </xf>
    <xf numFmtId="194" fontId="108" fillId="0" borderId="8" xfId="308" applyNumberFormat="1" applyFont="1" applyBorder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12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2" fillId="0" borderId="8" xfId="308" applyFont="1" applyBorder="1" applyAlignment="1">
      <alignment horizontal="center" vertical="center"/>
    </xf>
    <xf numFmtId="0" fontId="1" fillId="0" borderId="0" xfId="308" applyFont="1">
      <alignment vertical="center"/>
    </xf>
    <xf numFmtId="194" fontId="112" fillId="0" borderId="8" xfId="308" applyNumberFormat="1" applyFont="1" applyFill="1" applyBorder="1" applyAlignment="1">
      <alignment horizontal="center" vertical="center"/>
    </xf>
    <xf numFmtId="0" fontId="112" fillId="0" borderId="8" xfId="308" applyFont="1" applyBorder="1" applyAlignment="1">
      <alignment horizontal="center"/>
    </xf>
    <xf numFmtId="194" fontId="112" fillId="0" borderId="0" xfId="308" applyNumberFormat="1" applyFont="1">
      <alignment vertical="center"/>
    </xf>
    <xf numFmtId="0" fontId="112" fillId="0" borderId="0" xfId="308" applyFont="1">
      <alignment vertical="center"/>
    </xf>
    <xf numFmtId="0" fontId="111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4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2" fillId="0" borderId="8" xfId="0" applyFont="1" applyBorder="1" applyAlignment="1">
      <alignment horizontal="center" vertical="center"/>
    </xf>
    <xf numFmtId="0" fontId="112" fillId="0" borderId="8" xfId="0" applyFont="1" applyBorder="1" applyAlignment="1">
      <alignment horizontal="center" vertical="center"/>
    </xf>
    <xf numFmtId="0" fontId="99" fillId="50" borderId="18" xfId="0" applyFont="1" applyFill="1" applyBorder="1" applyAlignment="1">
      <alignment horizontal="center" vertical="center"/>
    </xf>
    <xf numFmtId="49" fontId="100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190" fontId="7" fillId="0" borderId="22" xfId="0" applyNumberFormat="1" applyFont="1" applyBorder="1" applyAlignment="1">
      <alignment horizontal="center" vertical="center" wrapText="1"/>
    </xf>
    <xf numFmtId="190" fontId="7" fillId="0" borderId="13" xfId="0" applyNumberFormat="1" applyFont="1" applyBorder="1" applyAlignment="1">
      <alignment horizontal="center" vertical="center" wrapText="1"/>
    </xf>
    <xf numFmtId="190" fontId="7" fillId="0" borderId="15" xfId="0" applyNumberFormat="1" applyFont="1" applyBorder="1" applyAlignment="1">
      <alignment horizontal="center" vertical="center" wrapText="1"/>
    </xf>
    <xf numFmtId="190" fontId="90" fillId="0" borderId="22" xfId="0" applyNumberFormat="1" applyFont="1" applyBorder="1" applyAlignment="1">
      <alignment horizontal="center" vertical="center" wrapText="1"/>
    </xf>
    <xf numFmtId="190" fontId="90" fillId="0" borderId="13" xfId="0" applyNumberFormat="1" applyFont="1" applyBorder="1" applyAlignment="1">
      <alignment horizontal="center" vertical="center" wrapText="1"/>
    </xf>
    <xf numFmtId="190" fontId="90" fillId="0" borderId="15" xfId="0" applyNumberFormat="1" applyFont="1" applyBorder="1" applyAlignment="1">
      <alignment horizontal="center" vertical="center" wrapText="1"/>
    </xf>
    <xf numFmtId="190" fontId="98" fillId="0" borderId="22" xfId="0" applyNumberFormat="1" applyFont="1" applyBorder="1" applyAlignment="1">
      <alignment horizontal="center" vertical="center" wrapText="1"/>
    </xf>
    <xf numFmtId="190" fontId="98" fillId="0" borderId="13" xfId="0" applyNumberFormat="1" applyFont="1" applyBorder="1" applyAlignment="1">
      <alignment horizontal="center" vertical="center" wrapText="1"/>
    </xf>
    <xf numFmtId="190" fontId="98" fillId="0" borderId="15" xfId="0" applyNumberFormat="1" applyFont="1" applyBorder="1" applyAlignment="1">
      <alignment horizontal="center" vertical="center" wrapText="1"/>
    </xf>
    <xf numFmtId="12" fontId="105" fillId="0" borderId="21" xfId="0" applyNumberFormat="1" applyFont="1" applyBorder="1" applyAlignment="1">
      <alignment horizontal="center" vertical="center"/>
    </xf>
    <xf numFmtId="12" fontId="81" fillId="0" borderId="2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91" fontId="7" fillId="0" borderId="8" xfId="0" applyNumberFormat="1" applyFont="1" applyBorder="1" applyAlignment="1">
      <alignment horizontal="center" vertical="center"/>
    </xf>
    <xf numFmtId="0" fontId="114" fillId="0" borderId="22" xfId="308" applyFont="1" applyBorder="1" applyAlignment="1">
      <alignment horizontal="center" vertical="center" wrapText="1"/>
    </xf>
    <xf numFmtId="0" fontId="114" fillId="0" borderId="15" xfId="308" applyFont="1" applyBorder="1" applyAlignment="1">
      <alignment horizontal="center" vertical="center" wrapText="1"/>
    </xf>
    <xf numFmtId="194" fontId="83" fillId="0" borderId="19" xfId="308" applyNumberFormat="1" applyFont="1" applyBorder="1" applyAlignment="1">
      <alignment horizontal="center" vertical="center"/>
    </xf>
    <xf numFmtId="194" fontId="83" fillId="0" borderId="4" xfId="308" applyNumberFormat="1" applyFont="1" applyBorder="1" applyAlignment="1">
      <alignment horizontal="center" vertical="center"/>
    </xf>
    <xf numFmtId="194" fontId="83" fillId="0" borderId="8" xfId="308" applyNumberFormat="1" applyFont="1" applyBorder="1" applyAlignment="1">
      <alignment horizontal="center" vertical="center"/>
    </xf>
    <xf numFmtId="0" fontId="83" fillId="0" borderId="19" xfId="308" applyBorder="1" applyAlignment="1">
      <alignment horizontal="center" vertical="center"/>
    </xf>
    <xf numFmtId="0" fontId="83" fillId="0" borderId="4" xfId="308" applyBorder="1" applyAlignment="1">
      <alignment horizontal="center" vertical="center"/>
    </xf>
    <xf numFmtId="0" fontId="0" fillId="0" borderId="21" xfId="308" applyFont="1" applyBorder="1" applyAlignment="1">
      <alignment horizontal="center" vertical="center"/>
    </xf>
    <xf numFmtId="0" fontId="83" fillId="0" borderId="21" xfId="308" applyBorder="1" applyAlignment="1">
      <alignment horizontal="center" vertical="center"/>
    </xf>
    <xf numFmtId="0" fontId="83" fillId="0" borderId="0" xfId="308" applyBorder="1" applyAlignment="1">
      <alignment horizontal="center" vertical="center"/>
    </xf>
    <xf numFmtId="0" fontId="83" fillId="0" borderId="19" xfId="308" applyFont="1" applyBorder="1" applyAlignment="1">
      <alignment horizontal="center" vertical="center"/>
    </xf>
    <xf numFmtId="0" fontId="83" fillId="0" borderId="4" xfId="308" applyFont="1" applyBorder="1" applyAlignment="1">
      <alignment horizontal="center" vertical="center"/>
    </xf>
    <xf numFmtId="0" fontId="83" fillId="0" borderId="8" xfId="308" applyFont="1" applyBorder="1" applyAlignment="1">
      <alignment horizontal="center" vertical="center"/>
    </xf>
  </cellXfs>
  <cellStyles count="473">
    <cellStyle name="_20100326高清市院遂宁检察院1080P配置清单26日改" xfId="1"/>
    <cellStyle name="_Book1" xfId="2"/>
    <cellStyle name="_Book1_1" xfId="3"/>
    <cellStyle name="_Book1_2" xfId="4"/>
    <cellStyle name="_Book1_3" xfId="5"/>
    <cellStyle name="_Book1_4" xfId="6"/>
    <cellStyle name="_ET_STYLE_NoName_00_" xfId="7"/>
    <cellStyle name="_ET_STYLE_NoName_00__Book1" xfId="8"/>
    <cellStyle name="_ET_STYLE_NoName_00__Book1_1" xfId="9"/>
    <cellStyle name="_ET_STYLE_NoName_00__Book1_2" xfId="10"/>
    <cellStyle name="_ET_STYLE_NoName_00__Book1_3" xfId="11"/>
    <cellStyle name="_ET_STYLE_NoName_00__Sheet3" xfId="12"/>
    <cellStyle name="_Sheet1" xfId="13"/>
    <cellStyle name="_弱电系统设备配置报价清单" xfId="14"/>
    <cellStyle name="0,0_x000d__x000a_NA_x000d__x000a_" xfId="15"/>
    <cellStyle name="20% - Accent1" xfId="16"/>
    <cellStyle name="20% - Accent2" xfId="17"/>
    <cellStyle name="20% - Accent3" xfId="18"/>
    <cellStyle name="20% - Accent4" xfId="19"/>
    <cellStyle name="20% - Accent5" xfId="20"/>
    <cellStyle name="20% - Accent6" xfId="21"/>
    <cellStyle name="20% - 强调文字颜色 1" xfId="22"/>
    <cellStyle name="20% - 强调文字颜色 1 2" xfId="23"/>
    <cellStyle name="20% - 强调文字颜色 1_Book1" xfId="24"/>
    <cellStyle name="20% - 强调文字颜色 2" xfId="25"/>
    <cellStyle name="20% - 强调文字颜色 2 2" xfId="26"/>
    <cellStyle name="20% - 强调文字颜色 2_Book1" xfId="27"/>
    <cellStyle name="20% - 强调文字颜色 3" xfId="28"/>
    <cellStyle name="20% - 强调文字颜色 3 2" xfId="29"/>
    <cellStyle name="20% - 强调文字颜色 3_Book1" xfId="30"/>
    <cellStyle name="20% - 强调文字颜色 4" xfId="31"/>
    <cellStyle name="20% - 强调文字颜色 4 2" xfId="32"/>
    <cellStyle name="20% - 强调文字颜色 4_Book1" xfId="33"/>
    <cellStyle name="20% - 强调文字颜色 5" xfId="34"/>
    <cellStyle name="20% - 强调文字颜色 5 2" xfId="35"/>
    <cellStyle name="20% - 强调文字颜色 5_Book1" xfId="36"/>
    <cellStyle name="20% - 强调文字颜色 6" xfId="37"/>
    <cellStyle name="20% - 强调文字颜色 6 2" xfId="38"/>
    <cellStyle name="20% - 强调文字颜色 6_Book1" xfId="39"/>
    <cellStyle name="40% - Accent1" xfId="40"/>
    <cellStyle name="40% - Accent2" xfId="41"/>
    <cellStyle name="40% - Accent3" xfId="42"/>
    <cellStyle name="40% - Accent4" xfId="43"/>
    <cellStyle name="40% - Accent5" xfId="44"/>
    <cellStyle name="40% - Accent6" xfId="45"/>
    <cellStyle name="40% - 强调文字颜色 1" xfId="46"/>
    <cellStyle name="40% - 强调文字颜色 1 2" xfId="47"/>
    <cellStyle name="40% - 强调文字颜色 1_Book1" xfId="48"/>
    <cellStyle name="40% - 强调文字颜色 2" xfId="49"/>
    <cellStyle name="40% - 强调文字颜色 2 2" xfId="50"/>
    <cellStyle name="40% - 强调文字颜色 2_Book1" xfId="51"/>
    <cellStyle name="40% - 强调文字颜色 3" xfId="52"/>
    <cellStyle name="40% - 强调文字颜色 3 2" xfId="53"/>
    <cellStyle name="40% - 强调文字颜色 3_Book1" xfId="54"/>
    <cellStyle name="40% - 强调文字颜色 4" xfId="55"/>
    <cellStyle name="40% - 强调文字颜色 4 2" xfId="56"/>
    <cellStyle name="40% - 强调文字颜色 4_Book1" xfId="57"/>
    <cellStyle name="40% - 强调文字颜色 5" xfId="58"/>
    <cellStyle name="40% - 强调文字颜色 5 2" xfId="59"/>
    <cellStyle name="40% - 强调文字颜色 5_Book1" xfId="60"/>
    <cellStyle name="40% - 强调文字颜色 6" xfId="61"/>
    <cellStyle name="40% - 强调文字颜色 6 2" xfId="62"/>
    <cellStyle name="40% - 强调文字颜色 6_Book1" xfId="63"/>
    <cellStyle name="60% - Accent1" xfId="64"/>
    <cellStyle name="60% - Accent2" xfId="65"/>
    <cellStyle name="60% - Accent3" xfId="66"/>
    <cellStyle name="60% - Accent4" xfId="67"/>
    <cellStyle name="60% - Accent5" xfId="68"/>
    <cellStyle name="60% - Accent6" xfId="69"/>
    <cellStyle name="60% - 强调文字颜色 1" xfId="70"/>
    <cellStyle name="60% - 强调文字颜色 1 2" xfId="71"/>
    <cellStyle name="60% - 强调文字颜色 1_Book1" xfId="72"/>
    <cellStyle name="60% - 强调文字颜色 2" xfId="73"/>
    <cellStyle name="60% - 强调文字颜色 2 2" xfId="74"/>
    <cellStyle name="60% - 强调文字颜色 2_Book1" xfId="75"/>
    <cellStyle name="60% - 强调文字颜色 3" xfId="76"/>
    <cellStyle name="60% - 强调文字颜色 3 2" xfId="77"/>
    <cellStyle name="60% - 强调文字颜色 3_Book1" xfId="78"/>
    <cellStyle name="60% - 强调文字颜色 4" xfId="79"/>
    <cellStyle name="60% - 强调文字颜色 4 2" xfId="80"/>
    <cellStyle name="60% - 强调文字颜色 4_Book1" xfId="81"/>
    <cellStyle name="60% - 强调文字颜色 5" xfId="82"/>
    <cellStyle name="60% - 强调文字颜色 5 2" xfId="83"/>
    <cellStyle name="60% - 强调文字颜色 5_Book1" xfId="84"/>
    <cellStyle name="60% - 强调文字颜色 6" xfId="85"/>
    <cellStyle name="60% - 强调文字颜色 6 2" xfId="86"/>
    <cellStyle name="60% - 强调文字颜色 6_Book1" xfId="87"/>
    <cellStyle name="6mal" xfId="88"/>
    <cellStyle name="Accent1" xfId="89"/>
    <cellStyle name="Accent1 - 20%" xfId="90"/>
    <cellStyle name="Accent1 - 40%" xfId="91"/>
    <cellStyle name="Accent1 - 60%" xfId="92"/>
    <cellStyle name="Accent1_公安安全支出补充表5.14" xfId="93"/>
    <cellStyle name="Accent2" xfId="94"/>
    <cellStyle name="Accent2 - 20%" xfId="95"/>
    <cellStyle name="Accent2 - 40%" xfId="96"/>
    <cellStyle name="Accent2 - 60%" xfId="97"/>
    <cellStyle name="Accent2_公安安全支出补充表5.14" xfId="98"/>
    <cellStyle name="Accent3" xfId="99"/>
    <cellStyle name="Accent3 - 20%" xfId="100"/>
    <cellStyle name="Accent3 - 40%" xfId="101"/>
    <cellStyle name="Accent3 - 60%" xfId="102"/>
    <cellStyle name="Accent3_公安安全支出补充表5.14" xfId="103"/>
    <cellStyle name="Accent4" xfId="104"/>
    <cellStyle name="Accent4 - 20%" xfId="105"/>
    <cellStyle name="Accent4 - 40%" xfId="106"/>
    <cellStyle name="Accent4 - 60%" xfId="107"/>
    <cellStyle name="Accent4_公安安全支出补充表5.14" xfId="108"/>
    <cellStyle name="Accent5" xfId="109"/>
    <cellStyle name="Accent5 - 20%" xfId="110"/>
    <cellStyle name="Accent5 - 40%" xfId="111"/>
    <cellStyle name="Accent5 - 60%" xfId="112"/>
    <cellStyle name="Accent5_公安安全支出补充表5.14" xfId="113"/>
    <cellStyle name="Accent6" xfId="114"/>
    <cellStyle name="Accent6 - 20%" xfId="115"/>
    <cellStyle name="Accent6 - 40%" xfId="116"/>
    <cellStyle name="Accent6 - 60%" xfId="117"/>
    <cellStyle name="Accent6_公安安全支出补充表5.14" xfId="118"/>
    <cellStyle name="args.style" xfId="119"/>
    <cellStyle name="Bad" xfId="120"/>
    <cellStyle name="Calc Currency (0)" xfId="121"/>
    <cellStyle name="Calculation" xfId="122"/>
    <cellStyle name="Check Cell" xfId="123"/>
    <cellStyle name="Comma [0]" xfId="124"/>
    <cellStyle name="comma zerodec" xfId="125"/>
    <cellStyle name="Comma_!!!GO" xfId="126"/>
    <cellStyle name="Currency [0]" xfId="127"/>
    <cellStyle name="Currency_!!!GO" xfId="128"/>
    <cellStyle name="Currency1" xfId="129"/>
    <cellStyle name="Date" xfId="130"/>
    <cellStyle name="Dollar (zero dec)" xfId="131"/>
    <cellStyle name="Explanatory Text" xfId="132"/>
    <cellStyle name="e鯪9Y_x000b_" xfId="133"/>
    <cellStyle name="Fixed" xfId="134"/>
    <cellStyle name="gcd" xfId="135"/>
    <cellStyle name="Good" xfId="136"/>
    <cellStyle name="Grey" xfId="137"/>
    <cellStyle name="Header1" xfId="138"/>
    <cellStyle name="Header2" xfId="139"/>
    <cellStyle name="Heading 1" xfId="140"/>
    <cellStyle name="Heading 2" xfId="141"/>
    <cellStyle name="Heading 3" xfId="142"/>
    <cellStyle name="Heading 4" xfId="143"/>
    <cellStyle name="HEADING1" xfId="144"/>
    <cellStyle name="HEADING2" xfId="145"/>
    <cellStyle name="Input" xfId="146"/>
    <cellStyle name="Input [yellow]" xfId="147"/>
    <cellStyle name="Input Cells" xfId="148"/>
    <cellStyle name="Linked Cell" xfId="149"/>
    <cellStyle name="Linked Cells" xfId="150"/>
    <cellStyle name="Millares [0]_96 Risk" xfId="151"/>
    <cellStyle name="Millares_96 Risk" xfId="152"/>
    <cellStyle name="Milliers [0]_!!!GO" xfId="153"/>
    <cellStyle name="Milliers_!!!GO" xfId="154"/>
    <cellStyle name="Moneda [0]_96 Risk" xfId="155"/>
    <cellStyle name="Moneda_96 Risk" xfId="156"/>
    <cellStyle name="Mon閠aire [0]_!!!GO" xfId="157"/>
    <cellStyle name="Mon閠aire_!!!GO" xfId="158"/>
    <cellStyle name="Neutral" xfId="159"/>
    <cellStyle name="New Times Roman" xfId="160"/>
    <cellStyle name="no dec" xfId="161"/>
    <cellStyle name="Norma,_laroux_4_营业在建 (2)_E21" xfId="162"/>
    <cellStyle name="Normal - Style1" xfId="163"/>
    <cellStyle name="Normal_!!!GO" xfId="164"/>
    <cellStyle name="Note" xfId="165"/>
    <cellStyle name="Output" xfId="166"/>
    <cellStyle name="per.style" xfId="167"/>
    <cellStyle name="Percent [2]" xfId="168"/>
    <cellStyle name="Percent_!!!GO" xfId="169"/>
    <cellStyle name="Pourcentage_pldt" xfId="170"/>
    <cellStyle name="PSChar" xfId="171"/>
    <cellStyle name="PSDate" xfId="172"/>
    <cellStyle name="PSDec" xfId="173"/>
    <cellStyle name="PSHeading" xfId="174"/>
    <cellStyle name="PSInt" xfId="175"/>
    <cellStyle name="PSSpacer" xfId="176"/>
    <cellStyle name="RowLevel_0" xfId="177"/>
    <cellStyle name="sstot" xfId="178"/>
    <cellStyle name="Standard_AREAS" xfId="179"/>
    <cellStyle name="t" xfId="180"/>
    <cellStyle name="t_HVAC Equipment (3)" xfId="181"/>
    <cellStyle name="Title" xfId="182"/>
    <cellStyle name="Total" xfId="183"/>
    <cellStyle name="Warning Text" xfId="184"/>
    <cellStyle name="百分比 2" xfId="185"/>
    <cellStyle name="百分比 3" xfId="186"/>
    <cellStyle name="百分比 4" xfId="187"/>
    <cellStyle name="捠壿 [0.00]_Region Orders (2)" xfId="188"/>
    <cellStyle name="捠壿_Region Orders (2)" xfId="189"/>
    <cellStyle name="编号" xfId="190"/>
    <cellStyle name="标题" xfId="191" builtinId="15" customBuiltin="1"/>
    <cellStyle name="标题 1" xfId="192" builtinId="16" customBuiltin="1"/>
    <cellStyle name="标题 1 2" xfId="193"/>
    <cellStyle name="标题 2" xfId="194" builtinId="17" customBuiltin="1"/>
    <cellStyle name="标题 2 2" xfId="195"/>
    <cellStyle name="标题 3" xfId="196" builtinId="18" customBuiltin="1"/>
    <cellStyle name="标题 3 2" xfId="197"/>
    <cellStyle name="标题 4" xfId="198" builtinId="19" customBuiltin="1"/>
    <cellStyle name="标题 4 2" xfId="199"/>
    <cellStyle name="标题 5" xfId="200"/>
    <cellStyle name="标题1" xfId="201"/>
    <cellStyle name="表标题" xfId="202"/>
    <cellStyle name="部门" xfId="203"/>
    <cellStyle name="差" xfId="204" builtinId="27" customBuiltin="1"/>
    <cellStyle name="差 2" xfId="205"/>
    <cellStyle name="差_~4190974" xfId="206"/>
    <cellStyle name="差_~5676413" xfId="207"/>
    <cellStyle name="差_00省级(打印)" xfId="208"/>
    <cellStyle name="差_00省级(定稿)" xfId="209"/>
    <cellStyle name="差_03昭通" xfId="210"/>
    <cellStyle name="差_0502通海县" xfId="211"/>
    <cellStyle name="差_05玉溪" xfId="212"/>
    <cellStyle name="差_0605石屏县" xfId="213"/>
    <cellStyle name="差_1003牟定县" xfId="214"/>
    <cellStyle name="差_1110洱源县" xfId="215"/>
    <cellStyle name="差_11大理" xfId="216"/>
    <cellStyle name="差_2、土地面积、人口、粮食产量基本情况" xfId="217"/>
    <cellStyle name="差_2006年分析表" xfId="218"/>
    <cellStyle name="差_2006年基础数据" xfId="219"/>
    <cellStyle name="差_2006年全省财力计算表（中央、决算）" xfId="220"/>
    <cellStyle name="差_2006年水利统计指标统计表" xfId="221"/>
    <cellStyle name="差_2006年在职人员情况" xfId="222"/>
    <cellStyle name="差_2007年检察院案件数" xfId="223"/>
    <cellStyle name="差_2007年可用财力" xfId="224"/>
    <cellStyle name="差_2007年人员分部门统计表" xfId="225"/>
    <cellStyle name="差_2007年政法部门业务指标" xfId="226"/>
    <cellStyle name="差_2008年县级公安保障标准落实奖励经费分配测算" xfId="227"/>
    <cellStyle name="差_2008云南省分县市中小学教职工统计表（教育厅提供）" xfId="228"/>
    <cellStyle name="差_2009年一般性转移支付标准工资" xfId="229"/>
    <cellStyle name="差_2009年一般性转移支付标准工资_~4190974" xfId="230"/>
    <cellStyle name="差_2009年一般性转移支付标准工资_~5676413" xfId="231"/>
    <cellStyle name="差_2009年一般性转移支付标准工资_不用软件计算9.1不考虑经费管理评价xl" xfId="232"/>
    <cellStyle name="差_2009年一般性转移支付标准工资_地方配套按人均增幅控制8.30xl" xfId="233"/>
    <cellStyle name="差_2009年一般性转移支付标准工资_地方配套按人均增幅控制8.30一般预算平均增幅、人均可用财力平均增幅两次控制、社会治安系数调整、案件数调整xl" xfId="234"/>
    <cellStyle name="差_2009年一般性转移支付标准工资_地方配套按人均增幅控制8.31（调整结案率后）xl" xfId="235"/>
    <cellStyle name="差_2009年一般性转移支付标准工资_奖励补助测算5.22测试" xfId="236"/>
    <cellStyle name="差_2009年一般性转移支付标准工资_奖励补助测算5.23新" xfId="237"/>
    <cellStyle name="差_2009年一般性转移支付标准工资_奖励补助测算5.24冯铸" xfId="238"/>
    <cellStyle name="差_2009年一般性转移支付标准工资_奖励补助测算7.23" xfId="239"/>
    <cellStyle name="差_2009年一般性转移支付标准工资_奖励补助测算7.25" xfId="240"/>
    <cellStyle name="差_2009年一般性转移支付标准工资_奖励补助测算7.25 (version 1) (version 1)" xfId="241"/>
    <cellStyle name="差_530623_2006年县级财政报表附表" xfId="242"/>
    <cellStyle name="差_530629_2006年县级财政报表附表" xfId="243"/>
    <cellStyle name="差_5334_2006年迪庆县级财政报表附表" xfId="244"/>
    <cellStyle name="差_Book1" xfId="245"/>
    <cellStyle name="差_Book1_1" xfId="246"/>
    <cellStyle name="差_Book1_1_Book1" xfId="247"/>
    <cellStyle name="差_Book1_2" xfId="248"/>
    <cellStyle name="差_Book1_Book1" xfId="249"/>
    <cellStyle name="差_Book2" xfId="250"/>
    <cellStyle name="差_M01-2(州市补助收入)" xfId="251"/>
    <cellStyle name="差_M03" xfId="252"/>
    <cellStyle name="差_不用软件计算9.1不考虑经费管理评价xl" xfId="253"/>
    <cellStyle name="差_财政供养人员" xfId="254"/>
    <cellStyle name="差_财政支出对上级的依赖程度" xfId="255"/>
    <cellStyle name="差_城建部门" xfId="256"/>
    <cellStyle name="差_地方配套按人均增幅控制8.30xl" xfId="257"/>
    <cellStyle name="差_地方配套按人均增幅控制8.30一般预算平均增幅、人均可用财力平均增幅两次控制、社会治安系数调整、案件数调整xl" xfId="258"/>
    <cellStyle name="差_地方配套按人均增幅控制8.31（调整结案率后）xl" xfId="259"/>
    <cellStyle name="差_第五部分(才淼、饶永宏）" xfId="260"/>
    <cellStyle name="差_第一部分：综合全" xfId="261"/>
    <cellStyle name="差_高中教师人数（教育厅1.6日提供）" xfId="262"/>
    <cellStyle name="差_汇总" xfId="263"/>
    <cellStyle name="差_汇总-县级财政报表附表" xfId="264"/>
    <cellStyle name="差_基础数据分析" xfId="265"/>
    <cellStyle name="差_检验表" xfId="266"/>
    <cellStyle name="差_检验表（调整后）" xfId="267"/>
    <cellStyle name="差_奖励补助测算5.22测试" xfId="268"/>
    <cellStyle name="差_奖励补助测算5.23新" xfId="269"/>
    <cellStyle name="差_奖励补助测算5.24冯铸" xfId="270"/>
    <cellStyle name="差_奖励补助测算7.23" xfId="271"/>
    <cellStyle name="差_奖励补助测算7.25" xfId="272"/>
    <cellStyle name="差_奖励补助测算7.25 (version 1) (version 1)" xfId="273"/>
    <cellStyle name="差_教师绩效工资测算表（离退休按各地上报数测算）2009年1月1日" xfId="274"/>
    <cellStyle name="差_教育厅提供义务教育及高中教师人数（2009年1月6日）" xfId="275"/>
    <cellStyle name="差_历年教师人数" xfId="276"/>
    <cellStyle name="差_丽江汇总" xfId="277"/>
    <cellStyle name="差_三季度－表二" xfId="278"/>
    <cellStyle name="差_卫生部门" xfId="279"/>
    <cellStyle name="差_文体广播部门" xfId="280"/>
    <cellStyle name="差_下半年禁毒办案经费分配2544.3万元" xfId="281"/>
    <cellStyle name="差_下半年禁吸戒毒经费1000万元" xfId="282"/>
    <cellStyle name="差_县级公安机关公用经费标准奖励测算方案（定稿）" xfId="283"/>
    <cellStyle name="差_县级基础数据" xfId="284"/>
    <cellStyle name="差_业务工作量指标" xfId="285"/>
    <cellStyle name="差_义务教育阶段教职工人数（教育厅提供最终）" xfId="286"/>
    <cellStyle name="差_云南农村义务教育统计表" xfId="287"/>
    <cellStyle name="差_云南省2008年中小学教师人数统计表" xfId="288"/>
    <cellStyle name="差_云南省2008年中小学教职工情况（教育厅提供20090101加工整理）" xfId="289"/>
    <cellStyle name="差_云南省2008年转移支付测算——州市本级考核部分及政策性测算" xfId="290"/>
    <cellStyle name="差_指标四" xfId="291"/>
    <cellStyle name="差_指标五" xfId="292"/>
    <cellStyle name="常规" xfId="0" builtinId="0"/>
    <cellStyle name="常规 2" xfId="293"/>
    <cellStyle name="常规 2 2" xfId="294"/>
    <cellStyle name="常规 2 2 2" xfId="295"/>
    <cellStyle name="常规 2 3" xfId="296"/>
    <cellStyle name="常规 2 4" xfId="297"/>
    <cellStyle name="常规 2 5" xfId="298"/>
    <cellStyle name="常规 2 6" xfId="299"/>
    <cellStyle name="常规 2 7" xfId="300"/>
    <cellStyle name="常规 2 8" xfId="301"/>
    <cellStyle name="常规 2_高中教师人数（教育厅1.6日提供）" xfId="302"/>
    <cellStyle name="常规 3" xfId="303"/>
    <cellStyle name="常规 4" xfId="304"/>
    <cellStyle name="常规 5" xfId="305"/>
    <cellStyle name="常规 6" xfId="306"/>
    <cellStyle name="常规 7" xfId="307"/>
    <cellStyle name="常规 8" xfId="308"/>
    <cellStyle name="超级链接" xfId="309"/>
    <cellStyle name="分级显示行_1_13区汇总" xfId="310"/>
    <cellStyle name="归盒啦_95" xfId="311"/>
    <cellStyle name="好" xfId="312" builtinId="26" customBuiltin="1"/>
    <cellStyle name="好 2" xfId="313"/>
    <cellStyle name="好_~4190974" xfId="314"/>
    <cellStyle name="好_~5676413" xfId="315"/>
    <cellStyle name="好_00省级(打印)" xfId="316"/>
    <cellStyle name="好_00省级(定稿)" xfId="317"/>
    <cellStyle name="好_03昭通" xfId="318"/>
    <cellStyle name="好_0502通海县" xfId="319"/>
    <cellStyle name="好_05玉溪" xfId="320"/>
    <cellStyle name="好_0605石屏县" xfId="321"/>
    <cellStyle name="好_1003牟定县" xfId="322"/>
    <cellStyle name="好_1110洱源县" xfId="323"/>
    <cellStyle name="好_11大理" xfId="324"/>
    <cellStyle name="好_2、土地面积、人口、粮食产量基本情况" xfId="325"/>
    <cellStyle name="好_2006年分析表" xfId="326"/>
    <cellStyle name="好_2006年基础数据" xfId="327"/>
    <cellStyle name="好_2006年全省财力计算表（中央、决算）" xfId="328"/>
    <cellStyle name="好_2006年水利统计指标统计表" xfId="329"/>
    <cellStyle name="好_2006年在职人员情况" xfId="330"/>
    <cellStyle name="好_2007年检察院案件数" xfId="331"/>
    <cellStyle name="好_2007年可用财力" xfId="332"/>
    <cellStyle name="好_2007年人员分部门统计表" xfId="333"/>
    <cellStyle name="好_2007年政法部门业务指标" xfId="334"/>
    <cellStyle name="好_2008年县级公安保障标准落实奖励经费分配测算" xfId="335"/>
    <cellStyle name="好_2008云南省分县市中小学教职工统计表（教育厅提供）" xfId="336"/>
    <cellStyle name="好_2009年一般性转移支付标准工资" xfId="337"/>
    <cellStyle name="好_2009年一般性转移支付标准工资_~4190974" xfId="338"/>
    <cellStyle name="好_2009年一般性转移支付标准工资_~5676413" xfId="339"/>
    <cellStyle name="好_2009年一般性转移支付标准工资_不用软件计算9.1不考虑经费管理评价xl" xfId="340"/>
    <cellStyle name="好_2009年一般性转移支付标准工资_地方配套按人均增幅控制8.30xl" xfId="341"/>
    <cellStyle name="好_2009年一般性转移支付标准工资_地方配套按人均增幅控制8.30一般预算平均增幅、人均可用财力平均增幅两次控制、社会治安系数调整、案件数调整xl" xfId="342"/>
    <cellStyle name="好_2009年一般性转移支付标准工资_地方配套按人均增幅控制8.31（调整结案率后）xl" xfId="343"/>
    <cellStyle name="好_2009年一般性转移支付标准工资_奖励补助测算5.22测试" xfId="344"/>
    <cellStyle name="好_2009年一般性转移支付标准工资_奖励补助测算5.23新" xfId="345"/>
    <cellStyle name="好_2009年一般性转移支付标准工资_奖励补助测算5.24冯铸" xfId="346"/>
    <cellStyle name="好_2009年一般性转移支付标准工资_奖励补助测算7.23" xfId="347"/>
    <cellStyle name="好_2009年一般性转移支付标准工资_奖励补助测算7.25" xfId="348"/>
    <cellStyle name="好_2009年一般性转移支付标准工资_奖励补助测算7.25 (version 1) (version 1)" xfId="349"/>
    <cellStyle name="好_530623_2006年县级财政报表附表" xfId="350"/>
    <cellStyle name="好_530629_2006年县级财政报表附表" xfId="351"/>
    <cellStyle name="好_5334_2006年迪庆县级财政报表附表" xfId="352"/>
    <cellStyle name="好_Book1" xfId="353"/>
    <cellStyle name="好_Book1_1" xfId="354"/>
    <cellStyle name="好_Book1_1_Book1" xfId="355"/>
    <cellStyle name="好_Book1_2" xfId="356"/>
    <cellStyle name="好_Book1_Book1" xfId="357"/>
    <cellStyle name="好_Book2" xfId="358"/>
    <cellStyle name="好_M01-2(州市补助收入)" xfId="359"/>
    <cellStyle name="好_M03" xfId="360"/>
    <cellStyle name="好_不用软件计算9.1不考虑经费管理评价xl" xfId="361"/>
    <cellStyle name="好_财政供养人员" xfId="362"/>
    <cellStyle name="好_财政支出对上级的依赖程度" xfId="363"/>
    <cellStyle name="好_城建部门" xfId="364"/>
    <cellStyle name="好_地方配套按人均增幅控制8.30xl" xfId="365"/>
    <cellStyle name="好_地方配套按人均增幅控制8.30一般预算平均增幅、人均可用财力平均增幅两次控制、社会治安系数调整、案件数调整xl" xfId="366"/>
    <cellStyle name="好_地方配套按人均增幅控制8.31（调整结案率后）xl" xfId="367"/>
    <cellStyle name="好_第五部分(才淼、饶永宏）" xfId="368"/>
    <cellStyle name="好_第一部分：综合全" xfId="369"/>
    <cellStyle name="好_高中教师人数（教育厅1.6日提供）" xfId="370"/>
    <cellStyle name="好_汇总" xfId="371"/>
    <cellStyle name="好_汇总-县级财政报表附表" xfId="372"/>
    <cellStyle name="好_基础数据分析" xfId="373"/>
    <cellStyle name="好_检验表" xfId="374"/>
    <cellStyle name="好_检验表（调整后）" xfId="375"/>
    <cellStyle name="好_奖励补助测算5.22测试" xfId="376"/>
    <cellStyle name="好_奖励补助测算5.23新" xfId="377"/>
    <cellStyle name="好_奖励补助测算5.24冯铸" xfId="378"/>
    <cellStyle name="好_奖励补助测算7.23" xfId="379"/>
    <cellStyle name="好_奖励补助测算7.25" xfId="380"/>
    <cellStyle name="好_奖励补助测算7.25 (version 1) (version 1)" xfId="381"/>
    <cellStyle name="好_教师绩效工资测算表（离退休按各地上报数测算）2009年1月1日" xfId="382"/>
    <cellStyle name="好_教育厅提供义务教育及高中教师人数（2009年1月6日）" xfId="383"/>
    <cellStyle name="好_历年教师人数" xfId="384"/>
    <cellStyle name="好_丽江汇总" xfId="385"/>
    <cellStyle name="好_三季度－表二" xfId="386"/>
    <cellStyle name="好_卫生部门" xfId="387"/>
    <cellStyle name="好_文体广播部门" xfId="388"/>
    <cellStyle name="好_下半年禁毒办案经费分配2544.3万元" xfId="389"/>
    <cellStyle name="好_下半年禁吸戒毒经费1000万元" xfId="390"/>
    <cellStyle name="好_县级公安机关公用经费标准奖励测算方案（定稿）" xfId="391"/>
    <cellStyle name="好_县级基础数据" xfId="392"/>
    <cellStyle name="好_业务工作量指标" xfId="393"/>
    <cellStyle name="好_义务教育阶段教职工人数（教育厅提供最终）" xfId="394"/>
    <cellStyle name="好_云南农村义务教育统计表" xfId="395"/>
    <cellStyle name="好_云南省2008年中小学教师人数统计表" xfId="396"/>
    <cellStyle name="好_云南省2008年中小学教职工情况（教育厅提供20090101加工整理）" xfId="397"/>
    <cellStyle name="好_云南省2008年转移支付测算——州市本级考核部分及政策性测算" xfId="398"/>
    <cellStyle name="好_指标四" xfId="399"/>
    <cellStyle name="好_指标五" xfId="400"/>
    <cellStyle name="后继超级链接" xfId="401"/>
    <cellStyle name="后继超链接" xfId="402"/>
    <cellStyle name="汇总" xfId="403" builtinId="25" customBuiltin="1"/>
    <cellStyle name="汇总 2" xfId="404"/>
    <cellStyle name="计算" xfId="405" builtinId="22" customBuiltin="1"/>
    <cellStyle name="计算 2" xfId="406"/>
    <cellStyle name="检查单元格" xfId="407" builtinId="23" customBuiltin="1"/>
    <cellStyle name="检查单元格 2" xfId="408"/>
    <cellStyle name="解释性文本" xfId="409" builtinId="53" customBuiltin="1"/>
    <cellStyle name="解释性文本 2" xfId="410"/>
    <cellStyle name="借出原因" xfId="411"/>
    <cellStyle name="警告文本" xfId="412" builtinId="11" customBuiltin="1"/>
    <cellStyle name="警告文本 2" xfId="413"/>
    <cellStyle name="链接单元格" xfId="414" builtinId="24" customBuiltin="1"/>
    <cellStyle name="链接单元格 2" xfId="415"/>
    <cellStyle name="霓付 [0]_ +Foil &amp; -FOIL &amp; PAPER" xfId="416"/>
    <cellStyle name="霓付_ +Foil &amp; -FOIL &amp; PAPER" xfId="417"/>
    <cellStyle name="烹拳 [0]_ +Foil &amp; -FOIL &amp; PAPER" xfId="418"/>
    <cellStyle name="烹拳_ +Foil &amp; -FOIL &amp; PAPER" xfId="419"/>
    <cellStyle name="普通_ 白土" xfId="420"/>
    <cellStyle name="千分位[0]_ 白土" xfId="421"/>
    <cellStyle name="千分位_ 白土" xfId="422"/>
    <cellStyle name="千位[0]_ 方正PC" xfId="423"/>
    <cellStyle name="千位_ 方正PC" xfId="424"/>
    <cellStyle name="千位分隔 2" xfId="425"/>
    <cellStyle name="千位分隔 3" xfId="426"/>
    <cellStyle name="千位分隔[0] 2" xfId="427"/>
    <cellStyle name="钎霖_4岿角利" xfId="428"/>
    <cellStyle name="强调 1" xfId="429"/>
    <cellStyle name="强调 2" xfId="430"/>
    <cellStyle name="强调 3" xfId="431"/>
    <cellStyle name="强调文字颜色 1" xfId="432"/>
    <cellStyle name="强调文字颜色 1 2" xfId="433"/>
    <cellStyle name="强调文字颜色 1_Book1" xfId="434"/>
    <cellStyle name="强调文字颜色 2" xfId="435"/>
    <cellStyle name="强调文字颜色 2 2" xfId="436"/>
    <cellStyle name="强调文字颜色 2_Book1" xfId="437"/>
    <cellStyle name="强调文字颜色 3" xfId="438"/>
    <cellStyle name="强调文字颜色 3 2" xfId="439"/>
    <cellStyle name="强调文字颜色 3_Book1" xfId="440"/>
    <cellStyle name="强调文字颜色 4" xfId="441"/>
    <cellStyle name="强调文字颜色 4 2" xfId="442"/>
    <cellStyle name="强调文字颜色 4_Book1" xfId="443"/>
    <cellStyle name="强调文字颜色 5" xfId="444"/>
    <cellStyle name="强调文字颜色 5 2" xfId="445"/>
    <cellStyle name="强调文字颜色 5_Book1" xfId="446"/>
    <cellStyle name="强调文字颜色 6" xfId="447"/>
    <cellStyle name="强调文字颜色 6 2" xfId="448"/>
    <cellStyle name="强调文字颜色 6_Book1" xfId="449"/>
    <cellStyle name="日期" xfId="450"/>
    <cellStyle name="商品名称" xfId="451"/>
    <cellStyle name="适中" xfId="452" builtinId="28" customBuiltin="1"/>
    <cellStyle name="适中 2" xfId="453"/>
    <cellStyle name="输出" xfId="454" builtinId="21" customBuiltin="1"/>
    <cellStyle name="输出 2" xfId="455"/>
    <cellStyle name="输入" xfId="456" builtinId="20" customBuiltin="1"/>
    <cellStyle name="输入 2" xfId="457"/>
    <cellStyle name="数量" xfId="458"/>
    <cellStyle name="数字" xfId="459"/>
    <cellStyle name="未定义" xfId="460"/>
    <cellStyle name="小数" xfId="461"/>
    <cellStyle name="样式 1" xfId="462"/>
    <cellStyle name="昗弨_Pacific Region P&amp;L" xfId="463"/>
    <cellStyle name="寘嬫愗傝 [0.00]_Region Orders (2)" xfId="464"/>
    <cellStyle name="寘嬫愗傝_Region Orders (2)" xfId="465"/>
    <cellStyle name="注释" xfId="466" builtinId="10" customBuiltin="1"/>
    <cellStyle name="注释 2" xfId="467"/>
    <cellStyle name="콤마 [0]_BOILER-CO1" xfId="468"/>
    <cellStyle name="콤마_BOILER-CO1" xfId="469"/>
    <cellStyle name="통화 [0]_BOILER-CO1" xfId="470"/>
    <cellStyle name="통화_BOILER-CO1" xfId="471"/>
    <cellStyle name="표준_0N-HANDLING " xfId="4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O103"/>
  <sheetViews>
    <sheetView zoomScaleNormal="100" workbookViewId="0">
      <selection activeCell="J14" sqref="J14"/>
    </sheetView>
  </sheetViews>
  <sheetFormatPr defaultRowHeight="14.25"/>
  <cols>
    <col min="1" max="1" width="7.375" style="1" customWidth="1"/>
    <col min="2" max="2" width="9.875" style="1" customWidth="1"/>
    <col min="3" max="3" width="8" style="1" customWidth="1"/>
    <col min="4" max="4" width="6.375" style="1" customWidth="1"/>
    <col min="5" max="5" width="5.875" style="1" customWidth="1"/>
    <col min="6" max="6" width="8.5" style="1" customWidth="1"/>
    <col min="7" max="7" width="13.125" style="1" customWidth="1"/>
    <col min="8" max="8" width="12.875" style="1" customWidth="1"/>
    <col min="9" max="9" width="8.75" style="1" customWidth="1"/>
    <col min="10" max="10" width="5.125" style="1" customWidth="1"/>
    <col min="11" max="13" width="8.5" style="1" customWidth="1"/>
    <col min="14" max="14" width="8.25" style="1" customWidth="1"/>
    <col min="15" max="16" width="6.25" style="1" customWidth="1"/>
    <col min="17" max="18" width="8.125" style="1" customWidth="1"/>
    <col min="19" max="19" width="6.25" style="1" customWidth="1"/>
    <col min="20" max="20" width="3.25" style="1" customWidth="1"/>
    <col min="21" max="21" width="6.25" style="1" customWidth="1"/>
    <col min="22" max="22" width="9.875" style="1" customWidth="1"/>
    <col min="23" max="24" width="6.25" style="1" customWidth="1"/>
    <col min="25" max="25" width="3.875" style="1" customWidth="1"/>
    <col min="26" max="26" width="7.625" style="1" customWidth="1"/>
    <col min="27" max="27" width="8.5" style="1" customWidth="1"/>
    <col min="28" max="28" width="7.25" style="1" customWidth="1"/>
    <col min="29" max="29" width="6.75" style="1" customWidth="1"/>
    <col min="30" max="31" width="9" style="1"/>
    <col min="32" max="32" width="13.375" style="1" customWidth="1"/>
    <col min="33" max="33" width="14.75" style="1" customWidth="1"/>
    <col min="34" max="16384" width="9" style="1"/>
  </cols>
  <sheetData>
    <row r="1" spans="1:41" ht="24.75" customHeight="1">
      <c r="A1" s="89" t="s">
        <v>3311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</row>
    <row r="2" spans="1:41" ht="15.75" customHeight="1">
      <c r="A2" s="88" t="s">
        <v>81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P2" s="92" t="s">
        <v>3310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H2" s="70"/>
      <c r="AI2" s="70"/>
      <c r="AK2" s="87"/>
      <c r="AL2" s="87"/>
      <c r="AM2" s="87"/>
      <c r="AN2" s="87"/>
      <c r="AO2" s="87"/>
    </row>
    <row r="3" spans="1:41">
      <c r="A3" s="15" t="s">
        <v>18</v>
      </c>
      <c r="B3" s="15" t="s">
        <v>15</v>
      </c>
      <c r="C3" s="15" t="s">
        <v>30</v>
      </c>
      <c r="D3" s="54" t="s">
        <v>31</v>
      </c>
      <c r="F3" s="15" t="s">
        <v>18</v>
      </c>
      <c r="G3" s="15" t="s">
        <v>15</v>
      </c>
      <c r="H3" s="15" t="s">
        <v>22</v>
      </c>
      <c r="I3" s="14" t="s">
        <v>45</v>
      </c>
      <c r="K3" s="14" t="s">
        <v>18</v>
      </c>
      <c r="L3" s="14" t="s">
        <v>15</v>
      </c>
      <c r="M3" s="67" t="s">
        <v>28</v>
      </c>
      <c r="N3" s="14" t="s">
        <v>45</v>
      </c>
      <c r="P3" s="15" t="s">
        <v>18</v>
      </c>
      <c r="Q3" s="15" t="s">
        <v>15</v>
      </c>
      <c r="R3" s="15" t="s">
        <v>30</v>
      </c>
      <c r="S3" s="16" t="s">
        <v>31</v>
      </c>
      <c r="U3" s="1" t="s">
        <v>13</v>
      </c>
      <c r="V3" s="1" t="s">
        <v>15</v>
      </c>
      <c r="W3" s="33" t="s">
        <v>22</v>
      </c>
      <c r="X3" s="14" t="s">
        <v>45</v>
      </c>
      <c r="Z3" s="1" t="s">
        <v>13</v>
      </c>
      <c r="AA3" s="1" t="s">
        <v>15</v>
      </c>
      <c r="AB3" s="33" t="s">
        <v>36</v>
      </c>
      <c r="AC3" s="14" t="s">
        <v>45</v>
      </c>
      <c r="AH3" s="33"/>
      <c r="AM3" s="45"/>
      <c r="AN3" s="33"/>
    </row>
    <row r="4" spans="1:41">
      <c r="A4" s="1" t="s">
        <v>84</v>
      </c>
      <c r="B4" s="1" t="s">
        <v>83</v>
      </c>
      <c r="C4" s="32">
        <v>671.5</v>
      </c>
      <c r="D4" s="1">
        <v>1</v>
      </c>
      <c r="F4" s="1" t="s">
        <v>122</v>
      </c>
      <c r="G4" s="1" t="s">
        <v>377</v>
      </c>
      <c r="H4" s="1">
        <v>130</v>
      </c>
      <c r="I4" s="1">
        <v>1</v>
      </c>
      <c r="K4" s="1" t="s">
        <v>87</v>
      </c>
      <c r="L4" s="1" t="s">
        <v>94</v>
      </c>
      <c r="M4" s="33">
        <v>106</v>
      </c>
      <c r="N4" s="33">
        <v>1</v>
      </c>
      <c r="P4" s="33" t="s">
        <v>1998</v>
      </c>
      <c r="Q4" s="1" t="s">
        <v>1997</v>
      </c>
      <c r="R4" s="33">
        <v>653.5</v>
      </c>
      <c r="S4" s="33">
        <v>1</v>
      </c>
      <c r="U4" s="33" t="s">
        <v>1998</v>
      </c>
      <c r="V4" s="1" t="s">
        <v>2004</v>
      </c>
      <c r="W4" s="33">
        <v>129</v>
      </c>
      <c r="X4" s="33">
        <v>1</v>
      </c>
      <c r="Z4" s="33" t="s">
        <v>1998</v>
      </c>
      <c r="AA4" s="1" t="s">
        <v>2000</v>
      </c>
      <c r="AB4" s="33">
        <v>98</v>
      </c>
      <c r="AC4" s="33">
        <v>1</v>
      </c>
      <c r="AH4" s="33"/>
      <c r="AK4" s="33"/>
      <c r="AM4" s="33"/>
      <c r="AN4" s="33"/>
      <c r="AO4" s="33"/>
    </row>
    <row r="5" spans="1:41">
      <c r="A5" s="1" t="s">
        <v>87</v>
      </c>
      <c r="B5" s="1" t="s">
        <v>86</v>
      </c>
      <c r="C5" s="32">
        <v>670.5</v>
      </c>
      <c r="D5" s="1">
        <v>2</v>
      </c>
      <c r="F5" s="1" t="s">
        <v>133</v>
      </c>
      <c r="G5" s="1" t="s">
        <v>393</v>
      </c>
      <c r="H5" s="1">
        <v>129</v>
      </c>
      <c r="I5" s="1">
        <v>2</v>
      </c>
      <c r="K5" s="1" t="s">
        <v>97</v>
      </c>
      <c r="L5" s="1" t="s">
        <v>96</v>
      </c>
      <c r="M5" s="33">
        <v>105</v>
      </c>
      <c r="N5" s="33">
        <v>2</v>
      </c>
      <c r="P5" s="33" t="s">
        <v>1998</v>
      </c>
      <c r="Q5" s="1" t="s">
        <v>2000</v>
      </c>
      <c r="R5" s="33">
        <v>641</v>
      </c>
      <c r="S5" s="33">
        <v>2</v>
      </c>
      <c r="U5" s="33" t="s">
        <v>1998</v>
      </c>
      <c r="V5" s="1" t="s">
        <v>1997</v>
      </c>
      <c r="W5" s="33">
        <v>126</v>
      </c>
      <c r="X5" s="33">
        <v>2</v>
      </c>
      <c r="Z5" s="33" t="s">
        <v>1998</v>
      </c>
      <c r="AA5" s="1" t="s">
        <v>2006</v>
      </c>
      <c r="AB5" s="33">
        <v>90</v>
      </c>
      <c r="AC5" s="33">
        <v>2</v>
      </c>
      <c r="AH5" s="33"/>
      <c r="AK5" s="33"/>
      <c r="AM5" s="33"/>
      <c r="AN5" s="33"/>
      <c r="AO5" s="33"/>
    </row>
    <row r="6" spans="1:41">
      <c r="A6" s="1" t="s">
        <v>87</v>
      </c>
      <c r="B6" s="1" t="s">
        <v>89</v>
      </c>
      <c r="C6" s="32">
        <v>670</v>
      </c>
      <c r="D6" s="1">
        <v>3</v>
      </c>
      <c r="F6" s="1" t="s">
        <v>84</v>
      </c>
      <c r="G6" s="1" t="s">
        <v>83</v>
      </c>
      <c r="H6" s="1">
        <v>128</v>
      </c>
      <c r="I6" s="1">
        <v>3</v>
      </c>
      <c r="K6" s="1" t="s">
        <v>87</v>
      </c>
      <c r="L6" s="1" t="s">
        <v>119</v>
      </c>
      <c r="M6" s="33">
        <v>104</v>
      </c>
      <c r="N6" s="33">
        <v>3</v>
      </c>
      <c r="P6" s="33" t="s">
        <v>1998</v>
      </c>
      <c r="Q6" s="1" t="s">
        <v>2002</v>
      </c>
      <c r="R6" s="33">
        <v>637.5</v>
      </c>
      <c r="S6" s="33">
        <v>3</v>
      </c>
      <c r="U6" s="33" t="s">
        <v>2010</v>
      </c>
      <c r="V6" s="1" t="s">
        <v>2061</v>
      </c>
      <c r="W6" s="33">
        <v>126</v>
      </c>
      <c r="X6" s="33">
        <v>2</v>
      </c>
      <c r="Z6" s="33" t="s">
        <v>1998</v>
      </c>
      <c r="AA6" s="1" t="s">
        <v>2045</v>
      </c>
      <c r="AB6" s="33">
        <v>89</v>
      </c>
      <c r="AC6" s="33">
        <v>3</v>
      </c>
      <c r="AH6" s="33"/>
      <c r="AK6" s="33"/>
      <c r="AM6" s="33"/>
      <c r="AN6" s="33"/>
      <c r="AO6" s="33"/>
    </row>
    <row r="7" spans="1:41">
      <c r="A7" s="1" t="s">
        <v>92</v>
      </c>
      <c r="B7" s="1" t="s">
        <v>91</v>
      </c>
      <c r="C7" s="32">
        <v>667.5</v>
      </c>
      <c r="D7" s="1">
        <v>4</v>
      </c>
      <c r="F7" s="1" t="s">
        <v>87</v>
      </c>
      <c r="G7" s="1" t="s">
        <v>205</v>
      </c>
      <c r="H7" s="1">
        <v>127</v>
      </c>
      <c r="I7" s="1">
        <v>4</v>
      </c>
      <c r="K7" s="1" t="s">
        <v>87</v>
      </c>
      <c r="L7" s="1" t="s">
        <v>130</v>
      </c>
      <c r="M7" s="33">
        <v>104</v>
      </c>
      <c r="N7" s="33">
        <v>3</v>
      </c>
      <c r="P7" s="33" t="s">
        <v>1998</v>
      </c>
      <c r="Q7" s="1" t="s">
        <v>2004</v>
      </c>
      <c r="R7" s="33">
        <v>615.5</v>
      </c>
      <c r="S7" s="33">
        <v>4</v>
      </c>
      <c r="U7" s="33" t="s">
        <v>1998</v>
      </c>
      <c r="V7" s="1" t="s">
        <v>2020</v>
      </c>
      <c r="W7" s="33">
        <v>124</v>
      </c>
      <c r="X7" s="33">
        <v>4</v>
      </c>
      <c r="Z7" s="33" t="s">
        <v>1998</v>
      </c>
      <c r="AA7" s="1" t="s">
        <v>1997</v>
      </c>
      <c r="AB7" s="33">
        <v>88</v>
      </c>
      <c r="AC7" s="33">
        <v>4</v>
      </c>
      <c r="AH7" s="33"/>
      <c r="AK7" s="33"/>
      <c r="AM7" s="33"/>
      <c r="AN7" s="33"/>
      <c r="AO7" s="33"/>
    </row>
    <row r="8" spans="1:41">
      <c r="A8" s="1" t="s">
        <v>87</v>
      </c>
      <c r="B8" s="1" t="s">
        <v>94</v>
      </c>
      <c r="C8" s="32">
        <v>664.5</v>
      </c>
      <c r="D8" s="1">
        <v>5</v>
      </c>
      <c r="F8" s="1" t="s">
        <v>84</v>
      </c>
      <c r="G8" s="1" t="s">
        <v>166</v>
      </c>
      <c r="H8" s="1">
        <v>127</v>
      </c>
      <c r="I8" s="1">
        <v>4</v>
      </c>
      <c r="K8" s="1" t="s">
        <v>240</v>
      </c>
      <c r="L8" s="1" t="s">
        <v>261</v>
      </c>
      <c r="M8" s="33">
        <v>104</v>
      </c>
      <c r="N8" s="33">
        <v>3</v>
      </c>
      <c r="P8" s="33" t="s">
        <v>1998</v>
      </c>
      <c r="Q8" s="1" t="s">
        <v>2006</v>
      </c>
      <c r="R8" s="33">
        <v>615</v>
      </c>
      <c r="S8" s="33">
        <v>5</v>
      </c>
      <c r="U8" s="33" t="s">
        <v>1998</v>
      </c>
      <c r="V8" s="1" t="s">
        <v>2008</v>
      </c>
      <c r="W8" s="33">
        <v>123</v>
      </c>
      <c r="X8" s="33">
        <v>5</v>
      </c>
      <c r="Z8" s="33" t="s">
        <v>1998</v>
      </c>
      <c r="AA8" s="1" t="s">
        <v>2085</v>
      </c>
      <c r="AB8" s="33">
        <v>88</v>
      </c>
      <c r="AC8" s="33">
        <v>4</v>
      </c>
      <c r="AH8" s="33"/>
      <c r="AK8" s="33"/>
      <c r="AM8" s="33"/>
      <c r="AN8" s="33"/>
      <c r="AO8" s="33"/>
    </row>
    <row r="9" spans="1:41">
      <c r="A9" s="1" t="s">
        <v>97</v>
      </c>
      <c r="B9" s="1" t="s">
        <v>96</v>
      </c>
      <c r="C9" s="32">
        <v>663.5</v>
      </c>
      <c r="D9" s="1">
        <v>6</v>
      </c>
      <c r="F9" s="1" t="s">
        <v>203</v>
      </c>
      <c r="G9" s="1" t="s">
        <v>207</v>
      </c>
      <c r="H9" s="1">
        <v>127</v>
      </c>
      <c r="I9" s="1">
        <v>4</v>
      </c>
      <c r="K9" s="1" t="s">
        <v>133</v>
      </c>
      <c r="L9" s="1" t="s">
        <v>214</v>
      </c>
      <c r="M9" s="33">
        <v>104</v>
      </c>
      <c r="N9" s="33">
        <v>3</v>
      </c>
      <c r="P9" s="33" t="s">
        <v>1998</v>
      </c>
      <c r="Q9" s="1" t="s">
        <v>2008</v>
      </c>
      <c r="R9" s="33">
        <v>610</v>
      </c>
      <c r="S9" s="33">
        <v>6</v>
      </c>
      <c r="U9" s="33" t="s">
        <v>1998</v>
      </c>
      <c r="V9" s="1" t="s">
        <v>2036</v>
      </c>
      <c r="W9" s="33">
        <v>123</v>
      </c>
      <c r="X9" s="33">
        <v>5</v>
      </c>
      <c r="Z9" s="33" t="s">
        <v>1998</v>
      </c>
      <c r="AA9" s="1" t="s">
        <v>2002</v>
      </c>
      <c r="AB9" s="33">
        <v>87</v>
      </c>
      <c r="AC9" s="33">
        <v>6</v>
      </c>
      <c r="AH9" s="33"/>
      <c r="AK9" s="33"/>
      <c r="AM9" s="33"/>
      <c r="AN9" s="33"/>
      <c r="AO9" s="33"/>
    </row>
    <row r="10" spans="1:41">
      <c r="A10" s="1" t="s">
        <v>87</v>
      </c>
      <c r="B10" s="1" t="s">
        <v>99</v>
      </c>
      <c r="C10" s="32">
        <v>663</v>
      </c>
      <c r="D10" s="1">
        <v>7</v>
      </c>
      <c r="F10" s="1" t="s">
        <v>87</v>
      </c>
      <c r="G10" s="1" t="s">
        <v>194</v>
      </c>
      <c r="H10" s="1">
        <v>127</v>
      </c>
      <c r="I10" s="1">
        <v>4</v>
      </c>
      <c r="K10" s="1" t="s">
        <v>87</v>
      </c>
      <c r="L10" s="1" t="s">
        <v>89</v>
      </c>
      <c r="M10" s="33">
        <v>103</v>
      </c>
      <c r="N10" s="33">
        <v>7</v>
      </c>
      <c r="P10" s="33" t="s">
        <v>2010</v>
      </c>
      <c r="Q10" s="1" t="s">
        <v>38</v>
      </c>
      <c r="R10" s="33">
        <v>599</v>
      </c>
      <c r="S10" s="33">
        <v>7</v>
      </c>
      <c r="U10" s="33" t="s">
        <v>2010</v>
      </c>
      <c r="V10" s="1" t="s">
        <v>2191</v>
      </c>
      <c r="W10" s="33">
        <v>122</v>
      </c>
      <c r="X10" s="33">
        <v>7</v>
      </c>
      <c r="Z10" s="33" t="s">
        <v>1998</v>
      </c>
      <c r="AA10" s="1" t="s">
        <v>2032</v>
      </c>
      <c r="AB10" s="33">
        <v>87</v>
      </c>
      <c r="AC10" s="33">
        <v>6</v>
      </c>
      <c r="AH10" s="33"/>
      <c r="AK10" s="33"/>
      <c r="AM10" s="33"/>
      <c r="AN10" s="33"/>
      <c r="AO10" s="33"/>
    </row>
    <row r="11" spans="1:41">
      <c r="A11" s="1" t="s">
        <v>87</v>
      </c>
      <c r="B11" s="1" t="s">
        <v>101</v>
      </c>
      <c r="C11" s="32">
        <v>658</v>
      </c>
      <c r="D11" s="1">
        <v>8</v>
      </c>
      <c r="F11" s="1" t="s">
        <v>122</v>
      </c>
      <c r="G11" s="1" t="s">
        <v>126</v>
      </c>
      <c r="H11" s="1">
        <v>127</v>
      </c>
      <c r="I11" s="1">
        <v>4</v>
      </c>
      <c r="K11" s="1" t="s">
        <v>296</v>
      </c>
      <c r="L11" s="1" t="s">
        <v>741</v>
      </c>
      <c r="M11" s="33">
        <v>103</v>
      </c>
      <c r="N11" s="33">
        <v>7</v>
      </c>
      <c r="P11" s="33" t="s">
        <v>1998</v>
      </c>
      <c r="Q11" s="1" t="s">
        <v>2012</v>
      </c>
      <c r="R11" s="33">
        <v>598.5</v>
      </c>
      <c r="S11" s="33">
        <v>8</v>
      </c>
      <c r="U11" s="33" t="s">
        <v>2010</v>
      </c>
      <c r="V11" s="1" t="s">
        <v>38</v>
      </c>
      <c r="W11" s="33">
        <v>121</v>
      </c>
      <c r="X11" s="33">
        <v>8</v>
      </c>
      <c r="Z11" s="33" t="s">
        <v>2039</v>
      </c>
      <c r="AA11" s="1" t="s">
        <v>2075</v>
      </c>
      <c r="AB11" s="33">
        <v>87</v>
      </c>
      <c r="AC11" s="33">
        <v>6</v>
      </c>
      <c r="AH11" s="33"/>
      <c r="AK11" s="33"/>
      <c r="AM11" s="33"/>
      <c r="AN11" s="33"/>
      <c r="AO11" s="33"/>
    </row>
    <row r="12" spans="1:41">
      <c r="A12" s="1" t="s">
        <v>87</v>
      </c>
      <c r="B12" s="1" t="s">
        <v>119</v>
      </c>
      <c r="C12" s="32">
        <v>657.5</v>
      </c>
      <c r="D12" s="1">
        <v>9</v>
      </c>
      <c r="F12" s="1" t="s">
        <v>217</v>
      </c>
      <c r="G12" s="1" t="s">
        <v>216</v>
      </c>
      <c r="H12" s="33">
        <v>127</v>
      </c>
      <c r="I12" s="34">
        <v>4</v>
      </c>
      <c r="K12" s="1" t="s">
        <v>172</v>
      </c>
      <c r="L12" s="1" t="s">
        <v>186</v>
      </c>
      <c r="M12" s="1">
        <v>102</v>
      </c>
      <c r="N12" s="1">
        <v>9</v>
      </c>
      <c r="P12" s="33" t="s">
        <v>1998</v>
      </c>
      <c r="Q12" s="1" t="s">
        <v>2014</v>
      </c>
      <c r="R12" s="33">
        <v>595.5</v>
      </c>
      <c r="S12" s="33">
        <v>9</v>
      </c>
      <c r="U12" s="1" t="s">
        <v>1998</v>
      </c>
      <c r="V12" s="1" t="s">
        <v>2022</v>
      </c>
      <c r="W12" s="33">
        <v>121</v>
      </c>
      <c r="X12" s="34">
        <v>8</v>
      </c>
      <c r="Z12" s="1" t="s">
        <v>1998</v>
      </c>
      <c r="AA12" s="1" t="s">
        <v>2012</v>
      </c>
      <c r="AB12" s="1">
        <v>86</v>
      </c>
      <c r="AC12" s="1">
        <v>9</v>
      </c>
      <c r="AH12" s="33"/>
      <c r="AK12" s="33"/>
      <c r="AM12" s="33"/>
      <c r="AN12" s="33"/>
      <c r="AO12" s="33"/>
    </row>
    <row r="13" spans="1:41">
      <c r="A13" s="1" t="s">
        <v>106</v>
      </c>
      <c r="B13" s="1" t="s">
        <v>105</v>
      </c>
      <c r="C13" s="32">
        <v>656</v>
      </c>
      <c r="D13" s="1">
        <v>10</v>
      </c>
      <c r="F13" s="1" t="s">
        <v>240</v>
      </c>
      <c r="G13" s="1" t="s">
        <v>737</v>
      </c>
      <c r="H13" s="1">
        <v>127</v>
      </c>
      <c r="I13" s="1">
        <v>4</v>
      </c>
      <c r="K13" s="1" t="s">
        <v>172</v>
      </c>
      <c r="L13" s="1" t="s">
        <v>727</v>
      </c>
      <c r="M13" s="33">
        <v>102</v>
      </c>
      <c r="N13" s="33">
        <v>9</v>
      </c>
      <c r="P13" s="33" t="s">
        <v>1998</v>
      </c>
      <c r="Q13" s="1" t="s">
        <v>2016</v>
      </c>
      <c r="R13" s="33">
        <v>591.5</v>
      </c>
      <c r="S13" s="33">
        <v>10</v>
      </c>
      <c r="U13" s="33" t="s">
        <v>2039</v>
      </c>
      <c r="V13" s="1" t="s">
        <v>2117</v>
      </c>
      <c r="W13" s="33">
        <v>121</v>
      </c>
      <c r="X13" s="33">
        <v>8</v>
      </c>
      <c r="Z13" s="33" t="s">
        <v>1998</v>
      </c>
      <c r="AA13" s="1" t="s">
        <v>2030</v>
      </c>
      <c r="AB13" s="33">
        <v>86</v>
      </c>
      <c r="AC13" s="33">
        <v>9</v>
      </c>
      <c r="AH13" s="33"/>
      <c r="AK13" s="33"/>
      <c r="AM13" s="33"/>
      <c r="AN13" s="33"/>
      <c r="AO13" s="33"/>
    </row>
    <row r="14" spans="1:41">
      <c r="A14" s="1" t="s">
        <v>87</v>
      </c>
      <c r="B14" s="1" t="s">
        <v>103</v>
      </c>
      <c r="C14" s="32">
        <v>656</v>
      </c>
      <c r="D14" s="1">
        <v>10</v>
      </c>
      <c r="K14" s="1" t="s">
        <v>249</v>
      </c>
      <c r="L14" s="1" t="s">
        <v>324</v>
      </c>
      <c r="M14" s="33">
        <v>102</v>
      </c>
      <c r="N14" s="33">
        <v>9</v>
      </c>
      <c r="P14" s="33" t="s">
        <v>1998</v>
      </c>
      <c r="Q14" s="1" t="s">
        <v>2018</v>
      </c>
      <c r="R14" s="33">
        <v>578.5</v>
      </c>
      <c r="S14" s="33">
        <v>11</v>
      </c>
      <c r="U14" s="33" t="s">
        <v>2039</v>
      </c>
      <c r="V14" s="1" t="s">
        <v>2131</v>
      </c>
      <c r="W14" s="33">
        <v>121</v>
      </c>
      <c r="X14" s="33">
        <v>8</v>
      </c>
      <c r="Z14" s="33"/>
      <c r="AB14" s="33"/>
      <c r="AC14" s="33"/>
      <c r="AH14" s="33"/>
      <c r="AK14" s="33"/>
      <c r="AM14" s="33"/>
      <c r="AN14" s="33"/>
      <c r="AO14" s="33"/>
    </row>
    <row r="15" spans="1:41">
      <c r="A15" s="1" t="s">
        <v>87</v>
      </c>
      <c r="B15" s="1" t="s">
        <v>108</v>
      </c>
      <c r="C15" s="32">
        <v>652</v>
      </c>
      <c r="D15" s="1">
        <v>12</v>
      </c>
      <c r="F15" s="1" t="s">
        <v>13</v>
      </c>
      <c r="G15" s="1" t="s">
        <v>15</v>
      </c>
      <c r="H15" s="46" t="s">
        <v>3</v>
      </c>
      <c r="I15" s="34" t="s">
        <v>31</v>
      </c>
      <c r="P15" s="33" t="s">
        <v>1998</v>
      </c>
      <c r="Q15" s="1" t="s">
        <v>2020</v>
      </c>
      <c r="R15" s="33">
        <v>576.5</v>
      </c>
      <c r="S15" s="33">
        <v>12</v>
      </c>
      <c r="U15" s="33"/>
      <c r="W15" s="33"/>
      <c r="X15" s="33"/>
      <c r="Z15" s="33"/>
      <c r="AB15" s="33"/>
      <c r="AC15" s="33"/>
      <c r="AH15" s="33"/>
      <c r="AK15" s="33"/>
      <c r="AM15" s="33"/>
      <c r="AN15" s="33"/>
      <c r="AO15" s="33"/>
    </row>
    <row r="16" spans="1:41">
      <c r="A16" s="1" t="s">
        <v>111</v>
      </c>
      <c r="B16" s="1" t="s">
        <v>110</v>
      </c>
      <c r="C16" s="32">
        <v>650</v>
      </c>
      <c r="D16" s="1">
        <v>13</v>
      </c>
      <c r="F16" s="1" t="s">
        <v>87</v>
      </c>
      <c r="G16" s="1" t="s">
        <v>119</v>
      </c>
      <c r="H16" s="1">
        <v>148</v>
      </c>
      <c r="I16" s="1">
        <v>1</v>
      </c>
      <c r="K16" s="1" t="s">
        <v>13</v>
      </c>
      <c r="L16" s="1" t="s">
        <v>15</v>
      </c>
      <c r="M16" s="33" t="s">
        <v>25</v>
      </c>
      <c r="N16" s="34" t="s">
        <v>45</v>
      </c>
      <c r="P16" s="33" t="s">
        <v>1998</v>
      </c>
      <c r="Q16" s="1" t="s">
        <v>2022</v>
      </c>
      <c r="R16" s="33">
        <v>576</v>
      </c>
      <c r="S16" s="33">
        <v>13</v>
      </c>
      <c r="U16" s="1" t="s">
        <v>13</v>
      </c>
      <c r="V16" s="1" t="s">
        <v>15</v>
      </c>
      <c r="W16" s="68" t="s">
        <v>3</v>
      </c>
      <c r="X16" s="34" t="s">
        <v>31</v>
      </c>
      <c r="Z16" s="1" t="s">
        <v>13</v>
      </c>
      <c r="AA16" s="1" t="s">
        <v>15</v>
      </c>
      <c r="AB16" s="33" t="s">
        <v>34</v>
      </c>
      <c r="AC16" s="34" t="s">
        <v>45</v>
      </c>
      <c r="AH16" s="33"/>
      <c r="AK16" s="33"/>
      <c r="AM16" s="33"/>
      <c r="AN16" s="33"/>
      <c r="AO16" s="33"/>
    </row>
    <row r="17" spans="1:41">
      <c r="A17" s="1" t="s">
        <v>97</v>
      </c>
      <c r="B17" s="1" t="s">
        <v>113</v>
      </c>
      <c r="C17" s="32">
        <v>647.5</v>
      </c>
      <c r="D17" s="1">
        <v>14</v>
      </c>
      <c r="F17" s="1" t="s">
        <v>92</v>
      </c>
      <c r="G17" s="1" t="s">
        <v>160</v>
      </c>
      <c r="H17" s="1">
        <v>147</v>
      </c>
      <c r="I17" s="1">
        <v>2</v>
      </c>
      <c r="K17" s="1" t="s">
        <v>87</v>
      </c>
      <c r="L17" s="1" t="s">
        <v>119</v>
      </c>
      <c r="M17" s="33">
        <v>100</v>
      </c>
      <c r="N17" s="33">
        <v>1</v>
      </c>
      <c r="P17" s="33" t="s">
        <v>1998</v>
      </c>
      <c r="Q17" s="1" t="s">
        <v>2024</v>
      </c>
      <c r="R17" s="33">
        <v>571</v>
      </c>
      <c r="S17" s="33">
        <v>14</v>
      </c>
      <c r="U17" s="33" t="s">
        <v>1998</v>
      </c>
      <c r="V17" s="1" t="s">
        <v>2006</v>
      </c>
      <c r="W17" s="33">
        <v>143</v>
      </c>
      <c r="X17" s="33">
        <v>1</v>
      </c>
      <c r="Z17" s="33" t="s">
        <v>1998</v>
      </c>
      <c r="AA17" s="1" t="s">
        <v>2002</v>
      </c>
      <c r="AB17" s="33">
        <v>96</v>
      </c>
      <c r="AC17" s="33">
        <v>1</v>
      </c>
      <c r="AH17" s="33"/>
      <c r="AK17" s="33"/>
      <c r="AM17" s="33"/>
      <c r="AN17" s="33"/>
      <c r="AO17" s="33"/>
    </row>
    <row r="18" spans="1:41">
      <c r="A18" s="1" t="s">
        <v>87</v>
      </c>
      <c r="B18" s="1" t="s">
        <v>117</v>
      </c>
      <c r="C18" s="32">
        <v>647</v>
      </c>
      <c r="D18" s="1">
        <v>15</v>
      </c>
      <c r="F18" s="1" t="s">
        <v>133</v>
      </c>
      <c r="G18" s="1" t="s">
        <v>214</v>
      </c>
      <c r="H18" s="1">
        <v>147</v>
      </c>
      <c r="I18" s="1">
        <v>2</v>
      </c>
      <c r="K18" s="1" t="s">
        <v>87</v>
      </c>
      <c r="L18" s="1" t="s">
        <v>89</v>
      </c>
      <c r="M18" s="1">
        <v>100</v>
      </c>
      <c r="N18" s="1">
        <v>1</v>
      </c>
      <c r="P18" s="33" t="s">
        <v>1998</v>
      </c>
      <c r="Q18" s="1" t="s">
        <v>2026</v>
      </c>
      <c r="R18" s="33">
        <v>569</v>
      </c>
      <c r="S18" s="33">
        <v>15</v>
      </c>
      <c r="U18" s="33" t="s">
        <v>1998</v>
      </c>
      <c r="V18" s="1" t="s">
        <v>1997</v>
      </c>
      <c r="W18" s="33">
        <v>142</v>
      </c>
      <c r="X18" s="33">
        <v>2</v>
      </c>
      <c r="Z18" s="33" t="s">
        <v>1998</v>
      </c>
      <c r="AA18" s="1" t="s">
        <v>2000</v>
      </c>
      <c r="AB18" s="33">
        <v>90</v>
      </c>
      <c r="AC18" s="33">
        <v>2</v>
      </c>
      <c r="AH18" s="33"/>
      <c r="AK18" s="33"/>
      <c r="AM18" s="33"/>
      <c r="AN18" s="33"/>
      <c r="AO18" s="33"/>
    </row>
    <row r="19" spans="1:41">
      <c r="A19" s="1" t="s">
        <v>87</v>
      </c>
      <c r="B19" s="1" t="s">
        <v>115</v>
      </c>
      <c r="C19" s="32">
        <v>647</v>
      </c>
      <c r="D19" s="1">
        <v>15</v>
      </c>
      <c r="F19" s="1" t="s">
        <v>172</v>
      </c>
      <c r="G19" s="1" t="s">
        <v>369</v>
      </c>
      <c r="H19" s="1">
        <v>146</v>
      </c>
      <c r="I19" s="1">
        <v>4</v>
      </c>
      <c r="K19" s="1" t="s">
        <v>92</v>
      </c>
      <c r="L19" s="1" t="s">
        <v>91</v>
      </c>
      <c r="M19" s="1">
        <v>100</v>
      </c>
      <c r="N19" s="1">
        <v>1</v>
      </c>
      <c r="P19" s="33" t="s">
        <v>1998</v>
      </c>
      <c r="Q19" s="1" t="s">
        <v>2028</v>
      </c>
      <c r="R19" s="33">
        <v>568.5</v>
      </c>
      <c r="S19" s="33">
        <v>16</v>
      </c>
      <c r="U19" s="1" t="s">
        <v>1998</v>
      </c>
      <c r="V19" s="1" t="s">
        <v>2002</v>
      </c>
      <c r="W19" s="33">
        <v>137</v>
      </c>
      <c r="X19" s="33">
        <v>3</v>
      </c>
      <c r="Z19" s="1" t="s">
        <v>1998</v>
      </c>
      <c r="AA19" s="1" t="s">
        <v>2008</v>
      </c>
      <c r="AB19" s="1">
        <v>90</v>
      </c>
      <c r="AC19" s="1">
        <v>2</v>
      </c>
      <c r="AH19" s="33"/>
    </row>
    <row r="20" spans="1:41">
      <c r="A20" s="1" t="s">
        <v>122</v>
      </c>
      <c r="B20" s="1" t="s">
        <v>121</v>
      </c>
      <c r="C20" s="32">
        <v>646.5</v>
      </c>
      <c r="D20" s="1">
        <v>17</v>
      </c>
      <c r="F20" s="1" t="s">
        <v>97</v>
      </c>
      <c r="G20" s="1" t="s">
        <v>96</v>
      </c>
      <c r="H20" s="1">
        <v>144</v>
      </c>
      <c r="I20" s="1">
        <v>5</v>
      </c>
      <c r="K20" s="1" t="s">
        <v>87</v>
      </c>
      <c r="L20" s="1" t="s">
        <v>86</v>
      </c>
      <c r="M20" s="33">
        <v>100</v>
      </c>
      <c r="N20" s="34">
        <v>1</v>
      </c>
      <c r="P20" s="33" t="s">
        <v>1998</v>
      </c>
      <c r="Q20" s="1" t="s">
        <v>2030</v>
      </c>
      <c r="R20" s="33">
        <v>568</v>
      </c>
      <c r="S20" s="33">
        <v>17</v>
      </c>
      <c r="U20" s="1" t="s">
        <v>1998</v>
      </c>
      <c r="V20" s="1" t="s">
        <v>2000</v>
      </c>
      <c r="W20" s="1">
        <v>126</v>
      </c>
      <c r="X20" s="1">
        <v>4</v>
      </c>
      <c r="Z20" s="1" t="s">
        <v>1998</v>
      </c>
      <c r="AA20" s="1" t="s">
        <v>1997</v>
      </c>
      <c r="AB20" s="1">
        <v>88</v>
      </c>
      <c r="AC20" s="1">
        <v>4</v>
      </c>
      <c r="AH20" s="33"/>
    </row>
    <row r="21" spans="1:41">
      <c r="A21" s="1" t="s">
        <v>87</v>
      </c>
      <c r="B21" s="1" t="s">
        <v>124</v>
      </c>
      <c r="C21" s="32">
        <v>646</v>
      </c>
      <c r="D21" s="1">
        <v>18</v>
      </c>
      <c r="F21" s="1" t="s">
        <v>240</v>
      </c>
      <c r="G21" s="1" t="s">
        <v>239</v>
      </c>
      <c r="H21" s="33">
        <v>144</v>
      </c>
      <c r="I21" s="33">
        <v>5</v>
      </c>
      <c r="K21" s="1" t="s">
        <v>106</v>
      </c>
      <c r="L21" s="1" t="s">
        <v>105</v>
      </c>
      <c r="M21" s="33">
        <v>100</v>
      </c>
      <c r="N21" s="33">
        <v>1</v>
      </c>
      <c r="P21" s="33" t="s">
        <v>1998</v>
      </c>
      <c r="Q21" s="1" t="s">
        <v>2032</v>
      </c>
      <c r="R21" s="33">
        <v>568</v>
      </c>
      <c r="S21" s="33">
        <v>17</v>
      </c>
      <c r="U21" s="1" t="s">
        <v>1998</v>
      </c>
      <c r="V21" s="1" t="s">
        <v>2004</v>
      </c>
      <c r="W21" s="1">
        <v>121</v>
      </c>
      <c r="X21" s="1">
        <v>5</v>
      </c>
      <c r="Z21" s="1" t="s">
        <v>1998</v>
      </c>
      <c r="AA21" s="1" t="s">
        <v>2097</v>
      </c>
      <c r="AB21" s="1">
        <v>88</v>
      </c>
      <c r="AC21" s="1">
        <v>4</v>
      </c>
      <c r="AH21" s="33"/>
    </row>
    <row r="22" spans="1:41">
      <c r="A22" s="1" t="s">
        <v>122</v>
      </c>
      <c r="B22" s="1" t="s">
        <v>126</v>
      </c>
      <c r="C22" s="32">
        <v>645</v>
      </c>
      <c r="D22" s="1">
        <v>19</v>
      </c>
      <c r="F22" s="1" t="s">
        <v>111</v>
      </c>
      <c r="G22" s="1" t="s">
        <v>110</v>
      </c>
      <c r="H22" s="33">
        <v>144</v>
      </c>
      <c r="I22" s="33">
        <v>5</v>
      </c>
      <c r="K22" s="1" t="s">
        <v>203</v>
      </c>
      <c r="L22" s="1" t="s">
        <v>202</v>
      </c>
      <c r="M22" s="1">
        <v>100</v>
      </c>
      <c r="N22" s="1">
        <v>1</v>
      </c>
      <c r="P22" s="33" t="s">
        <v>1998</v>
      </c>
      <c r="Q22" s="1" t="s">
        <v>2034</v>
      </c>
      <c r="R22" s="33">
        <v>567.5</v>
      </c>
      <c r="S22" s="33">
        <v>19</v>
      </c>
      <c r="U22" s="1" t="s">
        <v>1998</v>
      </c>
      <c r="V22" s="1" t="s">
        <v>2012</v>
      </c>
      <c r="W22" s="1">
        <v>119</v>
      </c>
      <c r="X22" s="1">
        <v>6</v>
      </c>
      <c r="Z22" s="33" t="s">
        <v>1998</v>
      </c>
      <c r="AA22" s="1" t="s">
        <v>2034</v>
      </c>
      <c r="AB22" s="33">
        <v>87</v>
      </c>
      <c r="AC22" s="33">
        <v>6</v>
      </c>
      <c r="AG22" s="33"/>
      <c r="AH22" s="33"/>
    </row>
    <row r="23" spans="1:41">
      <c r="A23" s="1" t="s">
        <v>87</v>
      </c>
      <c r="B23" s="1" t="s">
        <v>128</v>
      </c>
      <c r="C23" s="32">
        <v>644.5</v>
      </c>
      <c r="D23" s="1">
        <v>20</v>
      </c>
      <c r="F23" s="1" t="s">
        <v>87</v>
      </c>
      <c r="G23" s="1" t="s">
        <v>89</v>
      </c>
      <c r="H23" s="33">
        <v>143</v>
      </c>
      <c r="I23" s="33">
        <v>8</v>
      </c>
      <c r="K23" s="1" t="s">
        <v>87</v>
      </c>
      <c r="L23" s="1" t="s">
        <v>115</v>
      </c>
      <c r="M23" s="33">
        <v>100</v>
      </c>
      <c r="N23" s="33">
        <v>1</v>
      </c>
      <c r="P23" s="33" t="s">
        <v>1998</v>
      </c>
      <c r="Q23" s="1" t="s">
        <v>2036</v>
      </c>
      <c r="R23" s="33">
        <v>564</v>
      </c>
      <c r="S23" s="33">
        <v>20</v>
      </c>
      <c r="U23" s="1" t="s">
        <v>1998</v>
      </c>
      <c r="V23" s="1" t="s">
        <v>2047</v>
      </c>
      <c r="W23" s="1">
        <v>119</v>
      </c>
      <c r="X23" s="1">
        <v>6</v>
      </c>
      <c r="Z23" s="33" t="s">
        <v>1998</v>
      </c>
      <c r="AA23" s="1" t="s">
        <v>2119</v>
      </c>
      <c r="AB23" s="33">
        <v>86</v>
      </c>
      <c r="AC23" s="33">
        <v>7</v>
      </c>
      <c r="AG23" s="33"/>
      <c r="AH23" s="33"/>
    </row>
    <row r="24" spans="1:41">
      <c r="A24" s="1" t="s">
        <v>87</v>
      </c>
      <c r="B24" s="1" t="s">
        <v>130</v>
      </c>
      <c r="C24" s="32">
        <v>642.5</v>
      </c>
      <c r="D24" s="1">
        <v>21</v>
      </c>
      <c r="F24" s="1" t="s">
        <v>87</v>
      </c>
      <c r="G24" s="1" t="s">
        <v>86</v>
      </c>
      <c r="H24" s="1">
        <v>143</v>
      </c>
      <c r="I24" s="1">
        <v>8</v>
      </c>
      <c r="K24" s="1" t="s">
        <v>87</v>
      </c>
      <c r="L24" s="1" t="s">
        <v>137</v>
      </c>
      <c r="M24" s="33">
        <v>100</v>
      </c>
      <c r="N24" s="33">
        <v>1</v>
      </c>
      <c r="P24" s="33" t="s">
        <v>2039</v>
      </c>
      <c r="Q24" s="1" t="s">
        <v>2038</v>
      </c>
      <c r="R24" s="33">
        <v>562.5</v>
      </c>
      <c r="S24" s="33">
        <v>21</v>
      </c>
      <c r="U24" s="1" t="s">
        <v>1998</v>
      </c>
      <c r="V24" s="1" t="s">
        <v>2008</v>
      </c>
      <c r="W24" s="1">
        <v>118</v>
      </c>
      <c r="X24" s="1">
        <v>8</v>
      </c>
      <c r="Z24" s="33" t="s">
        <v>1998</v>
      </c>
      <c r="AA24" s="1" t="s">
        <v>2099</v>
      </c>
      <c r="AB24" s="33">
        <v>85</v>
      </c>
      <c r="AC24" s="33">
        <v>8</v>
      </c>
      <c r="AG24" s="33"/>
      <c r="AH24" s="33"/>
    </row>
    <row r="25" spans="1:41">
      <c r="A25" s="1" t="s">
        <v>133</v>
      </c>
      <c r="B25" s="1" t="s">
        <v>132</v>
      </c>
      <c r="C25" s="32">
        <v>642</v>
      </c>
      <c r="D25" s="1">
        <v>22</v>
      </c>
      <c r="F25" s="1" t="s">
        <v>122</v>
      </c>
      <c r="G25" s="1" t="s">
        <v>121</v>
      </c>
      <c r="H25" s="33">
        <v>143</v>
      </c>
      <c r="I25" s="33">
        <v>8</v>
      </c>
      <c r="K25" s="1" t="s">
        <v>122</v>
      </c>
      <c r="L25" s="1" t="s">
        <v>389</v>
      </c>
      <c r="M25" s="33">
        <v>100</v>
      </c>
      <c r="N25" s="33">
        <v>1</v>
      </c>
      <c r="P25" s="1" t="s">
        <v>1998</v>
      </c>
      <c r="Q25" s="1" t="s">
        <v>2041</v>
      </c>
      <c r="R25" s="1">
        <v>562</v>
      </c>
      <c r="S25" s="1">
        <v>22</v>
      </c>
      <c r="U25" s="33" t="s">
        <v>1998</v>
      </c>
      <c r="V25" s="1" t="s">
        <v>2022</v>
      </c>
      <c r="W25" s="33">
        <v>118</v>
      </c>
      <c r="X25" s="33">
        <v>8</v>
      </c>
      <c r="Z25" s="33" t="s">
        <v>1998</v>
      </c>
      <c r="AA25" s="1" t="s">
        <v>2049</v>
      </c>
      <c r="AB25" s="33">
        <v>85</v>
      </c>
      <c r="AC25" s="33">
        <v>8</v>
      </c>
      <c r="AG25" s="33"/>
      <c r="AH25" s="33"/>
    </row>
    <row r="26" spans="1:41">
      <c r="A26" s="1" t="s">
        <v>87</v>
      </c>
      <c r="B26" s="1" t="s">
        <v>135</v>
      </c>
      <c r="C26" s="32">
        <v>641.5</v>
      </c>
      <c r="D26" s="1">
        <v>23</v>
      </c>
      <c r="H26" s="33"/>
      <c r="I26" s="33"/>
      <c r="K26" s="1" t="s">
        <v>87</v>
      </c>
      <c r="L26" s="1" t="s">
        <v>164</v>
      </c>
      <c r="M26" s="1">
        <v>100</v>
      </c>
      <c r="N26" s="1">
        <v>1</v>
      </c>
      <c r="P26" s="1" t="s">
        <v>1998</v>
      </c>
      <c r="Q26" s="1" t="s">
        <v>2043</v>
      </c>
      <c r="R26" s="1">
        <v>557.5</v>
      </c>
      <c r="S26" s="1">
        <v>23</v>
      </c>
      <c r="U26" s="33" t="s">
        <v>1998</v>
      </c>
      <c r="V26" s="1" t="s">
        <v>2024</v>
      </c>
      <c r="W26" s="33">
        <v>118</v>
      </c>
      <c r="X26" s="33">
        <v>8</v>
      </c>
      <c r="Z26" s="33" t="s">
        <v>2010</v>
      </c>
      <c r="AA26" s="1" t="s">
        <v>2105</v>
      </c>
      <c r="AB26" s="33">
        <v>85</v>
      </c>
      <c r="AC26" s="33">
        <v>8</v>
      </c>
      <c r="AG26" s="33"/>
      <c r="AH26" s="33"/>
    </row>
    <row r="27" spans="1:41">
      <c r="A27" s="1" t="s">
        <v>87</v>
      </c>
      <c r="B27" s="1" t="s">
        <v>137</v>
      </c>
      <c r="C27" s="32">
        <v>640.5</v>
      </c>
      <c r="D27" s="1">
        <v>24</v>
      </c>
      <c r="F27" s="1" t="s">
        <v>13</v>
      </c>
      <c r="G27" s="1" t="s">
        <v>15</v>
      </c>
      <c r="H27" s="33" t="s">
        <v>24</v>
      </c>
      <c r="I27" s="34" t="s">
        <v>31</v>
      </c>
      <c r="K27" s="1" t="s">
        <v>296</v>
      </c>
      <c r="L27" s="1" t="s">
        <v>328</v>
      </c>
      <c r="M27" s="53">
        <v>100</v>
      </c>
      <c r="N27" s="34">
        <v>1</v>
      </c>
      <c r="P27" s="1" t="s">
        <v>1998</v>
      </c>
      <c r="Q27" s="1" t="s">
        <v>2045</v>
      </c>
      <c r="R27" s="1">
        <v>550.5</v>
      </c>
      <c r="S27" s="1">
        <v>24</v>
      </c>
      <c r="U27" s="33"/>
      <c r="W27" s="33"/>
      <c r="X27" s="33"/>
      <c r="Z27" s="33"/>
      <c r="AB27" s="33"/>
      <c r="AC27" s="33"/>
      <c r="AG27" s="33"/>
      <c r="AH27" s="33"/>
    </row>
    <row r="28" spans="1:41">
      <c r="A28" s="1" t="s">
        <v>87</v>
      </c>
      <c r="B28" s="1" t="s">
        <v>139</v>
      </c>
      <c r="C28" s="32">
        <v>638</v>
      </c>
      <c r="D28" s="1">
        <v>25</v>
      </c>
      <c r="F28" s="1" t="s">
        <v>122</v>
      </c>
      <c r="G28" s="1" t="s">
        <v>126</v>
      </c>
      <c r="H28" s="1">
        <v>141</v>
      </c>
      <c r="I28" s="1">
        <v>1</v>
      </c>
      <c r="K28" s="1" t="s">
        <v>111</v>
      </c>
      <c r="L28" s="1" t="s">
        <v>682</v>
      </c>
      <c r="M28" s="33">
        <v>100</v>
      </c>
      <c r="N28" s="33">
        <v>1</v>
      </c>
      <c r="P28" s="1" t="s">
        <v>1998</v>
      </c>
      <c r="Q28" s="1" t="s">
        <v>2047</v>
      </c>
      <c r="R28" s="1">
        <v>549.5</v>
      </c>
      <c r="S28" s="1">
        <v>25</v>
      </c>
      <c r="U28" s="33"/>
      <c r="W28" s="33"/>
      <c r="X28" s="33"/>
      <c r="Z28" s="33"/>
      <c r="AB28" s="33"/>
      <c r="AC28" s="33"/>
      <c r="AG28" s="33"/>
      <c r="AH28" s="33"/>
    </row>
    <row r="29" spans="1:41">
      <c r="A29" s="1" t="s">
        <v>87</v>
      </c>
      <c r="B29" s="1" t="s">
        <v>141</v>
      </c>
      <c r="C29" s="32">
        <v>637.5</v>
      </c>
      <c r="D29" s="1">
        <v>26</v>
      </c>
      <c r="F29" s="1" t="s">
        <v>169</v>
      </c>
      <c r="G29" s="1" t="s">
        <v>379</v>
      </c>
      <c r="H29" s="33">
        <v>138.5</v>
      </c>
      <c r="I29" s="33">
        <v>2</v>
      </c>
      <c r="P29" s="1" t="s">
        <v>1998</v>
      </c>
      <c r="Q29" s="1" t="s">
        <v>2049</v>
      </c>
      <c r="R29" s="1">
        <v>547.5</v>
      </c>
      <c r="S29" s="1">
        <v>26</v>
      </c>
      <c r="U29" s="33"/>
      <c r="W29" s="33"/>
      <c r="X29" s="33"/>
      <c r="Z29" s="33"/>
      <c r="AB29" s="33"/>
      <c r="AC29" s="33"/>
      <c r="AG29" s="33"/>
      <c r="AH29" s="33"/>
    </row>
    <row r="30" spans="1:41">
      <c r="A30" s="1" t="s">
        <v>97</v>
      </c>
      <c r="B30" s="1" t="s">
        <v>143</v>
      </c>
      <c r="C30" s="32">
        <v>636.5</v>
      </c>
      <c r="D30" s="1">
        <v>27</v>
      </c>
      <c r="F30" s="1" t="s">
        <v>92</v>
      </c>
      <c r="G30" s="1" t="s">
        <v>91</v>
      </c>
      <c r="H30" s="1">
        <v>137.5</v>
      </c>
      <c r="I30" s="1">
        <v>3</v>
      </c>
      <c r="K30" s="1" t="s">
        <v>13</v>
      </c>
      <c r="L30" s="1" t="s">
        <v>15</v>
      </c>
      <c r="M30" s="68" t="s">
        <v>80</v>
      </c>
      <c r="N30" s="34" t="s">
        <v>31</v>
      </c>
      <c r="P30" s="1" t="s">
        <v>2010</v>
      </c>
      <c r="Q30" s="1" t="s">
        <v>2051</v>
      </c>
      <c r="R30" s="1">
        <v>542.5</v>
      </c>
      <c r="S30" s="1">
        <v>27</v>
      </c>
      <c r="U30" s="1" t="s">
        <v>13</v>
      </c>
      <c r="V30" s="1" t="s">
        <v>15</v>
      </c>
      <c r="W30" s="33" t="s">
        <v>24</v>
      </c>
      <c r="X30" s="34" t="s">
        <v>45</v>
      </c>
      <c r="Z30" s="1" t="s">
        <v>13</v>
      </c>
      <c r="AA30" s="1" t="s">
        <v>15</v>
      </c>
      <c r="AB30" s="33" t="s">
        <v>35</v>
      </c>
      <c r="AC30" s="34" t="s">
        <v>45</v>
      </c>
      <c r="AG30" s="33"/>
      <c r="AH30" s="33"/>
    </row>
    <row r="31" spans="1:41">
      <c r="A31" s="1" t="s">
        <v>87</v>
      </c>
      <c r="B31" s="1" t="s">
        <v>145</v>
      </c>
      <c r="C31" s="32">
        <v>636</v>
      </c>
      <c r="D31" s="1">
        <v>28</v>
      </c>
      <c r="F31" s="1" t="s">
        <v>249</v>
      </c>
      <c r="G31" s="1" t="s">
        <v>417</v>
      </c>
      <c r="H31" s="1">
        <v>137.5</v>
      </c>
      <c r="I31" s="1">
        <v>3</v>
      </c>
      <c r="K31" s="1" t="s">
        <v>84</v>
      </c>
      <c r="L31" s="1" t="s">
        <v>152</v>
      </c>
      <c r="M31" s="33">
        <v>88</v>
      </c>
      <c r="N31" s="33">
        <v>1</v>
      </c>
      <c r="P31" s="1" t="s">
        <v>1998</v>
      </c>
      <c r="Q31" s="1" t="s">
        <v>2053</v>
      </c>
      <c r="R31" s="1">
        <v>538.5</v>
      </c>
      <c r="S31" s="1">
        <v>28</v>
      </c>
      <c r="U31" s="33" t="s">
        <v>1998</v>
      </c>
      <c r="V31" s="1" t="s">
        <v>2000</v>
      </c>
      <c r="W31" s="33">
        <v>141</v>
      </c>
      <c r="X31" s="33">
        <v>1</v>
      </c>
      <c r="Z31" s="33" t="s">
        <v>2010</v>
      </c>
      <c r="AA31" s="1" t="s">
        <v>38</v>
      </c>
      <c r="AB31" s="33">
        <v>79</v>
      </c>
      <c r="AC31" s="33">
        <v>1</v>
      </c>
      <c r="AH31" s="33"/>
    </row>
    <row r="32" spans="1:41">
      <c r="A32" s="1" t="s">
        <v>150</v>
      </c>
      <c r="B32" s="1" t="s">
        <v>149</v>
      </c>
      <c r="C32" s="32">
        <v>634</v>
      </c>
      <c r="D32" s="1">
        <v>29</v>
      </c>
      <c r="F32" s="1" t="s">
        <v>87</v>
      </c>
      <c r="G32" s="1" t="s">
        <v>124</v>
      </c>
      <c r="H32" s="1">
        <v>137</v>
      </c>
      <c r="I32" s="1">
        <v>5</v>
      </c>
      <c r="K32" s="1" t="s">
        <v>87</v>
      </c>
      <c r="L32" s="1" t="s">
        <v>174</v>
      </c>
      <c r="M32" s="1">
        <v>87</v>
      </c>
      <c r="N32" s="1">
        <v>2</v>
      </c>
      <c r="P32" s="1" t="s">
        <v>1998</v>
      </c>
      <c r="Q32" s="1" t="s">
        <v>2055</v>
      </c>
      <c r="R32" s="1">
        <v>538.5</v>
      </c>
      <c r="S32" s="1">
        <v>28</v>
      </c>
      <c r="U32" s="1" t="s">
        <v>1998</v>
      </c>
      <c r="V32" s="1" t="s">
        <v>2018</v>
      </c>
      <c r="W32" s="33">
        <v>139.5</v>
      </c>
      <c r="X32" s="33">
        <v>2</v>
      </c>
      <c r="Z32" s="33" t="s">
        <v>1998</v>
      </c>
      <c r="AA32" s="1" t="s">
        <v>2022</v>
      </c>
      <c r="AB32" s="33">
        <v>78</v>
      </c>
      <c r="AC32" s="33">
        <v>2</v>
      </c>
      <c r="AH32" s="33"/>
    </row>
    <row r="33" spans="1:34">
      <c r="A33" s="1" t="s">
        <v>87</v>
      </c>
      <c r="B33" s="1" t="s">
        <v>147</v>
      </c>
      <c r="C33" s="32">
        <v>634</v>
      </c>
      <c r="D33" s="1">
        <v>29</v>
      </c>
      <c r="F33" s="1" t="s">
        <v>150</v>
      </c>
      <c r="G33" s="1" t="s">
        <v>192</v>
      </c>
      <c r="H33" s="1">
        <v>136</v>
      </c>
      <c r="I33" s="1">
        <v>6</v>
      </c>
      <c r="K33" s="1" t="s">
        <v>111</v>
      </c>
      <c r="L33" s="1" t="s">
        <v>332</v>
      </c>
      <c r="M33" s="1">
        <v>87</v>
      </c>
      <c r="N33" s="1">
        <v>2</v>
      </c>
      <c r="P33" s="1" t="s">
        <v>1998</v>
      </c>
      <c r="Q33" s="1" t="s">
        <v>2057</v>
      </c>
      <c r="R33" s="1">
        <v>534.5</v>
      </c>
      <c r="S33" s="1">
        <v>30</v>
      </c>
      <c r="U33" s="1" t="s">
        <v>2010</v>
      </c>
      <c r="V33" s="1" t="s">
        <v>2127</v>
      </c>
      <c r="W33" s="1">
        <v>134</v>
      </c>
      <c r="X33" s="1">
        <v>3</v>
      </c>
      <c r="Z33" s="1" t="s">
        <v>1998</v>
      </c>
      <c r="AA33" s="1" t="s">
        <v>1997</v>
      </c>
      <c r="AB33" s="1">
        <v>76</v>
      </c>
      <c r="AC33" s="1">
        <v>3</v>
      </c>
      <c r="AH33" s="33"/>
    </row>
    <row r="34" spans="1:34">
      <c r="A34" s="1" t="s">
        <v>84</v>
      </c>
      <c r="B34" s="1" t="s">
        <v>152</v>
      </c>
      <c r="C34" s="32">
        <v>632.5</v>
      </c>
      <c r="D34" s="1">
        <v>31</v>
      </c>
      <c r="F34" s="1" t="s">
        <v>296</v>
      </c>
      <c r="G34" s="1" t="s">
        <v>399</v>
      </c>
      <c r="H34" s="1">
        <v>135.5</v>
      </c>
      <c r="I34" s="1">
        <v>7</v>
      </c>
      <c r="K34" s="1" t="s">
        <v>97</v>
      </c>
      <c r="L34" s="1" t="s">
        <v>143</v>
      </c>
      <c r="M34" s="1">
        <v>87</v>
      </c>
      <c r="N34" s="1">
        <v>2</v>
      </c>
      <c r="P34" s="1" t="s">
        <v>1998</v>
      </c>
      <c r="Q34" s="1" t="s">
        <v>2059</v>
      </c>
      <c r="R34" s="1">
        <v>532.5</v>
      </c>
      <c r="S34" s="1">
        <v>31</v>
      </c>
      <c r="U34" s="1" t="s">
        <v>1998</v>
      </c>
      <c r="V34" s="1" t="s">
        <v>1997</v>
      </c>
      <c r="W34" s="1">
        <v>133.5</v>
      </c>
      <c r="X34" s="1">
        <v>4</v>
      </c>
      <c r="Z34" s="1" t="s">
        <v>1998</v>
      </c>
      <c r="AA34" s="1" t="s">
        <v>2006</v>
      </c>
      <c r="AB34" s="1">
        <v>73</v>
      </c>
      <c r="AC34" s="1">
        <v>4</v>
      </c>
      <c r="AH34" s="33"/>
    </row>
    <row r="35" spans="1:34">
      <c r="A35" s="1" t="s">
        <v>106</v>
      </c>
      <c r="B35" s="1" t="s">
        <v>154</v>
      </c>
      <c r="C35" s="32">
        <v>630.5</v>
      </c>
      <c r="D35" s="1">
        <v>32</v>
      </c>
      <c r="F35" s="1" t="s">
        <v>87</v>
      </c>
      <c r="G35" s="1" t="s">
        <v>115</v>
      </c>
      <c r="H35" s="1">
        <v>135</v>
      </c>
      <c r="I35" s="1">
        <v>8</v>
      </c>
      <c r="K35" s="1" t="s">
        <v>87</v>
      </c>
      <c r="L35" s="1" t="s">
        <v>117</v>
      </c>
      <c r="M35" s="1">
        <v>87</v>
      </c>
      <c r="N35" s="1">
        <v>2</v>
      </c>
      <c r="P35" s="1" t="s">
        <v>2010</v>
      </c>
      <c r="Q35" s="1" t="s">
        <v>2061</v>
      </c>
      <c r="R35" s="1">
        <v>532</v>
      </c>
      <c r="S35" s="1">
        <v>32</v>
      </c>
      <c r="U35" s="33" t="s">
        <v>1998</v>
      </c>
      <c r="V35" s="1" t="s">
        <v>2012</v>
      </c>
      <c r="W35" s="33">
        <v>132.5</v>
      </c>
      <c r="X35" s="33">
        <v>5</v>
      </c>
      <c r="Z35" s="1" t="s">
        <v>2039</v>
      </c>
      <c r="AA35" s="1" t="s">
        <v>2089</v>
      </c>
      <c r="AB35" s="1">
        <v>72</v>
      </c>
      <c r="AC35" s="1">
        <v>5</v>
      </c>
      <c r="AH35" s="33"/>
    </row>
    <row r="36" spans="1:34">
      <c r="A36" s="1" t="s">
        <v>87</v>
      </c>
      <c r="B36" s="1" t="s">
        <v>156</v>
      </c>
      <c r="C36" s="32">
        <v>629.5</v>
      </c>
      <c r="D36" s="1">
        <v>33</v>
      </c>
      <c r="F36" s="1" t="s">
        <v>210</v>
      </c>
      <c r="G36" s="1" t="s">
        <v>1161</v>
      </c>
      <c r="H36" s="1">
        <v>135</v>
      </c>
      <c r="I36" s="1">
        <v>8</v>
      </c>
      <c r="K36" s="1" t="s">
        <v>97</v>
      </c>
      <c r="L36" s="1" t="s">
        <v>1181</v>
      </c>
      <c r="M36" s="1">
        <v>87</v>
      </c>
      <c r="N36" s="1">
        <v>2</v>
      </c>
      <c r="P36" s="1" t="s">
        <v>2010</v>
      </c>
      <c r="Q36" s="1" t="s">
        <v>2063</v>
      </c>
      <c r="R36" s="1">
        <v>531</v>
      </c>
      <c r="S36" s="1">
        <v>33</v>
      </c>
      <c r="U36" s="33" t="s">
        <v>1998</v>
      </c>
      <c r="V36" s="1" t="s">
        <v>2016</v>
      </c>
      <c r="W36" s="33">
        <v>132.5</v>
      </c>
      <c r="X36" s="33">
        <v>5</v>
      </c>
      <c r="Z36" s="33" t="s">
        <v>1998</v>
      </c>
      <c r="AA36" s="1" t="s">
        <v>2012</v>
      </c>
      <c r="AB36" s="33">
        <v>72</v>
      </c>
      <c r="AC36" s="33">
        <v>5</v>
      </c>
      <c r="AH36" s="33"/>
    </row>
    <row r="37" spans="1:34">
      <c r="A37" s="1" t="s">
        <v>92</v>
      </c>
      <c r="B37" s="1" t="s">
        <v>160</v>
      </c>
      <c r="C37" s="32">
        <v>628.5</v>
      </c>
      <c r="D37" s="1">
        <v>34</v>
      </c>
      <c r="F37" s="1" t="s">
        <v>203</v>
      </c>
      <c r="G37" s="1" t="s">
        <v>246</v>
      </c>
      <c r="H37" s="1">
        <v>134.5</v>
      </c>
      <c r="I37" s="1">
        <v>10</v>
      </c>
      <c r="K37" s="1" t="s">
        <v>87</v>
      </c>
      <c r="L37" s="1" t="s">
        <v>99</v>
      </c>
      <c r="M37" s="1">
        <v>86</v>
      </c>
      <c r="N37" s="1">
        <v>7</v>
      </c>
      <c r="P37" s="1" t="s">
        <v>2039</v>
      </c>
      <c r="Q37" s="1" t="s">
        <v>2065</v>
      </c>
      <c r="R37" s="1">
        <v>530.5</v>
      </c>
      <c r="S37" s="1">
        <v>34</v>
      </c>
      <c r="U37" s="33" t="s">
        <v>1998</v>
      </c>
      <c r="V37" s="1" t="s">
        <v>2004</v>
      </c>
      <c r="W37" s="33">
        <v>131.5</v>
      </c>
      <c r="X37" s="33">
        <v>7</v>
      </c>
      <c r="Z37" s="33" t="s">
        <v>1998</v>
      </c>
      <c r="AA37" s="1" t="s">
        <v>2002</v>
      </c>
      <c r="AB37" s="33">
        <v>71</v>
      </c>
      <c r="AC37" s="33">
        <v>7</v>
      </c>
      <c r="AH37" s="33"/>
    </row>
    <row r="38" spans="1:34">
      <c r="A38" s="1" t="s">
        <v>122</v>
      </c>
      <c r="B38" s="1" t="s">
        <v>158</v>
      </c>
      <c r="C38" s="32">
        <v>628.5</v>
      </c>
      <c r="D38" s="1">
        <v>34</v>
      </c>
      <c r="F38" s="1" t="s">
        <v>111</v>
      </c>
      <c r="G38" s="1" t="s">
        <v>889</v>
      </c>
      <c r="H38" s="1">
        <v>134.5</v>
      </c>
      <c r="I38" s="1">
        <v>10</v>
      </c>
      <c r="K38" s="1" t="s">
        <v>133</v>
      </c>
      <c r="L38" s="1" t="s">
        <v>132</v>
      </c>
      <c r="M38" s="1">
        <v>86</v>
      </c>
      <c r="N38" s="1">
        <v>7</v>
      </c>
      <c r="P38" s="1" t="s">
        <v>1998</v>
      </c>
      <c r="Q38" s="1" t="s">
        <v>2067</v>
      </c>
      <c r="R38" s="1">
        <v>530</v>
      </c>
      <c r="S38" s="1">
        <v>35</v>
      </c>
      <c r="U38" s="33" t="s">
        <v>2010</v>
      </c>
      <c r="V38" s="1" t="s">
        <v>2173</v>
      </c>
      <c r="W38" s="33">
        <v>131.5</v>
      </c>
      <c r="X38" s="33">
        <v>7</v>
      </c>
      <c r="Z38" s="33" t="s">
        <v>1998</v>
      </c>
      <c r="AA38" s="1" t="s">
        <v>2008</v>
      </c>
      <c r="AB38" s="33">
        <v>71</v>
      </c>
      <c r="AC38" s="33">
        <v>7</v>
      </c>
      <c r="AH38" s="33"/>
    </row>
    <row r="39" spans="1:34">
      <c r="A39" s="1" t="s">
        <v>87</v>
      </c>
      <c r="B39" s="1" t="s">
        <v>162</v>
      </c>
      <c r="C39" s="32">
        <v>628</v>
      </c>
      <c r="D39" s="1">
        <v>36</v>
      </c>
      <c r="K39" s="1" t="s">
        <v>172</v>
      </c>
      <c r="L39" s="1" t="s">
        <v>186</v>
      </c>
      <c r="M39" s="1">
        <v>86</v>
      </c>
      <c r="N39" s="1">
        <v>7</v>
      </c>
      <c r="P39" s="1" t="s">
        <v>1998</v>
      </c>
      <c r="Q39" s="1" t="s">
        <v>2069</v>
      </c>
      <c r="R39" s="1">
        <v>529.5</v>
      </c>
      <c r="S39" s="1">
        <v>36</v>
      </c>
      <c r="U39" s="33" t="s">
        <v>1998</v>
      </c>
      <c r="V39" s="1" t="s">
        <v>2002</v>
      </c>
      <c r="W39" s="33">
        <v>129.5</v>
      </c>
      <c r="X39" s="33">
        <v>9</v>
      </c>
      <c r="Z39" s="33" t="s">
        <v>1998</v>
      </c>
      <c r="AA39" s="1" t="s">
        <v>2004</v>
      </c>
      <c r="AB39" s="33">
        <v>70</v>
      </c>
      <c r="AC39" s="33">
        <v>9</v>
      </c>
      <c r="AH39" s="33"/>
    </row>
    <row r="40" spans="1:34">
      <c r="A40" s="1" t="s">
        <v>87</v>
      </c>
      <c r="B40" s="1" t="s">
        <v>164</v>
      </c>
      <c r="C40" s="32">
        <v>627.5</v>
      </c>
      <c r="D40" s="1">
        <v>37</v>
      </c>
      <c r="K40" s="1" t="s">
        <v>92</v>
      </c>
      <c r="L40" s="1" t="s">
        <v>660</v>
      </c>
      <c r="M40" s="1">
        <v>86</v>
      </c>
      <c r="N40" s="1">
        <v>7</v>
      </c>
      <c r="P40" s="1" t="s">
        <v>2039</v>
      </c>
      <c r="Q40" s="1" t="s">
        <v>2071</v>
      </c>
      <c r="R40" s="1">
        <v>529.5</v>
      </c>
      <c r="S40" s="1">
        <v>36</v>
      </c>
      <c r="U40" s="33" t="s">
        <v>1998</v>
      </c>
      <c r="V40" s="1" t="s">
        <v>2014</v>
      </c>
      <c r="W40" s="33">
        <v>129.5</v>
      </c>
      <c r="X40" s="33">
        <v>9</v>
      </c>
      <c r="Z40" s="33" t="s">
        <v>2039</v>
      </c>
      <c r="AA40" s="1" t="s">
        <v>2038</v>
      </c>
      <c r="AB40" s="33">
        <v>70</v>
      </c>
      <c r="AC40" s="33">
        <v>9</v>
      </c>
      <c r="AH40" s="33"/>
    </row>
    <row r="41" spans="1:34">
      <c r="A41" s="1" t="s">
        <v>169</v>
      </c>
      <c r="B41" s="1" t="s">
        <v>168</v>
      </c>
      <c r="C41" s="32">
        <v>627</v>
      </c>
      <c r="D41" s="1">
        <v>38</v>
      </c>
      <c r="K41" s="1" t="s">
        <v>133</v>
      </c>
      <c r="L41" s="1" t="s">
        <v>455</v>
      </c>
      <c r="M41" s="1">
        <v>86</v>
      </c>
      <c r="N41" s="1">
        <v>7</v>
      </c>
      <c r="P41" s="1" t="s">
        <v>1998</v>
      </c>
      <c r="Q41" s="1" t="s">
        <v>2073</v>
      </c>
      <c r="R41" s="1">
        <v>527.5</v>
      </c>
      <c r="S41" s="1">
        <v>38</v>
      </c>
      <c r="U41" s="33" t="s">
        <v>2039</v>
      </c>
      <c r="V41" s="1" t="s">
        <v>2071</v>
      </c>
      <c r="W41" s="33">
        <v>129.5</v>
      </c>
      <c r="X41" s="33">
        <v>9</v>
      </c>
      <c r="Z41" s="33"/>
      <c r="AB41" s="33"/>
      <c r="AC41" s="33"/>
      <c r="AH41" s="33"/>
    </row>
    <row r="42" spans="1:34">
      <c r="A42" s="1" t="s">
        <v>84</v>
      </c>
      <c r="B42" s="1" t="s">
        <v>166</v>
      </c>
      <c r="C42" s="32">
        <v>627</v>
      </c>
      <c r="D42" s="1">
        <v>38</v>
      </c>
      <c r="K42" s="1" t="s">
        <v>169</v>
      </c>
      <c r="L42" s="1" t="s">
        <v>188</v>
      </c>
      <c r="M42" s="1">
        <v>86</v>
      </c>
      <c r="N42" s="1">
        <v>7</v>
      </c>
      <c r="P42" s="1" t="s">
        <v>2039</v>
      </c>
      <c r="Q42" s="1" t="s">
        <v>2075</v>
      </c>
      <c r="R42" s="1">
        <v>526.5</v>
      </c>
      <c r="S42" s="1">
        <v>39</v>
      </c>
      <c r="U42" s="33"/>
      <c r="W42" s="33"/>
      <c r="X42" s="33"/>
      <c r="Z42" s="33"/>
      <c r="AB42" s="33"/>
      <c r="AC42" s="33"/>
      <c r="AH42" s="33"/>
    </row>
    <row r="43" spans="1:34">
      <c r="A43" s="1" t="s">
        <v>172</v>
      </c>
      <c r="B43" s="1" t="s">
        <v>171</v>
      </c>
      <c r="C43" s="32">
        <v>626.5</v>
      </c>
      <c r="D43" s="1">
        <v>40</v>
      </c>
      <c r="K43" s="1" t="s">
        <v>92</v>
      </c>
      <c r="L43" s="1" t="s">
        <v>610</v>
      </c>
      <c r="M43" s="1">
        <v>86</v>
      </c>
      <c r="N43" s="1">
        <v>7</v>
      </c>
      <c r="P43" s="1" t="s">
        <v>1998</v>
      </c>
      <c r="Q43" s="1" t="s">
        <v>2077</v>
      </c>
      <c r="R43" s="1">
        <v>522</v>
      </c>
      <c r="S43" s="1">
        <v>40</v>
      </c>
      <c r="U43" s="33"/>
      <c r="W43" s="33"/>
      <c r="X43" s="33"/>
      <c r="Z43" s="33"/>
      <c r="AB43" s="33"/>
      <c r="AC43" s="33"/>
      <c r="AH43" s="33"/>
    </row>
    <row r="44" spans="1:34">
      <c r="A44" s="1" t="s">
        <v>87</v>
      </c>
      <c r="B44" s="1" t="s">
        <v>178</v>
      </c>
      <c r="C44" s="32">
        <v>626</v>
      </c>
      <c r="D44" s="1">
        <v>41</v>
      </c>
      <c r="F44" s="93" t="s">
        <v>3407</v>
      </c>
      <c r="G44" s="93"/>
      <c r="H44" s="93"/>
      <c r="P44" s="1" t="s">
        <v>2010</v>
      </c>
      <c r="Q44" s="1" t="s">
        <v>2079</v>
      </c>
      <c r="R44" s="1">
        <v>521</v>
      </c>
      <c r="S44" s="1">
        <v>41</v>
      </c>
      <c r="U44" s="33"/>
      <c r="W44" s="33"/>
      <c r="X44" s="33"/>
      <c r="Z44" s="33"/>
      <c r="AB44" s="33"/>
      <c r="AC44" s="33"/>
      <c r="AH44" s="33"/>
    </row>
    <row r="45" spans="1:34">
      <c r="A45" s="1" t="s">
        <v>87</v>
      </c>
      <c r="B45" s="1" t="s">
        <v>176</v>
      </c>
      <c r="C45" s="32">
        <v>626</v>
      </c>
      <c r="D45" s="1">
        <v>41</v>
      </c>
      <c r="F45" s="71" t="s">
        <v>3406</v>
      </c>
      <c r="G45" s="71" t="s">
        <v>3408</v>
      </c>
      <c r="H45" s="71" t="s">
        <v>3409</v>
      </c>
      <c r="L45" s="88" t="s">
        <v>48</v>
      </c>
      <c r="M45" s="88"/>
      <c r="N45" s="88"/>
      <c r="P45" s="1" t="s">
        <v>1998</v>
      </c>
      <c r="Q45" s="1" t="s">
        <v>2081</v>
      </c>
      <c r="R45" s="1">
        <v>520.5</v>
      </c>
      <c r="S45" s="1">
        <v>42</v>
      </c>
      <c r="U45" s="33"/>
      <c r="W45" s="33"/>
      <c r="X45" s="33"/>
      <c r="AB45" s="33"/>
      <c r="AC45" s="33"/>
      <c r="AH45" s="33"/>
    </row>
    <row r="46" spans="1:34">
      <c r="A46" s="1" t="s">
        <v>87</v>
      </c>
      <c r="B46" s="1" t="s">
        <v>174</v>
      </c>
      <c r="C46" s="32">
        <v>626</v>
      </c>
      <c r="D46" s="1">
        <v>41</v>
      </c>
      <c r="F46" s="25" t="s">
        <v>92</v>
      </c>
      <c r="G46" s="72">
        <v>2</v>
      </c>
      <c r="H46" s="25">
        <v>3</v>
      </c>
      <c r="L46" s="25">
        <v>1</v>
      </c>
      <c r="M46" s="25">
        <v>1809</v>
      </c>
      <c r="N46" s="31">
        <v>618.77</v>
      </c>
      <c r="P46" s="1" t="s">
        <v>2039</v>
      </c>
      <c r="Q46" s="1" t="s">
        <v>2083</v>
      </c>
      <c r="R46" s="1">
        <v>520</v>
      </c>
      <c r="S46" s="1">
        <v>43</v>
      </c>
      <c r="AB46" s="33"/>
      <c r="AC46" s="33"/>
      <c r="AH46" s="33"/>
    </row>
    <row r="47" spans="1:34">
      <c r="A47" s="1" t="s">
        <v>122</v>
      </c>
      <c r="B47" s="1" t="s">
        <v>180</v>
      </c>
      <c r="C47" s="32">
        <v>625.5</v>
      </c>
      <c r="D47" s="1">
        <v>44</v>
      </c>
      <c r="F47" s="25" t="s">
        <v>97</v>
      </c>
      <c r="G47" s="14">
        <v>3</v>
      </c>
      <c r="H47" s="25">
        <v>7</v>
      </c>
      <c r="L47" s="25">
        <v>2</v>
      </c>
      <c r="M47" s="25">
        <v>1810</v>
      </c>
      <c r="N47" s="31">
        <v>570.51923076923072</v>
      </c>
      <c r="P47" s="1" t="s">
        <v>1998</v>
      </c>
      <c r="Q47" s="1" t="s">
        <v>2085</v>
      </c>
      <c r="R47" s="1">
        <v>519</v>
      </c>
      <c r="S47" s="1">
        <v>44</v>
      </c>
      <c r="AB47" s="33"/>
      <c r="AC47" s="33"/>
      <c r="AH47" s="33"/>
    </row>
    <row r="48" spans="1:34">
      <c r="A48" s="1" t="s">
        <v>122</v>
      </c>
      <c r="B48" s="1" t="s">
        <v>182</v>
      </c>
      <c r="C48" s="32">
        <v>624.5</v>
      </c>
      <c r="D48" s="1">
        <v>45</v>
      </c>
      <c r="F48" s="25" t="s">
        <v>133</v>
      </c>
      <c r="G48" s="14">
        <v>1</v>
      </c>
      <c r="H48" s="25">
        <v>5</v>
      </c>
      <c r="L48" s="25">
        <v>3</v>
      </c>
      <c r="M48" s="25">
        <v>1803</v>
      </c>
      <c r="N48" s="31">
        <v>534.14035087719299</v>
      </c>
      <c r="P48" s="1" t="s">
        <v>1998</v>
      </c>
      <c r="Q48" s="1" t="s">
        <v>2087</v>
      </c>
      <c r="R48" s="1">
        <v>519</v>
      </c>
      <c r="S48" s="1">
        <v>44</v>
      </c>
      <c r="AH48" s="33"/>
    </row>
    <row r="49" spans="1:34">
      <c r="A49" s="1" t="s">
        <v>172</v>
      </c>
      <c r="B49" s="1" t="s">
        <v>186</v>
      </c>
      <c r="C49" s="32">
        <v>623.5</v>
      </c>
      <c r="D49" s="1">
        <v>46</v>
      </c>
      <c r="F49" s="25" t="s">
        <v>150</v>
      </c>
      <c r="G49" s="14">
        <v>2</v>
      </c>
      <c r="H49" s="25">
        <v>3</v>
      </c>
      <c r="L49" s="25">
        <v>4</v>
      </c>
      <c r="M49" s="25">
        <v>1804</v>
      </c>
      <c r="N49" s="31">
        <v>526</v>
      </c>
      <c r="P49" s="1" t="s">
        <v>2039</v>
      </c>
      <c r="Q49" s="1" t="s">
        <v>2089</v>
      </c>
      <c r="R49" s="1">
        <v>518.5</v>
      </c>
      <c r="S49" s="1">
        <v>46</v>
      </c>
      <c r="AH49" s="33"/>
    </row>
    <row r="50" spans="1:34">
      <c r="A50" s="1" t="s">
        <v>87</v>
      </c>
      <c r="B50" s="1" t="s">
        <v>184</v>
      </c>
      <c r="C50" s="32">
        <v>623.5</v>
      </c>
      <c r="D50" s="1">
        <v>46</v>
      </c>
      <c r="F50" s="25" t="s">
        <v>106</v>
      </c>
      <c r="G50" s="14">
        <v>2</v>
      </c>
      <c r="H50" s="25">
        <v>4</v>
      </c>
      <c r="L50" s="25">
        <v>5</v>
      </c>
      <c r="M50" s="25">
        <v>1815</v>
      </c>
      <c r="N50" s="31">
        <v>524.0625</v>
      </c>
      <c r="P50" s="1" t="s">
        <v>2010</v>
      </c>
      <c r="Q50" s="1" t="s">
        <v>2091</v>
      </c>
      <c r="R50" s="1">
        <v>518.5</v>
      </c>
      <c r="S50" s="1">
        <v>46</v>
      </c>
      <c r="AH50" s="33"/>
    </row>
    <row r="51" spans="1:34">
      <c r="A51" s="1" t="s">
        <v>169</v>
      </c>
      <c r="B51" s="1" t="s">
        <v>188</v>
      </c>
      <c r="C51" s="32">
        <v>623</v>
      </c>
      <c r="D51" s="1">
        <v>48</v>
      </c>
      <c r="F51" s="25" t="s">
        <v>249</v>
      </c>
      <c r="G51" s="14"/>
      <c r="H51" s="25">
        <v>4</v>
      </c>
      <c r="L51" s="25">
        <v>6</v>
      </c>
      <c r="M51" s="25">
        <v>1814</v>
      </c>
      <c r="N51" s="31">
        <v>522.35714285714289</v>
      </c>
      <c r="P51" s="1" t="s">
        <v>2039</v>
      </c>
      <c r="Q51" s="1" t="s">
        <v>2093</v>
      </c>
      <c r="R51" s="1">
        <v>518</v>
      </c>
      <c r="S51" s="1">
        <v>48</v>
      </c>
      <c r="AH51" s="33"/>
    </row>
    <row r="52" spans="1:34">
      <c r="A52" s="1" t="s">
        <v>169</v>
      </c>
      <c r="B52" s="1" t="s">
        <v>190</v>
      </c>
      <c r="C52" s="32">
        <v>622</v>
      </c>
      <c r="D52" s="1">
        <v>49</v>
      </c>
      <c r="F52" s="25" t="s">
        <v>217</v>
      </c>
      <c r="G52" s="14"/>
      <c r="H52" s="25">
        <v>3</v>
      </c>
      <c r="P52" s="1" t="s">
        <v>1998</v>
      </c>
      <c r="Q52" s="1" t="s">
        <v>2095</v>
      </c>
      <c r="R52" s="1">
        <v>517.5</v>
      </c>
      <c r="S52" s="1">
        <v>49</v>
      </c>
    </row>
    <row r="53" spans="1:34">
      <c r="A53" s="1" t="s">
        <v>150</v>
      </c>
      <c r="B53" s="1" t="s">
        <v>192</v>
      </c>
      <c r="C53" s="32">
        <v>622</v>
      </c>
      <c r="D53" s="1">
        <v>49</v>
      </c>
      <c r="F53" s="25" t="s">
        <v>172</v>
      </c>
      <c r="G53" s="14">
        <v>2</v>
      </c>
      <c r="H53" s="25">
        <v>4</v>
      </c>
      <c r="L53" s="84" t="s">
        <v>49</v>
      </c>
      <c r="M53" s="85"/>
      <c r="N53" s="86"/>
      <c r="P53" s="1" t="s">
        <v>1998</v>
      </c>
      <c r="Q53" s="1" t="s">
        <v>2097</v>
      </c>
      <c r="R53" s="1">
        <v>517</v>
      </c>
      <c r="S53" s="1">
        <v>50</v>
      </c>
    </row>
    <row r="54" spans="1:34">
      <c r="A54" s="1" t="s">
        <v>87</v>
      </c>
      <c r="B54" s="1" t="s">
        <v>194</v>
      </c>
      <c r="C54" s="1">
        <v>620.5</v>
      </c>
      <c r="D54" s="1">
        <v>51</v>
      </c>
      <c r="F54" s="25" t="s">
        <v>87</v>
      </c>
      <c r="G54" s="14">
        <v>26</v>
      </c>
      <c r="H54" s="25">
        <v>33</v>
      </c>
      <c r="L54" s="25">
        <v>1</v>
      </c>
      <c r="M54" s="25">
        <v>1818</v>
      </c>
      <c r="N54" s="31">
        <v>543.25961538461536</v>
      </c>
    </row>
    <row r="55" spans="1:34">
      <c r="A55" s="1" t="s">
        <v>133</v>
      </c>
      <c r="B55" s="1" t="s">
        <v>196</v>
      </c>
      <c r="C55" s="1">
        <v>620</v>
      </c>
      <c r="D55" s="1">
        <v>52</v>
      </c>
      <c r="F55" s="25" t="s">
        <v>122</v>
      </c>
      <c r="G55" s="14">
        <v>5</v>
      </c>
      <c r="H55" s="25">
        <v>8</v>
      </c>
      <c r="L55" s="25">
        <v>2</v>
      </c>
      <c r="M55" s="25">
        <v>1820</v>
      </c>
      <c r="N55" s="31">
        <v>479.36764705882354</v>
      </c>
    </row>
    <row r="56" spans="1:34">
      <c r="A56" s="1" t="s">
        <v>111</v>
      </c>
      <c r="B56" s="1" t="s">
        <v>200</v>
      </c>
      <c r="C56" s="1">
        <v>619.5</v>
      </c>
      <c r="D56" s="1">
        <v>53</v>
      </c>
      <c r="F56" s="25" t="s">
        <v>240</v>
      </c>
      <c r="G56" s="14"/>
      <c r="H56" s="25">
        <v>5</v>
      </c>
    </row>
    <row r="57" spans="1:34">
      <c r="A57" s="1" t="s">
        <v>203</v>
      </c>
      <c r="B57" s="1" t="s">
        <v>202</v>
      </c>
      <c r="C57" s="1">
        <v>619.5</v>
      </c>
      <c r="D57" s="1">
        <v>53</v>
      </c>
      <c r="F57" s="25" t="s">
        <v>169</v>
      </c>
      <c r="G57" s="14">
        <v>3</v>
      </c>
      <c r="H57" s="25">
        <v>5</v>
      </c>
    </row>
    <row r="58" spans="1:34">
      <c r="A58" s="1" t="s">
        <v>106</v>
      </c>
      <c r="B58" s="1" t="s">
        <v>198</v>
      </c>
      <c r="C58" s="1">
        <v>619.5</v>
      </c>
      <c r="D58" s="1">
        <v>53</v>
      </c>
      <c r="F58" s="25" t="s">
        <v>111</v>
      </c>
      <c r="G58" s="14">
        <v>1</v>
      </c>
      <c r="H58" s="25">
        <v>4</v>
      </c>
    </row>
    <row r="59" spans="1:34">
      <c r="A59" s="1" t="s">
        <v>87</v>
      </c>
      <c r="B59" s="1" t="s">
        <v>205</v>
      </c>
      <c r="C59" s="1">
        <v>619</v>
      </c>
      <c r="D59" s="1">
        <v>56</v>
      </c>
      <c r="F59" s="25" t="s">
        <v>84</v>
      </c>
      <c r="G59" s="14">
        <v>3</v>
      </c>
      <c r="H59" s="25">
        <v>3</v>
      </c>
    </row>
    <row r="60" spans="1:34">
      <c r="A60" s="1" t="s">
        <v>210</v>
      </c>
      <c r="B60" s="1" t="s">
        <v>209</v>
      </c>
      <c r="C60" s="1">
        <v>617.5</v>
      </c>
      <c r="D60" s="1">
        <v>57</v>
      </c>
      <c r="F60" s="25" t="s">
        <v>210</v>
      </c>
      <c r="G60" s="14"/>
      <c r="H60" s="25">
        <v>2</v>
      </c>
    </row>
    <row r="61" spans="1:34">
      <c r="A61" s="1" t="s">
        <v>203</v>
      </c>
      <c r="B61" s="1" t="s">
        <v>207</v>
      </c>
      <c r="C61" s="1">
        <v>617.5</v>
      </c>
      <c r="D61" s="1">
        <v>57</v>
      </c>
      <c r="F61" s="25" t="s">
        <v>296</v>
      </c>
      <c r="G61" s="14"/>
      <c r="H61" s="25">
        <v>1</v>
      </c>
    </row>
    <row r="62" spans="1:34">
      <c r="A62" s="1" t="s">
        <v>169</v>
      </c>
      <c r="B62" s="1" t="s">
        <v>212</v>
      </c>
      <c r="C62" s="1">
        <v>617</v>
      </c>
      <c r="D62" s="1">
        <v>59</v>
      </c>
      <c r="F62" s="25" t="s">
        <v>203</v>
      </c>
      <c r="G62" s="14"/>
      <c r="H62" s="14">
        <v>6</v>
      </c>
    </row>
    <row r="63" spans="1:34">
      <c r="A63" s="1" t="s">
        <v>133</v>
      </c>
      <c r="B63" s="1" t="s">
        <v>214</v>
      </c>
      <c r="C63" s="1">
        <v>615.5</v>
      </c>
      <c r="D63" s="1">
        <v>60</v>
      </c>
      <c r="F63" s="71" t="s">
        <v>3410</v>
      </c>
      <c r="G63" s="25">
        <f>SUM(G46:G62)</f>
        <v>50</v>
      </c>
      <c r="H63" s="25">
        <f>SUM(H46:H62)</f>
        <v>100</v>
      </c>
    </row>
    <row r="64" spans="1:34">
      <c r="A64" s="1" t="s">
        <v>217</v>
      </c>
      <c r="B64" s="1" t="s">
        <v>219</v>
      </c>
      <c r="C64" s="1">
        <v>615</v>
      </c>
      <c r="D64" s="1">
        <v>61</v>
      </c>
    </row>
    <row r="65" spans="1:4">
      <c r="A65" s="1" t="s">
        <v>217</v>
      </c>
      <c r="B65" s="1" t="s">
        <v>216</v>
      </c>
      <c r="C65" s="1">
        <v>615</v>
      </c>
      <c r="D65" s="1">
        <v>61</v>
      </c>
    </row>
    <row r="66" spans="1:4">
      <c r="A66" s="1" t="s">
        <v>87</v>
      </c>
      <c r="B66" s="1" t="s">
        <v>221</v>
      </c>
      <c r="C66" s="1">
        <v>614.5</v>
      </c>
      <c r="D66" s="1">
        <v>63</v>
      </c>
    </row>
    <row r="67" spans="1:4">
      <c r="A67" s="1" t="s">
        <v>92</v>
      </c>
      <c r="B67" s="1" t="s">
        <v>225</v>
      </c>
      <c r="C67" s="1">
        <v>613</v>
      </c>
      <c r="D67" s="1">
        <v>64</v>
      </c>
    </row>
    <row r="68" spans="1:4">
      <c r="A68" s="1" t="s">
        <v>172</v>
      </c>
      <c r="B68" s="1" t="s">
        <v>223</v>
      </c>
      <c r="C68" s="1">
        <v>613</v>
      </c>
      <c r="D68" s="1">
        <v>64</v>
      </c>
    </row>
    <row r="69" spans="1:4">
      <c r="A69" s="1" t="s">
        <v>150</v>
      </c>
      <c r="B69" s="1" t="s">
        <v>229</v>
      </c>
      <c r="C69" s="1">
        <v>613</v>
      </c>
      <c r="D69" s="1">
        <v>64</v>
      </c>
    </row>
    <row r="70" spans="1:4">
      <c r="A70" s="1" t="s">
        <v>106</v>
      </c>
      <c r="B70" s="1" t="s">
        <v>227</v>
      </c>
      <c r="C70" s="1">
        <v>613</v>
      </c>
      <c r="D70" s="1">
        <v>64</v>
      </c>
    </row>
    <row r="71" spans="1:4">
      <c r="A71" s="1" t="s">
        <v>97</v>
      </c>
      <c r="B71" s="1" t="s">
        <v>231</v>
      </c>
      <c r="C71" s="1">
        <v>612.5</v>
      </c>
      <c r="D71" s="1">
        <v>68</v>
      </c>
    </row>
    <row r="72" spans="1:4">
      <c r="A72" s="1" t="s">
        <v>122</v>
      </c>
      <c r="B72" s="1" t="s">
        <v>233</v>
      </c>
      <c r="C72" s="1">
        <v>612.5</v>
      </c>
      <c r="D72" s="1">
        <v>68</v>
      </c>
    </row>
    <row r="73" spans="1:4">
      <c r="A73" s="1" t="s">
        <v>122</v>
      </c>
      <c r="B73" s="1" t="s">
        <v>235</v>
      </c>
      <c r="C73" s="1">
        <v>612</v>
      </c>
      <c r="D73" s="1">
        <v>70</v>
      </c>
    </row>
    <row r="74" spans="1:4">
      <c r="A74" s="1" t="s">
        <v>210</v>
      </c>
      <c r="B74" s="1" t="s">
        <v>237</v>
      </c>
      <c r="C74" s="1">
        <v>612</v>
      </c>
      <c r="D74" s="1">
        <v>70</v>
      </c>
    </row>
    <row r="75" spans="1:4">
      <c r="A75" s="1" t="s">
        <v>240</v>
      </c>
      <c r="B75" s="1" t="s">
        <v>239</v>
      </c>
      <c r="C75" s="1">
        <v>610.5</v>
      </c>
      <c r="D75" s="1">
        <v>72</v>
      </c>
    </row>
    <row r="76" spans="1:4">
      <c r="A76" s="1" t="s">
        <v>111</v>
      </c>
      <c r="B76" s="1" t="s">
        <v>242</v>
      </c>
      <c r="C76" s="1">
        <v>610</v>
      </c>
      <c r="D76" s="1">
        <v>73</v>
      </c>
    </row>
    <row r="77" spans="1:4">
      <c r="A77" s="1" t="s">
        <v>203</v>
      </c>
      <c r="B77" s="1" t="s">
        <v>246</v>
      </c>
      <c r="C77" s="1">
        <v>609.5</v>
      </c>
      <c r="D77" s="1">
        <v>74</v>
      </c>
    </row>
    <row r="78" spans="1:4">
      <c r="A78" s="1" t="s">
        <v>97</v>
      </c>
      <c r="B78" s="1" t="s">
        <v>251</v>
      </c>
      <c r="C78" s="1">
        <v>609.5</v>
      </c>
      <c r="D78" s="1">
        <v>74</v>
      </c>
    </row>
    <row r="79" spans="1:4">
      <c r="A79" s="1" t="s">
        <v>249</v>
      </c>
      <c r="B79" s="1" t="s">
        <v>248</v>
      </c>
      <c r="C79" s="1">
        <v>609.5</v>
      </c>
      <c r="D79" s="1">
        <v>74</v>
      </c>
    </row>
    <row r="80" spans="1:4">
      <c r="A80" s="1" t="s">
        <v>169</v>
      </c>
      <c r="B80" s="1" t="s">
        <v>244</v>
      </c>
      <c r="C80" s="1">
        <v>609.5</v>
      </c>
      <c r="D80" s="1">
        <v>74</v>
      </c>
    </row>
    <row r="81" spans="1:4">
      <c r="A81" s="1" t="s">
        <v>240</v>
      </c>
      <c r="B81" s="1" t="s">
        <v>253</v>
      </c>
      <c r="C81" s="1">
        <v>609</v>
      </c>
      <c r="D81" s="1">
        <v>78</v>
      </c>
    </row>
    <row r="82" spans="1:4">
      <c r="A82" s="1" t="s">
        <v>97</v>
      </c>
      <c r="B82" s="1" t="s">
        <v>255</v>
      </c>
      <c r="C82" s="1">
        <v>608.5</v>
      </c>
      <c r="D82" s="1">
        <v>79</v>
      </c>
    </row>
    <row r="83" spans="1:4">
      <c r="A83" s="1" t="s">
        <v>217</v>
      </c>
      <c r="B83" s="1" t="s">
        <v>257</v>
      </c>
      <c r="C83" s="1">
        <v>608.5</v>
      </c>
      <c r="D83" s="1">
        <v>79</v>
      </c>
    </row>
    <row r="84" spans="1:4">
      <c r="A84" s="1" t="s">
        <v>203</v>
      </c>
      <c r="B84" s="1" t="s">
        <v>263</v>
      </c>
      <c r="C84" s="1">
        <v>608</v>
      </c>
      <c r="D84" s="1">
        <v>81</v>
      </c>
    </row>
    <row r="85" spans="1:4">
      <c r="A85" s="1" t="s">
        <v>240</v>
      </c>
      <c r="B85" s="1" t="s">
        <v>261</v>
      </c>
      <c r="C85" s="1">
        <v>608</v>
      </c>
      <c r="D85" s="1">
        <v>81</v>
      </c>
    </row>
    <row r="86" spans="1:4">
      <c r="A86" s="1" t="s">
        <v>87</v>
      </c>
      <c r="B86" s="1" t="s">
        <v>259</v>
      </c>
      <c r="C86" s="1">
        <v>608</v>
      </c>
      <c r="D86" s="1">
        <v>81</v>
      </c>
    </row>
    <row r="87" spans="1:4">
      <c r="A87" s="1" t="s">
        <v>203</v>
      </c>
      <c r="B87" s="1" t="s">
        <v>265</v>
      </c>
      <c r="C87" s="1">
        <v>607.5</v>
      </c>
      <c r="D87" s="1">
        <v>84</v>
      </c>
    </row>
    <row r="88" spans="1:4">
      <c r="A88" s="1" t="s">
        <v>133</v>
      </c>
      <c r="B88" s="1" t="s">
        <v>269</v>
      </c>
      <c r="C88" s="1">
        <v>607</v>
      </c>
      <c r="D88" s="1">
        <v>85</v>
      </c>
    </row>
    <row r="89" spans="1:4">
      <c r="A89" s="1" t="s">
        <v>87</v>
      </c>
      <c r="B89" s="1" t="s">
        <v>267</v>
      </c>
      <c r="C89" s="1">
        <v>607</v>
      </c>
      <c r="D89" s="1">
        <v>85</v>
      </c>
    </row>
    <row r="90" spans="1:4">
      <c r="A90" s="1" t="s">
        <v>240</v>
      </c>
      <c r="B90" s="1" t="s">
        <v>271</v>
      </c>
      <c r="C90" s="1">
        <v>606.5</v>
      </c>
      <c r="D90" s="1">
        <v>87</v>
      </c>
    </row>
    <row r="91" spans="1:4">
      <c r="A91" s="1" t="s">
        <v>97</v>
      </c>
      <c r="B91" s="1" t="s">
        <v>273</v>
      </c>
      <c r="C91" s="1">
        <v>605.5</v>
      </c>
      <c r="D91" s="1">
        <v>88</v>
      </c>
    </row>
    <row r="92" spans="1:4">
      <c r="A92" s="1" t="s">
        <v>122</v>
      </c>
      <c r="B92" s="1" t="s">
        <v>275</v>
      </c>
      <c r="C92" s="1">
        <v>605.5</v>
      </c>
      <c r="D92" s="1">
        <v>88</v>
      </c>
    </row>
    <row r="93" spans="1:4">
      <c r="A93" s="1" t="s">
        <v>249</v>
      </c>
      <c r="B93" s="1" t="s">
        <v>277</v>
      </c>
      <c r="C93" s="1">
        <v>605</v>
      </c>
      <c r="D93" s="1">
        <v>90</v>
      </c>
    </row>
    <row r="94" spans="1:4">
      <c r="A94" s="1" t="s">
        <v>172</v>
      </c>
      <c r="B94" s="1" t="s">
        <v>279</v>
      </c>
      <c r="C94" s="1">
        <v>604.5</v>
      </c>
      <c r="D94" s="1">
        <v>91</v>
      </c>
    </row>
    <row r="95" spans="1:4">
      <c r="A95" s="1" t="s">
        <v>240</v>
      </c>
      <c r="B95" s="1" t="s">
        <v>281</v>
      </c>
      <c r="C95" s="1">
        <v>604</v>
      </c>
      <c r="D95" s="1">
        <v>92</v>
      </c>
    </row>
    <row r="96" spans="1:4">
      <c r="A96" s="1" t="s">
        <v>249</v>
      </c>
      <c r="B96" s="1" t="s">
        <v>285</v>
      </c>
      <c r="C96" s="1">
        <v>603.5</v>
      </c>
      <c r="D96" s="1">
        <v>93</v>
      </c>
    </row>
    <row r="97" spans="1:4">
      <c r="A97" s="1" t="s">
        <v>203</v>
      </c>
      <c r="B97" s="1" t="s">
        <v>287</v>
      </c>
      <c r="C97" s="1">
        <v>603.5</v>
      </c>
      <c r="D97" s="1">
        <v>93</v>
      </c>
    </row>
    <row r="98" spans="1:4">
      <c r="A98" s="1" t="s">
        <v>87</v>
      </c>
      <c r="B98" s="1" t="s">
        <v>283</v>
      </c>
      <c r="C98" s="1">
        <v>603.5</v>
      </c>
      <c r="D98" s="1">
        <v>93</v>
      </c>
    </row>
    <row r="99" spans="1:4">
      <c r="A99" s="1" t="s">
        <v>87</v>
      </c>
      <c r="B99" s="1" t="s">
        <v>289</v>
      </c>
      <c r="C99" s="1">
        <v>603</v>
      </c>
      <c r="D99" s="1">
        <v>96</v>
      </c>
    </row>
    <row r="100" spans="1:4">
      <c r="A100" s="1" t="s">
        <v>296</v>
      </c>
      <c r="B100" s="1" t="s">
        <v>295</v>
      </c>
      <c r="C100" s="1">
        <v>602</v>
      </c>
      <c r="D100" s="1">
        <v>97</v>
      </c>
    </row>
    <row r="101" spans="1:4">
      <c r="A101" s="1" t="s">
        <v>111</v>
      </c>
      <c r="B101" s="1" t="s">
        <v>293</v>
      </c>
      <c r="C101" s="1">
        <v>602</v>
      </c>
      <c r="D101" s="1">
        <v>97</v>
      </c>
    </row>
    <row r="102" spans="1:4">
      <c r="A102" s="1" t="s">
        <v>249</v>
      </c>
      <c r="B102" s="1" t="s">
        <v>291</v>
      </c>
      <c r="C102" s="1">
        <v>602</v>
      </c>
      <c r="D102" s="1">
        <v>97</v>
      </c>
    </row>
    <row r="103" spans="1:4">
      <c r="A103" s="1" t="s">
        <v>133</v>
      </c>
      <c r="B103" s="1" t="s">
        <v>298</v>
      </c>
      <c r="C103" s="1">
        <v>601.5</v>
      </c>
      <c r="D103" s="1">
        <v>100</v>
      </c>
    </row>
  </sheetData>
  <protectedRanges>
    <protectedRange sqref="M3" name="区域1_13_1"/>
  </protectedRanges>
  <mergeCells count="7">
    <mergeCell ref="L53:N53"/>
    <mergeCell ref="AK2:AO2"/>
    <mergeCell ref="A2:N2"/>
    <mergeCell ref="A1:AA1"/>
    <mergeCell ref="L45:N45"/>
    <mergeCell ref="P2:AC2"/>
    <mergeCell ref="F44:H44"/>
  </mergeCells>
  <phoneticPr fontId="2" type="noConversion"/>
  <printOptions horizontalCentered="1"/>
  <pageMargins left="0.15748031496062992" right="0.15748031496062992" top="0.19685039370078741" bottom="0.19685039370078741" header="0" footer="0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BA95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28" sqref="J28"/>
    </sheetView>
  </sheetViews>
  <sheetFormatPr defaultRowHeight="14.25"/>
  <cols>
    <col min="1" max="26" width="7.875" style="47" customWidth="1"/>
    <col min="27" max="27" width="9" style="47"/>
    <col min="28" max="53" width="7.875" style="47" customWidth="1"/>
    <col min="54" max="16384" width="9" style="47"/>
  </cols>
  <sheetData>
    <row r="1" spans="1:53" ht="24.95" customHeight="1">
      <c r="A1" s="94" t="s">
        <v>72</v>
      </c>
      <c r="B1" s="94" t="s">
        <v>33</v>
      </c>
      <c r="C1" s="94" t="s">
        <v>33</v>
      </c>
      <c r="D1" s="94" t="s">
        <v>33</v>
      </c>
      <c r="E1" s="94" t="s">
        <v>33</v>
      </c>
      <c r="F1" s="94" t="s">
        <v>33</v>
      </c>
      <c r="G1" s="94" t="s">
        <v>33</v>
      </c>
      <c r="H1" s="94" t="s">
        <v>33</v>
      </c>
      <c r="I1" s="94" t="s">
        <v>33</v>
      </c>
      <c r="J1" s="94" t="s">
        <v>33</v>
      </c>
      <c r="K1" s="94" t="s">
        <v>33</v>
      </c>
      <c r="L1" s="94" t="s">
        <v>33</v>
      </c>
      <c r="M1" s="94" t="s">
        <v>33</v>
      </c>
      <c r="N1" s="94" t="s">
        <v>33</v>
      </c>
      <c r="O1" s="94" t="s">
        <v>33</v>
      </c>
      <c r="P1" s="94" t="s">
        <v>33</v>
      </c>
      <c r="Q1" s="94" t="s">
        <v>33</v>
      </c>
      <c r="R1" s="94" t="s">
        <v>33</v>
      </c>
      <c r="S1" s="94" t="s">
        <v>33</v>
      </c>
      <c r="T1" s="94" t="s">
        <v>33</v>
      </c>
      <c r="U1" s="94" t="s">
        <v>33</v>
      </c>
      <c r="V1" s="94" t="s">
        <v>33</v>
      </c>
      <c r="W1" s="94" t="s">
        <v>33</v>
      </c>
      <c r="X1" s="94" t="s">
        <v>33</v>
      </c>
      <c r="Y1" s="94" t="s">
        <v>33</v>
      </c>
      <c r="Z1" s="94" t="s">
        <v>33</v>
      </c>
      <c r="AB1" s="94" t="s">
        <v>77</v>
      </c>
      <c r="AC1" s="94" t="s">
        <v>33</v>
      </c>
      <c r="AD1" s="94" t="s">
        <v>33</v>
      </c>
      <c r="AE1" s="94" t="s">
        <v>33</v>
      </c>
      <c r="AF1" s="94" t="s">
        <v>33</v>
      </c>
      <c r="AG1" s="94" t="s">
        <v>33</v>
      </c>
      <c r="AH1" s="94" t="s">
        <v>33</v>
      </c>
      <c r="AI1" s="94" t="s">
        <v>33</v>
      </c>
      <c r="AJ1" s="94" t="s">
        <v>33</v>
      </c>
      <c r="AK1" s="94" t="s">
        <v>33</v>
      </c>
      <c r="AL1" s="94" t="s">
        <v>33</v>
      </c>
      <c r="AM1" s="94" t="s">
        <v>33</v>
      </c>
      <c r="AN1" s="94" t="s">
        <v>33</v>
      </c>
      <c r="AO1" s="94" t="s">
        <v>33</v>
      </c>
      <c r="AP1" s="94" t="s">
        <v>33</v>
      </c>
      <c r="AQ1" s="94" t="s">
        <v>33</v>
      </c>
      <c r="AR1" s="94" t="s">
        <v>33</v>
      </c>
      <c r="AS1" s="94" t="s">
        <v>33</v>
      </c>
      <c r="AT1" s="94" t="s">
        <v>33</v>
      </c>
      <c r="AU1" s="94" t="s">
        <v>33</v>
      </c>
      <c r="AV1" s="94" t="s">
        <v>33</v>
      </c>
      <c r="AW1" s="94" t="s">
        <v>33</v>
      </c>
      <c r="AX1" s="94" t="s">
        <v>33</v>
      </c>
      <c r="AY1" s="94" t="s">
        <v>33</v>
      </c>
      <c r="AZ1" s="94" t="s">
        <v>33</v>
      </c>
      <c r="BA1" s="94" t="s">
        <v>33</v>
      </c>
    </row>
    <row r="2" spans="1:53" ht="18" customHeight="1">
      <c r="A2" s="94" t="s">
        <v>65</v>
      </c>
      <c r="B2" s="94" t="s">
        <v>14</v>
      </c>
      <c r="C2" s="94" t="s">
        <v>15</v>
      </c>
      <c r="D2" s="94" t="s">
        <v>73</v>
      </c>
      <c r="E2" s="94" t="s">
        <v>13</v>
      </c>
      <c r="F2" s="94" t="s">
        <v>22</v>
      </c>
      <c r="G2" s="94" t="s">
        <v>33</v>
      </c>
      <c r="H2" s="94" t="s">
        <v>33</v>
      </c>
      <c r="I2" s="94" t="s">
        <v>23</v>
      </c>
      <c r="J2" s="94" t="s">
        <v>33</v>
      </c>
      <c r="K2" s="94" t="s">
        <v>33</v>
      </c>
      <c r="L2" s="94" t="s">
        <v>24</v>
      </c>
      <c r="M2" s="94" t="s">
        <v>33</v>
      </c>
      <c r="N2" s="94" t="s">
        <v>33</v>
      </c>
      <c r="O2" s="94" t="s">
        <v>32</v>
      </c>
      <c r="P2" s="94" t="s">
        <v>33</v>
      </c>
      <c r="Q2" s="94" t="s">
        <v>33</v>
      </c>
      <c r="R2" s="94" t="s">
        <v>25</v>
      </c>
      <c r="S2" s="94" t="s">
        <v>33</v>
      </c>
      <c r="T2" s="94" t="s">
        <v>33</v>
      </c>
      <c r="U2" s="94" t="s">
        <v>29</v>
      </c>
      <c r="V2" s="94" t="s">
        <v>33</v>
      </c>
      <c r="W2" s="94" t="s">
        <v>33</v>
      </c>
      <c r="X2" s="94" t="s">
        <v>0</v>
      </c>
      <c r="Y2" s="94" t="s">
        <v>33</v>
      </c>
      <c r="Z2" s="94" t="s">
        <v>33</v>
      </c>
      <c r="AB2" s="94" t="s">
        <v>65</v>
      </c>
      <c r="AC2" s="94" t="s">
        <v>14</v>
      </c>
      <c r="AD2" s="94" t="s">
        <v>15</v>
      </c>
      <c r="AE2" s="94" t="s">
        <v>73</v>
      </c>
      <c r="AF2" s="94" t="s">
        <v>13</v>
      </c>
      <c r="AG2" s="94" t="s">
        <v>22</v>
      </c>
      <c r="AH2" s="94" t="s">
        <v>33</v>
      </c>
      <c r="AI2" s="94" t="s">
        <v>33</v>
      </c>
      <c r="AJ2" s="94" t="s">
        <v>23</v>
      </c>
      <c r="AK2" s="94" t="s">
        <v>33</v>
      </c>
      <c r="AL2" s="94" t="s">
        <v>33</v>
      </c>
      <c r="AM2" s="94" t="s">
        <v>24</v>
      </c>
      <c r="AN2" s="94" t="s">
        <v>33</v>
      </c>
      <c r="AO2" s="94" t="s">
        <v>33</v>
      </c>
      <c r="AP2" s="94" t="s">
        <v>36</v>
      </c>
      <c r="AQ2" s="94" t="s">
        <v>33</v>
      </c>
      <c r="AR2" s="94" t="s">
        <v>33</v>
      </c>
      <c r="AS2" s="94" t="s">
        <v>34</v>
      </c>
      <c r="AT2" s="94" t="s">
        <v>33</v>
      </c>
      <c r="AU2" s="94" t="s">
        <v>33</v>
      </c>
      <c r="AV2" s="94" t="s">
        <v>35</v>
      </c>
      <c r="AW2" s="94" t="s">
        <v>33</v>
      </c>
      <c r="AX2" s="94" t="s">
        <v>33</v>
      </c>
      <c r="AY2" s="94" t="s">
        <v>0</v>
      </c>
      <c r="AZ2" s="94" t="s">
        <v>33</v>
      </c>
      <c r="BA2" s="94" t="s">
        <v>33</v>
      </c>
    </row>
    <row r="3" spans="1:53" ht="18" customHeight="1">
      <c r="A3" s="94" t="s">
        <v>33</v>
      </c>
      <c r="B3" s="94" t="s">
        <v>33</v>
      </c>
      <c r="C3" s="94" t="s">
        <v>33</v>
      </c>
      <c r="D3" s="94" t="s">
        <v>33</v>
      </c>
      <c r="E3" s="94" t="s">
        <v>33</v>
      </c>
      <c r="F3" s="55" t="s">
        <v>74</v>
      </c>
      <c r="G3" s="55" t="s">
        <v>75</v>
      </c>
      <c r="H3" s="55" t="s">
        <v>76</v>
      </c>
      <c r="I3" s="55" t="s">
        <v>74</v>
      </c>
      <c r="J3" s="55" t="s">
        <v>75</v>
      </c>
      <c r="K3" s="55" t="s">
        <v>76</v>
      </c>
      <c r="L3" s="55" t="s">
        <v>74</v>
      </c>
      <c r="M3" s="55" t="s">
        <v>75</v>
      </c>
      <c r="N3" s="55" t="s">
        <v>76</v>
      </c>
      <c r="O3" s="55" t="s">
        <v>74</v>
      </c>
      <c r="P3" s="55" t="s">
        <v>75</v>
      </c>
      <c r="Q3" s="55" t="s">
        <v>76</v>
      </c>
      <c r="R3" s="55" t="s">
        <v>74</v>
      </c>
      <c r="S3" s="55" t="s">
        <v>75</v>
      </c>
      <c r="T3" s="55" t="s">
        <v>76</v>
      </c>
      <c r="U3" s="55" t="s">
        <v>74</v>
      </c>
      <c r="V3" s="55" t="s">
        <v>75</v>
      </c>
      <c r="W3" s="55" t="s">
        <v>76</v>
      </c>
      <c r="X3" s="55" t="s">
        <v>74</v>
      </c>
      <c r="Y3" s="55" t="s">
        <v>75</v>
      </c>
      <c r="Z3" s="55" t="s">
        <v>76</v>
      </c>
      <c r="AB3" s="94" t="s">
        <v>33</v>
      </c>
      <c r="AC3" s="94" t="s">
        <v>33</v>
      </c>
      <c r="AD3" s="94" t="s">
        <v>33</v>
      </c>
      <c r="AE3" s="94" t="s">
        <v>33</v>
      </c>
      <c r="AF3" s="94" t="s">
        <v>33</v>
      </c>
      <c r="AG3" s="55" t="s">
        <v>74</v>
      </c>
      <c r="AH3" s="55" t="s">
        <v>75</v>
      </c>
      <c r="AI3" s="55" t="s">
        <v>76</v>
      </c>
      <c r="AJ3" s="55" t="s">
        <v>74</v>
      </c>
      <c r="AK3" s="55" t="s">
        <v>75</v>
      </c>
      <c r="AL3" s="55" t="s">
        <v>76</v>
      </c>
      <c r="AM3" s="55" t="s">
        <v>74</v>
      </c>
      <c r="AN3" s="55" t="s">
        <v>75</v>
      </c>
      <c r="AO3" s="55" t="s">
        <v>76</v>
      </c>
      <c r="AP3" s="55" t="s">
        <v>74</v>
      </c>
      <c r="AQ3" s="55" t="s">
        <v>75</v>
      </c>
      <c r="AR3" s="55" t="s">
        <v>76</v>
      </c>
      <c r="AS3" s="55" t="s">
        <v>74</v>
      </c>
      <c r="AT3" s="55" t="s">
        <v>75</v>
      </c>
      <c r="AU3" s="55" t="s">
        <v>76</v>
      </c>
      <c r="AV3" s="55" t="s">
        <v>74</v>
      </c>
      <c r="AW3" s="55" t="s">
        <v>75</v>
      </c>
      <c r="AX3" s="55" t="s">
        <v>76</v>
      </c>
      <c r="AY3" s="55" t="s">
        <v>74</v>
      </c>
      <c r="AZ3" s="55" t="s">
        <v>75</v>
      </c>
      <c r="BA3" s="55" t="s">
        <v>76</v>
      </c>
    </row>
    <row r="4" spans="1:53" ht="15" hidden="1" customHeight="1">
      <c r="A4" s="48" t="s">
        <v>82</v>
      </c>
      <c r="B4" s="48" t="s">
        <v>82</v>
      </c>
      <c r="C4" s="48" t="s">
        <v>83</v>
      </c>
      <c r="D4" s="48" t="s">
        <v>50</v>
      </c>
      <c r="E4" s="48" t="s">
        <v>84</v>
      </c>
      <c r="F4" s="48">
        <v>128</v>
      </c>
      <c r="G4" s="48">
        <v>1</v>
      </c>
      <c r="H4" s="48">
        <v>3</v>
      </c>
      <c r="I4" s="48">
        <v>142</v>
      </c>
      <c r="J4" s="48">
        <v>1</v>
      </c>
      <c r="K4" s="48">
        <v>10</v>
      </c>
      <c r="L4" s="48">
        <v>133.5</v>
      </c>
      <c r="M4" s="48">
        <v>1</v>
      </c>
      <c r="N4" s="48">
        <v>13</v>
      </c>
      <c r="O4" s="48">
        <v>93</v>
      </c>
      <c r="P4" s="48">
        <v>1</v>
      </c>
      <c r="Q4" s="48">
        <v>39</v>
      </c>
      <c r="R4" s="48">
        <v>92</v>
      </c>
      <c r="S4" s="48">
        <v>4</v>
      </c>
      <c r="T4" s="48">
        <v>116</v>
      </c>
      <c r="U4" s="48">
        <v>83</v>
      </c>
      <c r="V4" s="48">
        <v>2</v>
      </c>
      <c r="W4" s="48">
        <v>30</v>
      </c>
      <c r="X4" s="48">
        <v>671.5</v>
      </c>
      <c r="Y4" s="48">
        <v>1</v>
      </c>
      <c r="Z4" s="48">
        <v>1</v>
      </c>
      <c r="AB4" s="48" t="s">
        <v>1996</v>
      </c>
      <c r="AC4" s="48" t="s">
        <v>1996</v>
      </c>
      <c r="AD4" s="48" t="s">
        <v>1997</v>
      </c>
      <c r="AE4" s="48" t="s">
        <v>51</v>
      </c>
      <c r="AF4" s="48" t="s">
        <v>1998</v>
      </c>
      <c r="AG4" s="48">
        <v>126</v>
      </c>
      <c r="AH4" s="48">
        <v>2</v>
      </c>
      <c r="AI4" s="48">
        <v>2</v>
      </c>
      <c r="AJ4" s="48">
        <v>142</v>
      </c>
      <c r="AK4" s="48">
        <v>2</v>
      </c>
      <c r="AL4" s="48">
        <v>2</v>
      </c>
      <c r="AM4" s="48">
        <v>133.5</v>
      </c>
      <c r="AN4" s="48">
        <v>3</v>
      </c>
      <c r="AO4" s="48">
        <v>4</v>
      </c>
      <c r="AP4" s="48">
        <v>88</v>
      </c>
      <c r="AQ4" s="48">
        <v>4</v>
      </c>
      <c r="AR4" s="48">
        <v>4</v>
      </c>
      <c r="AS4" s="48">
        <v>88</v>
      </c>
      <c r="AT4" s="48">
        <v>4</v>
      </c>
      <c r="AU4" s="48">
        <v>4</v>
      </c>
      <c r="AV4" s="48">
        <v>76</v>
      </c>
      <c r="AW4" s="48">
        <v>2</v>
      </c>
      <c r="AX4" s="48">
        <v>3</v>
      </c>
      <c r="AY4" s="48">
        <v>653.5</v>
      </c>
      <c r="AZ4" s="48">
        <v>1</v>
      </c>
      <c r="BA4" s="48">
        <v>1</v>
      </c>
    </row>
    <row r="5" spans="1:53" ht="15" customHeight="1">
      <c r="A5" s="48" t="s">
        <v>85</v>
      </c>
      <c r="B5" s="48" t="s">
        <v>85</v>
      </c>
      <c r="C5" s="48" t="s">
        <v>86</v>
      </c>
      <c r="D5" s="48" t="s">
        <v>50</v>
      </c>
      <c r="E5" s="48" t="s">
        <v>87</v>
      </c>
      <c r="F5" s="48">
        <v>121</v>
      </c>
      <c r="G5" s="48">
        <v>10</v>
      </c>
      <c r="H5" s="48">
        <v>30</v>
      </c>
      <c r="I5" s="48">
        <v>143</v>
      </c>
      <c r="J5" s="48">
        <v>1</v>
      </c>
      <c r="K5" s="48">
        <v>7</v>
      </c>
      <c r="L5" s="48">
        <v>127.5</v>
      </c>
      <c r="M5" s="48">
        <v>22</v>
      </c>
      <c r="N5" s="48">
        <v>63</v>
      </c>
      <c r="O5" s="48">
        <v>95</v>
      </c>
      <c r="P5" s="48">
        <v>10</v>
      </c>
      <c r="Q5" s="48">
        <v>31</v>
      </c>
      <c r="R5" s="48">
        <v>100</v>
      </c>
      <c r="S5" s="48">
        <v>1</v>
      </c>
      <c r="T5" s="48">
        <v>1</v>
      </c>
      <c r="U5" s="48">
        <v>84</v>
      </c>
      <c r="V5" s="48">
        <v>8</v>
      </c>
      <c r="W5" s="48">
        <v>21</v>
      </c>
      <c r="X5" s="48">
        <v>670.5</v>
      </c>
      <c r="Y5" s="48">
        <v>1</v>
      </c>
      <c r="Z5" s="48">
        <v>2</v>
      </c>
      <c r="AB5" s="48" t="s">
        <v>1999</v>
      </c>
      <c r="AC5" s="48" t="s">
        <v>1999</v>
      </c>
      <c r="AD5" s="48" t="s">
        <v>2000</v>
      </c>
      <c r="AE5" s="48" t="s">
        <v>51</v>
      </c>
      <c r="AF5" s="48" t="s">
        <v>1998</v>
      </c>
      <c r="AG5" s="48">
        <v>119</v>
      </c>
      <c r="AH5" s="48">
        <v>14</v>
      </c>
      <c r="AI5" s="48">
        <v>21</v>
      </c>
      <c r="AJ5" s="48">
        <v>126</v>
      </c>
      <c r="AK5" s="48">
        <v>4</v>
      </c>
      <c r="AL5" s="48">
        <v>4</v>
      </c>
      <c r="AM5" s="48">
        <v>141</v>
      </c>
      <c r="AN5" s="48">
        <v>1</v>
      </c>
      <c r="AO5" s="48">
        <v>1</v>
      </c>
      <c r="AP5" s="48">
        <v>98</v>
      </c>
      <c r="AQ5" s="48">
        <v>1</v>
      </c>
      <c r="AR5" s="48">
        <v>1</v>
      </c>
      <c r="AS5" s="48">
        <v>90</v>
      </c>
      <c r="AT5" s="48">
        <v>2</v>
      </c>
      <c r="AU5" s="48">
        <v>2</v>
      </c>
      <c r="AV5" s="48">
        <v>67</v>
      </c>
      <c r="AW5" s="48">
        <v>9</v>
      </c>
      <c r="AX5" s="48">
        <v>12</v>
      </c>
      <c r="AY5" s="48">
        <v>641</v>
      </c>
      <c r="AZ5" s="48">
        <v>2</v>
      </c>
      <c r="BA5" s="48">
        <v>2</v>
      </c>
    </row>
    <row r="6" spans="1:53" ht="15" customHeight="1">
      <c r="A6" s="48" t="s">
        <v>88</v>
      </c>
      <c r="B6" s="48" t="s">
        <v>88</v>
      </c>
      <c r="C6" s="48" t="s">
        <v>89</v>
      </c>
      <c r="D6" s="48" t="s">
        <v>50</v>
      </c>
      <c r="E6" s="48" t="s">
        <v>87</v>
      </c>
      <c r="F6" s="48">
        <v>117</v>
      </c>
      <c r="G6" s="48">
        <v>21</v>
      </c>
      <c r="H6" s="48">
        <v>86</v>
      </c>
      <c r="I6" s="48">
        <v>143</v>
      </c>
      <c r="J6" s="48">
        <v>1</v>
      </c>
      <c r="K6" s="48">
        <v>7</v>
      </c>
      <c r="L6" s="48">
        <v>127</v>
      </c>
      <c r="M6" s="48">
        <v>23</v>
      </c>
      <c r="N6" s="48">
        <v>72</v>
      </c>
      <c r="O6" s="48">
        <v>103</v>
      </c>
      <c r="P6" s="48">
        <v>4</v>
      </c>
      <c r="Q6" s="48">
        <v>7</v>
      </c>
      <c r="R6" s="48">
        <v>100</v>
      </c>
      <c r="S6" s="48">
        <v>1</v>
      </c>
      <c r="T6" s="48">
        <v>1</v>
      </c>
      <c r="U6" s="48">
        <v>80</v>
      </c>
      <c r="V6" s="48">
        <v>19</v>
      </c>
      <c r="W6" s="48">
        <v>85</v>
      </c>
      <c r="X6" s="48">
        <v>670</v>
      </c>
      <c r="Y6" s="48">
        <v>2</v>
      </c>
      <c r="Z6" s="48">
        <v>3</v>
      </c>
      <c r="AB6" s="48" t="s">
        <v>2001</v>
      </c>
      <c r="AC6" s="48" t="s">
        <v>2001</v>
      </c>
      <c r="AD6" s="48" t="s">
        <v>2002</v>
      </c>
      <c r="AE6" s="48" t="s">
        <v>51</v>
      </c>
      <c r="AF6" s="48" t="s">
        <v>1998</v>
      </c>
      <c r="AG6" s="48">
        <v>117</v>
      </c>
      <c r="AH6" s="48">
        <v>19</v>
      </c>
      <c r="AI6" s="48">
        <v>27</v>
      </c>
      <c r="AJ6" s="48">
        <v>137</v>
      </c>
      <c r="AK6" s="48">
        <v>3</v>
      </c>
      <c r="AL6" s="48">
        <v>3</v>
      </c>
      <c r="AM6" s="48">
        <v>129.5</v>
      </c>
      <c r="AN6" s="48">
        <v>7</v>
      </c>
      <c r="AO6" s="48">
        <v>9</v>
      </c>
      <c r="AP6" s="48">
        <v>87</v>
      </c>
      <c r="AQ6" s="48">
        <v>6</v>
      </c>
      <c r="AR6" s="48">
        <v>6</v>
      </c>
      <c r="AS6" s="48">
        <v>96</v>
      </c>
      <c r="AT6" s="48">
        <v>1</v>
      </c>
      <c r="AU6" s="48">
        <v>1</v>
      </c>
      <c r="AV6" s="48">
        <v>71</v>
      </c>
      <c r="AW6" s="48">
        <v>5</v>
      </c>
      <c r="AX6" s="48">
        <v>7</v>
      </c>
      <c r="AY6" s="48">
        <v>637.5</v>
      </c>
      <c r="AZ6" s="48">
        <v>3</v>
      </c>
      <c r="BA6" s="48">
        <v>3</v>
      </c>
    </row>
    <row r="7" spans="1:53" ht="15" hidden="1" customHeight="1">
      <c r="A7" s="48" t="s">
        <v>90</v>
      </c>
      <c r="B7" s="48" t="s">
        <v>90</v>
      </c>
      <c r="C7" s="48" t="s">
        <v>91</v>
      </c>
      <c r="D7" s="48" t="s">
        <v>50</v>
      </c>
      <c r="E7" s="48" t="s">
        <v>92</v>
      </c>
      <c r="F7" s="48">
        <v>110</v>
      </c>
      <c r="G7" s="48">
        <v>10</v>
      </c>
      <c r="H7" s="48">
        <v>310</v>
      </c>
      <c r="I7" s="48">
        <v>140</v>
      </c>
      <c r="J7" s="48">
        <v>2</v>
      </c>
      <c r="K7" s="48">
        <v>15</v>
      </c>
      <c r="L7" s="48">
        <v>137.5</v>
      </c>
      <c r="M7" s="48">
        <v>1</v>
      </c>
      <c r="N7" s="48">
        <v>3</v>
      </c>
      <c r="O7" s="48">
        <v>98</v>
      </c>
      <c r="P7" s="48">
        <v>2</v>
      </c>
      <c r="Q7" s="48">
        <v>18</v>
      </c>
      <c r="R7" s="48">
        <v>100</v>
      </c>
      <c r="S7" s="48">
        <v>1</v>
      </c>
      <c r="T7" s="48">
        <v>1</v>
      </c>
      <c r="U7" s="48">
        <v>82</v>
      </c>
      <c r="V7" s="48">
        <v>4</v>
      </c>
      <c r="W7" s="48">
        <v>46</v>
      </c>
      <c r="X7" s="48">
        <v>667.5</v>
      </c>
      <c r="Y7" s="48">
        <v>1</v>
      </c>
      <c r="Z7" s="48">
        <v>4</v>
      </c>
      <c r="AB7" s="48" t="s">
        <v>2003</v>
      </c>
      <c r="AC7" s="48" t="s">
        <v>2003</v>
      </c>
      <c r="AD7" s="48" t="s">
        <v>2004</v>
      </c>
      <c r="AE7" s="48" t="s">
        <v>51</v>
      </c>
      <c r="AF7" s="48" t="s">
        <v>1998</v>
      </c>
      <c r="AG7" s="48">
        <v>129</v>
      </c>
      <c r="AH7" s="48">
        <v>1</v>
      </c>
      <c r="AI7" s="48">
        <v>1</v>
      </c>
      <c r="AJ7" s="48">
        <v>121</v>
      </c>
      <c r="AK7" s="48">
        <v>5</v>
      </c>
      <c r="AL7" s="48">
        <v>5</v>
      </c>
      <c r="AM7" s="48">
        <v>131.5</v>
      </c>
      <c r="AN7" s="48">
        <v>6</v>
      </c>
      <c r="AO7" s="48">
        <v>7</v>
      </c>
      <c r="AP7" s="48">
        <v>83</v>
      </c>
      <c r="AQ7" s="48">
        <v>14</v>
      </c>
      <c r="AR7" s="48">
        <v>16</v>
      </c>
      <c r="AS7" s="48">
        <v>81</v>
      </c>
      <c r="AT7" s="48">
        <v>18</v>
      </c>
      <c r="AU7" s="48">
        <v>22</v>
      </c>
      <c r="AV7" s="48">
        <v>70</v>
      </c>
      <c r="AW7" s="48">
        <v>7</v>
      </c>
      <c r="AX7" s="48">
        <v>9</v>
      </c>
      <c r="AY7" s="48">
        <v>615.5</v>
      </c>
      <c r="AZ7" s="48">
        <v>4</v>
      </c>
      <c r="BA7" s="48">
        <v>4</v>
      </c>
    </row>
    <row r="8" spans="1:53" ht="15" customHeight="1">
      <c r="A8" s="48" t="s">
        <v>93</v>
      </c>
      <c r="B8" s="48" t="s">
        <v>93</v>
      </c>
      <c r="C8" s="48" t="s">
        <v>94</v>
      </c>
      <c r="D8" s="48" t="s">
        <v>50</v>
      </c>
      <c r="E8" s="48" t="s">
        <v>87</v>
      </c>
      <c r="F8" s="48">
        <v>119</v>
      </c>
      <c r="G8" s="48">
        <v>15</v>
      </c>
      <c r="H8" s="48">
        <v>51</v>
      </c>
      <c r="I8" s="48">
        <v>131</v>
      </c>
      <c r="J8" s="48">
        <v>11</v>
      </c>
      <c r="K8" s="48">
        <v>48</v>
      </c>
      <c r="L8" s="48">
        <v>128.5</v>
      </c>
      <c r="M8" s="48">
        <v>19</v>
      </c>
      <c r="N8" s="48">
        <v>53</v>
      </c>
      <c r="O8" s="48">
        <v>106</v>
      </c>
      <c r="P8" s="48">
        <v>1</v>
      </c>
      <c r="Q8" s="48">
        <v>1</v>
      </c>
      <c r="R8" s="48">
        <v>96</v>
      </c>
      <c r="S8" s="48">
        <v>23</v>
      </c>
      <c r="T8" s="48">
        <v>45</v>
      </c>
      <c r="U8" s="48">
        <v>84</v>
      </c>
      <c r="V8" s="48">
        <v>8</v>
      </c>
      <c r="W8" s="48">
        <v>21</v>
      </c>
      <c r="X8" s="48">
        <v>664.5</v>
      </c>
      <c r="Y8" s="48">
        <v>3</v>
      </c>
      <c r="Z8" s="48">
        <v>5</v>
      </c>
      <c r="AB8" s="48" t="s">
        <v>2005</v>
      </c>
      <c r="AC8" s="48" t="s">
        <v>2005</v>
      </c>
      <c r="AD8" s="48" t="s">
        <v>2006</v>
      </c>
      <c r="AE8" s="48" t="s">
        <v>51</v>
      </c>
      <c r="AF8" s="48" t="s">
        <v>1998</v>
      </c>
      <c r="AG8" s="48">
        <v>114</v>
      </c>
      <c r="AH8" s="48">
        <v>29</v>
      </c>
      <c r="AI8" s="48">
        <v>44</v>
      </c>
      <c r="AJ8" s="48">
        <v>143</v>
      </c>
      <c r="AK8" s="48">
        <v>1</v>
      </c>
      <c r="AL8" s="48">
        <v>1</v>
      </c>
      <c r="AM8" s="48">
        <v>118</v>
      </c>
      <c r="AN8" s="48">
        <v>33</v>
      </c>
      <c r="AO8" s="48">
        <v>49</v>
      </c>
      <c r="AP8" s="48">
        <v>90</v>
      </c>
      <c r="AQ8" s="48">
        <v>2</v>
      </c>
      <c r="AR8" s="48">
        <v>2</v>
      </c>
      <c r="AS8" s="48">
        <v>77</v>
      </c>
      <c r="AT8" s="48">
        <v>30</v>
      </c>
      <c r="AU8" s="48">
        <v>48</v>
      </c>
      <c r="AV8" s="48">
        <v>73</v>
      </c>
      <c r="AW8" s="48">
        <v>3</v>
      </c>
      <c r="AX8" s="48">
        <v>4</v>
      </c>
      <c r="AY8" s="48">
        <v>615</v>
      </c>
      <c r="AZ8" s="48">
        <v>5</v>
      </c>
      <c r="BA8" s="48">
        <v>5</v>
      </c>
    </row>
    <row r="9" spans="1:53" ht="15" hidden="1" customHeight="1">
      <c r="A9" s="48" t="s">
        <v>95</v>
      </c>
      <c r="B9" s="48" t="s">
        <v>95</v>
      </c>
      <c r="C9" s="48" t="s">
        <v>96</v>
      </c>
      <c r="D9" s="48" t="s">
        <v>50</v>
      </c>
      <c r="E9" s="48" t="s">
        <v>97</v>
      </c>
      <c r="F9" s="48">
        <v>110</v>
      </c>
      <c r="G9" s="48">
        <v>19</v>
      </c>
      <c r="H9" s="48">
        <v>310</v>
      </c>
      <c r="I9" s="48">
        <v>144</v>
      </c>
      <c r="J9" s="48">
        <v>1</v>
      </c>
      <c r="K9" s="48">
        <v>4</v>
      </c>
      <c r="L9" s="48">
        <v>127.5</v>
      </c>
      <c r="M9" s="48">
        <v>4</v>
      </c>
      <c r="N9" s="48">
        <v>63</v>
      </c>
      <c r="O9" s="48">
        <v>105</v>
      </c>
      <c r="P9" s="48">
        <v>1</v>
      </c>
      <c r="Q9" s="48">
        <v>2</v>
      </c>
      <c r="R9" s="48">
        <v>99</v>
      </c>
      <c r="S9" s="48">
        <v>1</v>
      </c>
      <c r="T9" s="48">
        <v>13</v>
      </c>
      <c r="U9" s="48">
        <v>78</v>
      </c>
      <c r="V9" s="48">
        <v>13</v>
      </c>
      <c r="W9" s="48">
        <v>133</v>
      </c>
      <c r="X9" s="48">
        <v>663.5</v>
      </c>
      <c r="Y9" s="48">
        <v>1</v>
      </c>
      <c r="Z9" s="48">
        <v>6</v>
      </c>
      <c r="AB9" s="48" t="s">
        <v>2007</v>
      </c>
      <c r="AC9" s="48" t="s">
        <v>2007</v>
      </c>
      <c r="AD9" s="48" t="s">
        <v>2008</v>
      </c>
      <c r="AE9" s="48" t="s">
        <v>51</v>
      </c>
      <c r="AF9" s="48" t="s">
        <v>1998</v>
      </c>
      <c r="AG9" s="48">
        <v>123</v>
      </c>
      <c r="AH9" s="48">
        <v>4</v>
      </c>
      <c r="AI9" s="48">
        <v>5</v>
      </c>
      <c r="AJ9" s="48">
        <v>118</v>
      </c>
      <c r="AK9" s="48">
        <v>8</v>
      </c>
      <c r="AL9" s="48">
        <v>8</v>
      </c>
      <c r="AM9" s="48">
        <v>129</v>
      </c>
      <c r="AN9" s="48">
        <v>9</v>
      </c>
      <c r="AO9" s="48">
        <v>12</v>
      </c>
      <c r="AP9" s="48">
        <v>79</v>
      </c>
      <c r="AQ9" s="48">
        <v>25</v>
      </c>
      <c r="AR9" s="48">
        <v>35</v>
      </c>
      <c r="AS9" s="48">
        <v>90</v>
      </c>
      <c r="AT9" s="48">
        <v>2</v>
      </c>
      <c r="AU9" s="48">
        <v>2</v>
      </c>
      <c r="AV9" s="48">
        <v>71</v>
      </c>
      <c r="AW9" s="48">
        <v>5</v>
      </c>
      <c r="AX9" s="48">
        <v>7</v>
      </c>
      <c r="AY9" s="48">
        <v>610</v>
      </c>
      <c r="AZ9" s="48">
        <v>6</v>
      </c>
      <c r="BA9" s="48">
        <v>6</v>
      </c>
    </row>
    <row r="10" spans="1:53" ht="15" customHeight="1">
      <c r="A10" s="48" t="s">
        <v>98</v>
      </c>
      <c r="B10" s="48" t="s">
        <v>98</v>
      </c>
      <c r="C10" s="48" t="s">
        <v>99</v>
      </c>
      <c r="D10" s="48" t="s">
        <v>50</v>
      </c>
      <c r="E10" s="48" t="s">
        <v>87</v>
      </c>
      <c r="F10" s="48">
        <v>121</v>
      </c>
      <c r="G10" s="48">
        <v>10</v>
      </c>
      <c r="H10" s="48">
        <v>30</v>
      </c>
      <c r="I10" s="48">
        <v>137</v>
      </c>
      <c r="J10" s="48">
        <v>6</v>
      </c>
      <c r="K10" s="48">
        <v>27</v>
      </c>
      <c r="L10" s="48">
        <v>130</v>
      </c>
      <c r="M10" s="48">
        <v>10</v>
      </c>
      <c r="N10" s="48">
        <v>34</v>
      </c>
      <c r="O10" s="48">
        <v>91</v>
      </c>
      <c r="P10" s="48">
        <v>18</v>
      </c>
      <c r="Q10" s="48">
        <v>56</v>
      </c>
      <c r="R10" s="48">
        <v>98</v>
      </c>
      <c r="S10" s="48">
        <v>10</v>
      </c>
      <c r="T10" s="48">
        <v>20</v>
      </c>
      <c r="U10" s="48">
        <v>86</v>
      </c>
      <c r="V10" s="48">
        <v>3</v>
      </c>
      <c r="W10" s="48">
        <v>7</v>
      </c>
      <c r="X10" s="48">
        <v>663</v>
      </c>
      <c r="Y10" s="48">
        <v>4</v>
      </c>
      <c r="Z10" s="48">
        <v>7</v>
      </c>
      <c r="AB10" s="48" t="s">
        <v>2009</v>
      </c>
      <c r="AC10" s="48" t="s">
        <v>2009</v>
      </c>
      <c r="AD10" s="48" t="s">
        <v>38</v>
      </c>
      <c r="AE10" s="48" t="s">
        <v>51</v>
      </c>
      <c r="AF10" s="48" t="s">
        <v>2010</v>
      </c>
      <c r="AG10" s="48">
        <v>121</v>
      </c>
      <c r="AH10" s="48">
        <v>3</v>
      </c>
      <c r="AI10" s="48">
        <v>8</v>
      </c>
      <c r="AJ10" s="48">
        <v>112</v>
      </c>
      <c r="AK10" s="48">
        <v>1</v>
      </c>
      <c r="AL10" s="48">
        <v>14</v>
      </c>
      <c r="AM10" s="48">
        <v>125</v>
      </c>
      <c r="AN10" s="48">
        <v>5</v>
      </c>
      <c r="AO10" s="48">
        <v>31</v>
      </c>
      <c r="AP10" s="48">
        <v>78</v>
      </c>
      <c r="AQ10" s="48">
        <v>11</v>
      </c>
      <c r="AR10" s="48">
        <v>46</v>
      </c>
      <c r="AS10" s="48">
        <v>84</v>
      </c>
      <c r="AT10" s="48">
        <v>2</v>
      </c>
      <c r="AU10" s="48">
        <v>11</v>
      </c>
      <c r="AV10" s="48">
        <v>79</v>
      </c>
      <c r="AW10" s="48">
        <v>1</v>
      </c>
      <c r="AX10" s="48">
        <v>1</v>
      </c>
      <c r="AY10" s="48">
        <v>599</v>
      </c>
      <c r="AZ10" s="48">
        <v>1</v>
      </c>
      <c r="BA10" s="48">
        <v>7</v>
      </c>
    </row>
    <row r="11" spans="1:53" ht="15" customHeight="1">
      <c r="A11" s="48" t="s">
        <v>100</v>
      </c>
      <c r="B11" s="48" t="s">
        <v>100</v>
      </c>
      <c r="C11" s="48" t="s">
        <v>101</v>
      </c>
      <c r="D11" s="48" t="s">
        <v>50</v>
      </c>
      <c r="E11" s="48" t="s">
        <v>87</v>
      </c>
      <c r="F11" s="48">
        <v>122</v>
      </c>
      <c r="G11" s="48">
        <v>8</v>
      </c>
      <c r="H11" s="48">
        <v>25</v>
      </c>
      <c r="I11" s="48">
        <v>140</v>
      </c>
      <c r="J11" s="48">
        <v>3</v>
      </c>
      <c r="K11" s="48">
        <v>15</v>
      </c>
      <c r="L11" s="48">
        <v>130</v>
      </c>
      <c r="M11" s="48">
        <v>10</v>
      </c>
      <c r="N11" s="48">
        <v>34</v>
      </c>
      <c r="O11" s="48">
        <v>93</v>
      </c>
      <c r="P11" s="48">
        <v>12</v>
      </c>
      <c r="Q11" s="48">
        <v>39</v>
      </c>
      <c r="R11" s="48">
        <v>96</v>
      </c>
      <c r="S11" s="48">
        <v>23</v>
      </c>
      <c r="T11" s="48">
        <v>45</v>
      </c>
      <c r="U11" s="48">
        <v>77</v>
      </c>
      <c r="V11" s="48">
        <v>27</v>
      </c>
      <c r="W11" s="48">
        <v>162</v>
      </c>
      <c r="X11" s="48">
        <v>658</v>
      </c>
      <c r="Y11" s="48">
        <v>5</v>
      </c>
      <c r="Z11" s="48">
        <v>8</v>
      </c>
      <c r="AB11" s="48" t="s">
        <v>2011</v>
      </c>
      <c r="AC11" s="48" t="s">
        <v>2011</v>
      </c>
      <c r="AD11" s="48" t="s">
        <v>2012</v>
      </c>
      <c r="AE11" s="48" t="s">
        <v>51</v>
      </c>
      <c r="AF11" s="48" t="s">
        <v>1998</v>
      </c>
      <c r="AG11" s="48">
        <v>110</v>
      </c>
      <c r="AH11" s="48">
        <v>39</v>
      </c>
      <c r="AI11" s="48">
        <v>68</v>
      </c>
      <c r="AJ11" s="48">
        <v>119</v>
      </c>
      <c r="AK11" s="48">
        <v>6</v>
      </c>
      <c r="AL11" s="48">
        <v>6</v>
      </c>
      <c r="AM11" s="48">
        <v>132.5</v>
      </c>
      <c r="AN11" s="48">
        <v>4</v>
      </c>
      <c r="AO11" s="48">
        <v>5</v>
      </c>
      <c r="AP11" s="48">
        <v>86</v>
      </c>
      <c r="AQ11" s="48">
        <v>8</v>
      </c>
      <c r="AR11" s="48">
        <v>9</v>
      </c>
      <c r="AS11" s="48">
        <v>79</v>
      </c>
      <c r="AT11" s="48">
        <v>25</v>
      </c>
      <c r="AU11" s="48">
        <v>35</v>
      </c>
      <c r="AV11" s="48">
        <v>72</v>
      </c>
      <c r="AW11" s="48">
        <v>4</v>
      </c>
      <c r="AX11" s="48">
        <v>5</v>
      </c>
      <c r="AY11" s="48">
        <v>598.5</v>
      </c>
      <c r="AZ11" s="48">
        <v>7</v>
      </c>
      <c r="BA11" s="48">
        <v>8</v>
      </c>
    </row>
    <row r="12" spans="1:53" ht="15" customHeight="1">
      <c r="A12" s="48" t="s">
        <v>102</v>
      </c>
      <c r="B12" s="48" t="s">
        <v>102</v>
      </c>
      <c r="C12" s="48" t="s">
        <v>103</v>
      </c>
      <c r="D12" s="48" t="s">
        <v>50</v>
      </c>
      <c r="E12" s="48" t="s">
        <v>87</v>
      </c>
      <c r="F12" s="48">
        <v>125</v>
      </c>
      <c r="G12" s="48">
        <v>4</v>
      </c>
      <c r="H12" s="48">
        <v>12</v>
      </c>
      <c r="I12" s="48">
        <v>127</v>
      </c>
      <c r="J12" s="48">
        <v>20</v>
      </c>
      <c r="K12" s="48">
        <v>78</v>
      </c>
      <c r="L12" s="48">
        <v>133</v>
      </c>
      <c r="M12" s="48">
        <v>4</v>
      </c>
      <c r="N12" s="48">
        <v>17</v>
      </c>
      <c r="O12" s="48">
        <v>96</v>
      </c>
      <c r="P12" s="48">
        <v>8</v>
      </c>
      <c r="Q12" s="48">
        <v>25</v>
      </c>
      <c r="R12" s="48">
        <v>96</v>
      </c>
      <c r="S12" s="48">
        <v>23</v>
      </c>
      <c r="T12" s="48">
        <v>45</v>
      </c>
      <c r="U12" s="48">
        <v>79</v>
      </c>
      <c r="V12" s="48">
        <v>20</v>
      </c>
      <c r="W12" s="48">
        <v>103</v>
      </c>
      <c r="X12" s="48">
        <v>656</v>
      </c>
      <c r="Y12" s="48">
        <v>6</v>
      </c>
      <c r="Z12" s="48">
        <v>9</v>
      </c>
      <c r="AB12" s="48" t="s">
        <v>2013</v>
      </c>
      <c r="AC12" s="48" t="s">
        <v>2013</v>
      </c>
      <c r="AD12" s="48" t="s">
        <v>2014</v>
      </c>
      <c r="AE12" s="48" t="s">
        <v>51</v>
      </c>
      <c r="AF12" s="48" t="s">
        <v>1998</v>
      </c>
      <c r="AG12" s="48">
        <v>117</v>
      </c>
      <c r="AH12" s="48">
        <v>19</v>
      </c>
      <c r="AI12" s="48">
        <v>27</v>
      </c>
      <c r="AJ12" s="48">
        <v>117</v>
      </c>
      <c r="AK12" s="48">
        <v>11</v>
      </c>
      <c r="AL12" s="48">
        <v>11</v>
      </c>
      <c r="AM12" s="48">
        <v>129.5</v>
      </c>
      <c r="AN12" s="48">
        <v>7</v>
      </c>
      <c r="AO12" s="48">
        <v>9</v>
      </c>
      <c r="AP12" s="48">
        <v>83</v>
      </c>
      <c r="AQ12" s="48">
        <v>14</v>
      </c>
      <c r="AR12" s="48">
        <v>16</v>
      </c>
      <c r="AS12" s="48">
        <v>83</v>
      </c>
      <c r="AT12" s="48">
        <v>11</v>
      </c>
      <c r="AU12" s="48">
        <v>13</v>
      </c>
      <c r="AV12" s="48">
        <v>66</v>
      </c>
      <c r="AW12" s="48">
        <v>10</v>
      </c>
      <c r="AX12" s="48">
        <v>13</v>
      </c>
      <c r="AY12" s="48">
        <v>595.5</v>
      </c>
      <c r="AZ12" s="48">
        <v>8</v>
      </c>
      <c r="BA12" s="48">
        <v>9</v>
      </c>
    </row>
    <row r="13" spans="1:53" ht="15" hidden="1" customHeight="1">
      <c r="A13" s="48" t="s">
        <v>104</v>
      </c>
      <c r="B13" s="48" t="s">
        <v>104</v>
      </c>
      <c r="C13" s="48" t="s">
        <v>105</v>
      </c>
      <c r="D13" s="48" t="s">
        <v>50</v>
      </c>
      <c r="E13" s="48" t="s">
        <v>106</v>
      </c>
      <c r="F13" s="48">
        <v>114</v>
      </c>
      <c r="G13" s="48">
        <v>12</v>
      </c>
      <c r="H13" s="48">
        <v>170</v>
      </c>
      <c r="I13" s="48">
        <v>139</v>
      </c>
      <c r="J13" s="48">
        <v>1</v>
      </c>
      <c r="K13" s="48">
        <v>21</v>
      </c>
      <c r="L13" s="48">
        <v>125</v>
      </c>
      <c r="M13" s="48">
        <v>4</v>
      </c>
      <c r="N13" s="48">
        <v>96</v>
      </c>
      <c r="O13" s="48">
        <v>93</v>
      </c>
      <c r="P13" s="48">
        <v>3</v>
      </c>
      <c r="Q13" s="48">
        <v>39</v>
      </c>
      <c r="R13" s="48">
        <v>100</v>
      </c>
      <c r="S13" s="48">
        <v>1</v>
      </c>
      <c r="T13" s="48">
        <v>1</v>
      </c>
      <c r="U13" s="48">
        <v>85</v>
      </c>
      <c r="V13" s="48">
        <v>1</v>
      </c>
      <c r="W13" s="48">
        <v>14</v>
      </c>
      <c r="X13" s="48">
        <v>656</v>
      </c>
      <c r="Y13" s="48">
        <v>1</v>
      </c>
      <c r="Z13" s="48">
        <v>9</v>
      </c>
      <c r="AB13" s="48" t="s">
        <v>2015</v>
      </c>
      <c r="AC13" s="48" t="s">
        <v>2015</v>
      </c>
      <c r="AD13" s="48" t="s">
        <v>2016</v>
      </c>
      <c r="AE13" s="48" t="s">
        <v>51</v>
      </c>
      <c r="AF13" s="48" t="s">
        <v>1998</v>
      </c>
      <c r="AG13" s="48">
        <v>115</v>
      </c>
      <c r="AH13" s="48">
        <v>25</v>
      </c>
      <c r="AI13" s="48">
        <v>38</v>
      </c>
      <c r="AJ13" s="48">
        <v>110</v>
      </c>
      <c r="AK13" s="48">
        <v>14</v>
      </c>
      <c r="AL13" s="48">
        <v>16</v>
      </c>
      <c r="AM13" s="48">
        <v>132.5</v>
      </c>
      <c r="AN13" s="48">
        <v>4</v>
      </c>
      <c r="AO13" s="48">
        <v>5</v>
      </c>
      <c r="AP13" s="48">
        <v>84</v>
      </c>
      <c r="AQ13" s="48">
        <v>10</v>
      </c>
      <c r="AR13" s="48">
        <v>12</v>
      </c>
      <c r="AS13" s="48">
        <v>84</v>
      </c>
      <c r="AT13" s="48">
        <v>10</v>
      </c>
      <c r="AU13" s="48">
        <v>11</v>
      </c>
      <c r="AV13" s="48">
        <v>66</v>
      </c>
      <c r="AW13" s="48">
        <v>10</v>
      </c>
      <c r="AX13" s="48">
        <v>13</v>
      </c>
      <c r="AY13" s="48">
        <v>591.5</v>
      </c>
      <c r="AZ13" s="48">
        <v>9</v>
      </c>
      <c r="BA13" s="48">
        <v>10</v>
      </c>
    </row>
    <row r="14" spans="1:53" ht="15" customHeight="1">
      <c r="A14" s="48" t="s">
        <v>107</v>
      </c>
      <c r="B14" s="48" t="s">
        <v>107</v>
      </c>
      <c r="C14" s="48" t="s">
        <v>108</v>
      </c>
      <c r="D14" s="48" t="s">
        <v>50</v>
      </c>
      <c r="E14" s="48" t="s">
        <v>87</v>
      </c>
      <c r="F14" s="48">
        <v>119</v>
      </c>
      <c r="G14" s="48">
        <v>15</v>
      </c>
      <c r="H14" s="48">
        <v>51</v>
      </c>
      <c r="I14" s="48">
        <v>130</v>
      </c>
      <c r="J14" s="48">
        <v>13</v>
      </c>
      <c r="K14" s="48">
        <v>54</v>
      </c>
      <c r="L14" s="48">
        <v>132</v>
      </c>
      <c r="M14" s="48">
        <v>6</v>
      </c>
      <c r="N14" s="48">
        <v>22</v>
      </c>
      <c r="O14" s="48">
        <v>92</v>
      </c>
      <c r="P14" s="48">
        <v>16</v>
      </c>
      <c r="Q14" s="48">
        <v>48</v>
      </c>
      <c r="R14" s="48">
        <v>98</v>
      </c>
      <c r="S14" s="48">
        <v>10</v>
      </c>
      <c r="T14" s="48">
        <v>20</v>
      </c>
      <c r="U14" s="48">
        <v>81</v>
      </c>
      <c r="V14" s="48">
        <v>13</v>
      </c>
      <c r="W14" s="48">
        <v>66</v>
      </c>
      <c r="X14" s="48">
        <v>652</v>
      </c>
      <c r="Y14" s="48">
        <v>7</v>
      </c>
      <c r="Z14" s="48">
        <v>11</v>
      </c>
      <c r="AB14" s="48" t="s">
        <v>2017</v>
      </c>
      <c r="AC14" s="48" t="s">
        <v>2017</v>
      </c>
      <c r="AD14" s="48" t="s">
        <v>2018</v>
      </c>
      <c r="AE14" s="48" t="s">
        <v>51</v>
      </c>
      <c r="AF14" s="48" t="s">
        <v>1998</v>
      </c>
      <c r="AG14" s="48">
        <v>116</v>
      </c>
      <c r="AH14" s="48">
        <v>23</v>
      </c>
      <c r="AI14" s="48">
        <v>32</v>
      </c>
      <c r="AJ14" s="48">
        <v>98</v>
      </c>
      <c r="AK14" s="48">
        <v>21</v>
      </c>
      <c r="AL14" s="48">
        <v>26</v>
      </c>
      <c r="AM14" s="48">
        <v>139.5</v>
      </c>
      <c r="AN14" s="48">
        <v>2</v>
      </c>
      <c r="AO14" s="48">
        <v>2</v>
      </c>
      <c r="AP14" s="48">
        <v>84</v>
      </c>
      <c r="AQ14" s="48">
        <v>10</v>
      </c>
      <c r="AR14" s="48">
        <v>12</v>
      </c>
      <c r="AS14" s="48">
        <v>83</v>
      </c>
      <c r="AT14" s="48">
        <v>11</v>
      </c>
      <c r="AU14" s="48">
        <v>13</v>
      </c>
      <c r="AV14" s="48">
        <v>58</v>
      </c>
      <c r="AW14" s="48">
        <v>22</v>
      </c>
      <c r="AX14" s="48">
        <v>33</v>
      </c>
      <c r="AY14" s="48">
        <v>578.5</v>
      </c>
      <c r="AZ14" s="48">
        <v>10</v>
      </c>
      <c r="BA14" s="48">
        <v>11</v>
      </c>
    </row>
    <row r="15" spans="1:53" ht="15" hidden="1" customHeight="1">
      <c r="A15" s="48" t="s">
        <v>109</v>
      </c>
      <c r="B15" s="48" t="s">
        <v>109</v>
      </c>
      <c r="C15" s="48" t="s">
        <v>110</v>
      </c>
      <c r="D15" s="48" t="s">
        <v>50</v>
      </c>
      <c r="E15" s="48" t="s">
        <v>111</v>
      </c>
      <c r="F15" s="48">
        <v>112</v>
      </c>
      <c r="G15" s="48">
        <v>13</v>
      </c>
      <c r="H15" s="48">
        <v>226</v>
      </c>
      <c r="I15" s="48">
        <v>144</v>
      </c>
      <c r="J15" s="48">
        <v>1</v>
      </c>
      <c r="K15" s="48">
        <v>4</v>
      </c>
      <c r="L15" s="48">
        <v>126</v>
      </c>
      <c r="M15" s="48">
        <v>7</v>
      </c>
      <c r="N15" s="48">
        <v>82</v>
      </c>
      <c r="O15" s="48">
        <v>93</v>
      </c>
      <c r="P15" s="48">
        <v>1</v>
      </c>
      <c r="Q15" s="48">
        <v>39</v>
      </c>
      <c r="R15" s="48">
        <v>92</v>
      </c>
      <c r="S15" s="48">
        <v>5</v>
      </c>
      <c r="T15" s="48">
        <v>116</v>
      </c>
      <c r="U15" s="48">
        <v>83</v>
      </c>
      <c r="V15" s="48">
        <v>2</v>
      </c>
      <c r="W15" s="48">
        <v>30</v>
      </c>
      <c r="X15" s="48">
        <v>650</v>
      </c>
      <c r="Y15" s="48">
        <v>1</v>
      </c>
      <c r="Z15" s="48">
        <v>12</v>
      </c>
      <c r="AB15" s="48" t="s">
        <v>2019</v>
      </c>
      <c r="AC15" s="48" t="s">
        <v>2019</v>
      </c>
      <c r="AD15" s="48" t="s">
        <v>2020</v>
      </c>
      <c r="AE15" s="48" t="s">
        <v>51</v>
      </c>
      <c r="AF15" s="48" t="s">
        <v>1998</v>
      </c>
      <c r="AG15" s="48">
        <v>124</v>
      </c>
      <c r="AH15" s="48">
        <v>3</v>
      </c>
      <c r="AI15" s="48">
        <v>4</v>
      </c>
      <c r="AJ15" s="48">
        <v>111</v>
      </c>
      <c r="AK15" s="48">
        <v>13</v>
      </c>
      <c r="AL15" s="48">
        <v>15</v>
      </c>
      <c r="AM15" s="48">
        <v>125.5</v>
      </c>
      <c r="AN15" s="48">
        <v>20</v>
      </c>
      <c r="AO15" s="48">
        <v>27</v>
      </c>
      <c r="AP15" s="48">
        <v>83</v>
      </c>
      <c r="AQ15" s="48">
        <v>14</v>
      </c>
      <c r="AR15" s="48">
        <v>16</v>
      </c>
      <c r="AS15" s="48">
        <v>77</v>
      </c>
      <c r="AT15" s="48">
        <v>30</v>
      </c>
      <c r="AU15" s="48">
        <v>48</v>
      </c>
      <c r="AV15" s="48">
        <v>56</v>
      </c>
      <c r="AW15" s="48">
        <v>31</v>
      </c>
      <c r="AX15" s="48">
        <v>43</v>
      </c>
      <c r="AY15" s="48">
        <v>576.5</v>
      </c>
      <c r="AZ15" s="48">
        <v>11</v>
      </c>
      <c r="BA15" s="48">
        <v>12</v>
      </c>
    </row>
    <row r="16" spans="1:53" ht="15" hidden="1" customHeight="1">
      <c r="A16" s="48" t="s">
        <v>112</v>
      </c>
      <c r="B16" s="48" t="s">
        <v>112</v>
      </c>
      <c r="C16" s="48" t="s">
        <v>113</v>
      </c>
      <c r="D16" s="48" t="s">
        <v>50</v>
      </c>
      <c r="E16" s="48" t="s">
        <v>97</v>
      </c>
      <c r="F16" s="48">
        <v>119</v>
      </c>
      <c r="G16" s="48">
        <v>2</v>
      </c>
      <c r="H16" s="48">
        <v>51</v>
      </c>
      <c r="I16" s="48">
        <v>131</v>
      </c>
      <c r="J16" s="48">
        <v>5</v>
      </c>
      <c r="K16" s="48">
        <v>48</v>
      </c>
      <c r="L16" s="48">
        <v>123.5</v>
      </c>
      <c r="M16" s="48">
        <v>8</v>
      </c>
      <c r="N16" s="48">
        <v>124</v>
      </c>
      <c r="O16" s="48">
        <v>97</v>
      </c>
      <c r="P16" s="48">
        <v>2</v>
      </c>
      <c r="Q16" s="48">
        <v>21</v>
      </c>
      <c r="R16" s="48">
        <v>94</v>
      </c>
      <c r="S16" s="48">
        <v>4</v>
      </c>
      <c r="T16" s="48">
        <v>78</v>
      </c>
      <c r="U16" s="48">
        <v>83</v>
      </c>
      <c r="V16" s="48">
        <v>5</v>
      </c>
      <c r="W16" s="48">
        <v>30</v>
      </c>
      <c r="X16" s="48">
        <v>647.5</v>
      </c>
      <c r="Y16" s="48">
        <v>2</v>
      </c>
      <c r="Z16" s="48">
        <v>13</v>
      </c>
      <c r="AB16" s="48" t="s">
        <v>2021</v>
      </c>
      <c r="AC16" s="48" t="s">
        <v>2021</v>
      </c>
      <c r="AD16" s="48" t="s">
        <v>2022</v>
      </c>
      <c r="AE16" s="48" t="s">
        <v>51</v>
      </c>
      <c r="AF16" s="48" t="s">
        <v>1998</v>
      </c>
      <c r="AG16" s="48">
        <v>121</v>
      </c>
      <c r="AH16" s="48">
        <v>6</v>
      </c>
      <c r="AI16" s="48">
        <v>8</v>
      </c>
      <c r="AJ16" s="48">
        <v>118</v>
      </c>
      <c r="AK16" s="48">
        <v>8</v>
      </c>
      <c r="AL16" s="48">
        <v>8</v>
      </c>
      <c r="AM16" s="48">
        <v>120</v>
      </c>
      <c r="AN16" s="48">
        <v>29</v>
      </c>
      <c r="AO16" s="48">
        <v>43</v>
      </c>
      <c r="AP16" s="48">
        <v>76</v>
      </c>
      <c r="AQ16" s="48">
        <v>34</v>
      </c>
      <c r="AR16" s="48">
        <v>59</v>
      </c>
      <c r="AS16" s="48">
        <v>63</v>
      </c>
      <c r="AT16" s="48">
        <v>50</v>
      </c>
      <c r="AU16" s="48">
        <v>106</v>
      </c>
      <c r="AV16" s="48">
        <v>78</v>
      </c>
      <c r="AW16" s="48">
        <v>1</v>
      </c>
      <c r="AX16" s="48">
        <v>2</v>
      </c>
      <c r="AY16" s="48">
        <v>576</v>
      </c>
      <c r="AZ16" s="48">
        <v>12</v>
      </c>
      <c r="BA16" s="48">
        <v>13</v>
      </c>
    </row>
    <row r="17" spans="1:53" ht="15" customHeight="1">
      <c r="A17" s="48" t="s">
        <v>114</v>
      </c>
      <c r="B17" s="48" t="s">
        <v>114</v>
      </c>
      <c r="C17" s="48" t="s">
        <v>115</v>
      </c>
      <c r="D17" s="48" t="s">
        <v>50</v>
      </c>
      <c r="E17" s="48" t="s">
        <v>87</v>
      </c>
      <c r="F17" s="48">
        <v>122</v>
      </c>
      <c r="G17" s="48">
        <v>8</v>
      </c>
      <c r="H17" s="48">
        <v>25</v>
      </c>
      <c r="I17" s="48">
        <v>124</v>
      </c>
      <c r="J17" s="48">
        <v>24</v>
      </c>
      <c r="K17" s="48">
        <v>101</v>
      </c>
      <c r="L17" s="48">
        <v>135</v>
      </c>
      <c r="M17" s="48">
        <v>2</v>
      </c>
      <c r="N17" s="48">
        <v>8</v>
      </c>
      <c r="O17" s="48">
        <v>90</v>
      </c>
      <c r="P17" s="48">
        <v>22</v>
      </c>
      <c r="Q17" s="48">
        <v>63</v>
      </c>
      <c r="R17" s="48">
        <v>100</v>
      </c>
      <c r="S17" s="48">
        <v>1</v>
      </c>
      <c r="T17" s="48">
        <v>1</v>
      </c>
      <c r="U17" s="48">
        <v>76</v>
      </c>
      <c r="V17" s="48">
        <v>28</v>
      </c>
      <c r="W17" s="48">
        <v>194</v>
      </c>
      <c r="X17" s="48">
        <v>647</v>
      </c>
      <c r="Y17" s="48">
        <v>8</v>
      </c>
      <c r="Z17" s="48">
        <v>14</v>
      </c>
      <c r="AB17" s="48" t="s">
        <v>2023</v>
      </c>
      <c r="AC17" s="48" t="s">
        <v>2023</v>
      </c>
      <c r="AD17" s="48" t="s">
        <v>2024</v>
      </c>
      <c r="AE17" s="48" t="s">
        <v>51</v>
      </c>
      <c r="AF17" s="48" t="s">
        <v>1998</v>
      </c>
      <c r="AG17" s="48">
        <v>110</v>
      </c>
      <c r="AH17" s="48">
        <v>39</v>
      </c>
      <c r="AI17" s="48">
        <v>68</v>
      </c>
      <c r="AJ17" s="48">
        <v>118</v>
      </c>
      <c r="AK17" s="48">
        <v>8</v>
      </c>
      <c r="AL17" s="48">
        <v>8</v>
      </c>
      <c r="AM17" s="48">
        <v>129</v>
      </c>
      <c r="AN17" s="48">
        <v>9</v>
      </c>
      <c r="AO17" s="48">
        <v>12</v>
      </c>
      <c r="AP17" s="48">
        <v>76</v>
      </c>
      <c r="AQ17" s="48">
        <v>34</v>
      </c>
      <c r="AR17" s="48">
        <v>59</v>
      </c>
      <c r="AS17" s="48">
        <v>80</v>
      </c>
      <c r="AT17" s="48">
        <v>23</v>
      </c>
      <c r="AU17" s="48">
        <v>30</v>
      </c>
      <c r="AV17" s="48">
        <v>58</v>
      </c>
      <c r="AW17" s="48">
        <v>22</v>
      </c>
      <c r="AX17" s="48">
        <v>33</v>
      </c>
      <c r="AY17" s="48">
        <v>571</v>
      </c>
      <c r="AZ17" s="48">
        <v>13</v>
      </c>
      <c r="BA17" s="48">
        <v>14</v>
      </c>
    </row>
    <row r="18" spans="1:53" ht="15" customHeight="1">
      <c r="A18" s="48" t="s">
        <v>116</v>
      </c>
      <c r="B18" s="48" t="s">
        <v>116</v>
      </c>
      <c r="C18" s="48" t="s">
        <v>117</v>
      </c>
      <c r="D18" s="48" t="s">
        <v>50</v>
      </c>
      <c r="E18" s="48" t="s">
        <v>87</v>
      </c>
      <c r="F18" s="48">
        <v>118</v>
      </c>
      <c r="G18" s="48">
        <v>19</v>
      </c>
      <c r="H18" s="48">
        <v>69</v>
      </c>
      <c r="I18" s="48">
        <v>131</v>
      </c>
      <c r="J18" s="48">
        <v>11</v>
      </c>
      <c r="K18" s="48">
        <v>48</v>
      </c>
      <c r="L18" s="48">
        <v>131</v>
      </c>
      <c r="M18" s="48">
        <v>8</v>
      </c>
      <c r="N18" s="48">
        <v>27</v>
      </c>
      <c r="O18" s="48">
        <v>93</v>
      </c>
      <c r="P18" s="48">
        <v>12</v>
      </c>
      <c r="Q18" s="48">
        <v>39</v>
      </c>
      <c r="R18" s="48">
        <v>87</v>
      </c>
      <c r="S18" s="48">
        <v>46</v>
      </c>
      <c r="T18" s="48">
        <v>268</v>
      </c>
      <c r="U18" s="48">
        <v>87</v>
      </c>
      <c r="V18" s="48">
        <v>1</v>
      </c>
      <c r="W18" s="48">
        <v>2</v>
      </c>
      <c r="X18" s="48">
        <v>647</v>
      </c>
      <c r="Y18" s="48">
        <v>8</v>
      </c>
      <c r="Z18" s="48">
        <v>14</v>
      </c>
      <c r="AB18" s="48" t="s">
        <v>2025</v>
      </c>
      <c r="AC18" s="48" t="s">
        <v>2025</v>
      </c>
      <c r="AD18" s="48" t="s">
        <v>2026</v>
      </c>
      <c r="AE18" s="48" t="s">
        <v>51</v>
      </c>
      <c r="AF18" s="48" t="s">
        <v>1998</v>
      </c>
      <c r="AG18" s="48">
        <v>114</v>
      </c>
      <c r="AH18" s="48">
        <v>29</v>
      </c>
      <c r="AI18" s="48">
        <v>44</v>
      </c>
      <c r="AJ18" s="48">
        <v>106</v>
      </c>
      <c r="AK18" s="48">
        <v>17</v>
      </c>
      <c r="AL18" s="48">
        <v>19</v>
      </c>
      <c r="AM18" s="48">
        <v>127</v>
      </c>
      <c r="AN18" s="48">
        <v>17</v>
      </c>
      <c r="AO18" s="48">
        <v>22</v>
      </c>
      <c r="AP18" s="48">
        <v>78</v>
      </c>
      <c r="AQ18" s="48">
        <v>28</v>
      </c>
      <c r="AR18" s="48">
        <v>46</v>
      </c>
      <c r="AS18" s="48">
        <v>81</v>
      </c>
      <c r="AT18" s="48">
        <v>18</v>
      </c>
      <c r="AU18" s="48">
        <v>22</v>
      </c>
      <c r="AV18" s="48">
        <v>63</v>
      </c>
      <c r="AW18" s="48">
        <v>16</v>
      </c>
      <c r="AX18" s="48">
        <v>20</v>
      </c>
      <c r="AY18" s="48">
        <v>569</v>
      </c>
      <c r="AZ18" s="48">
        <v>14</v>
      </c>
      <c r="BA18" s="48">
        <v>15</v>
      </c>
    </row>
    <row r="19" spans="1:53" ht="15" customHeight="1">
      <c r="A19" s="48" t="s">
        <v>118</v>
      </c>
      <c r="B19" s="48" t="s">
        <v>118</v>
      </c>
      <c r="C19" s="48" t="s">
        <v>119</v>
      </c>
      <c r="D19" s="48" t="s">
        <v>50</v>
      </c>
      <c r="E19" s="48" t="s">
        <v>87</v>
      </c>
      <c r="F19" s="48">
        <v>99</v>
      </c>
      <c r="G19" s="48">
        <v>50</v>
      </c>
      <c r="H19" s="48">
        <v>754</v>
      </c>
      <c r="I19" s="48">
        <v>148</v>
      </c>
      <c r="J19" s="48">
        <v>6</v>
      </c>
      <c r="K19" s="48">
        <v>27</v>
      </c>
      <c r="L19" s="48">
        <v>125.5</v>
      </c>
      <c r="M19" s="48">
        <v>25</v>
      </c>
      <c r="N19" s="48">
        <v>87</v>
      </c>
      <c r="O19" s="48">
        <v>104</v>
      </c>
      <c r="P19" s="48">
        <v>2</v>
      </c>
      <c r="Q19" s="48">
        <v>3</v>
      </c>
      <c r="R19" s="48">
        <v>100</v>
      </c>
      <c r="S19" s="48">
        <v>1</v>
      </c>
      <c r="T19" s="48">
        <v>1</v>
      </c>
      <c r="U19" s="48">
        <v>81</v>
      </c>
      <c r="V19" s="48">
        <v>13</v>
      </c>
      <c r="W19" s="48">
        <v>66</v>
      </c>
      <c r="X19" s="48">
        <v>646.5</v>
      </c>
      <c r="Y19" s="48">
        <v>10</v>
      </c>
      <c r="Z19" s="48">
        <v>16</v>
      </c>
      <c r="AB19" s="48" t="s">
        <v>2027</v>
      </c>
      <c r="AC19" s="48" t="s">
        <v>2027</v>
      </c>
      <c r="AD19" s="48" t="s">
        <v>2028</v>
      </c>
      <c r="AE19" s="48" t="s">
        <v>51</v>
      </c>
      <c r="AF19" s="48" t="s">
        <v>1998</v>
      </c>
      <c r="AG19" s="48">
        <v>120</v>
      </c>
      <c r="AH19" s="48">
        <v>7</v>
      </c>
      <c r="AI19" s="48">
        <v>12</v>
      </c>
      <c r="AJ19" s="48">
        <v>116</v>
      </c>
      <c r="AK19" s="48">
        <v>12</v>
      </c>
      <c r="AL19" s="48">
        <v>12</v>
      </c>
      <c r="AM19" s="48">
        <v>127.5</v>
      </c>
      <c r="AN19" s="48">
        <v>15</v>
      </c>
      <c r="AO19" s="48">
        <v>20</v>
      </c>
      <c r="AP19" s="48">
        <v>75</v>
      </c>
      <c r="AQ19" s="48">
        <v>37</v>
      </c>
      <c r="AR19" s="48">
        <v>66</v>
      </c>
      <c r="AS19" s="48">
        <v>72</v>
      </c>
      <c r="AT19" s="48">
        <v>42</v>
      </c>
      <c r="AU19" s="48">
        <v>71</v>
      </c>
      <c r="AV19" s="48">
        <v>58</v>
      </c>
      <c r="AW19" s="48">
        <v>22</v>
      </c>
      <c r="AX19" s="48">
        <v>33</v>
      </c>
      <c r="AY19" s="48">
        <v>568.5</v>
      </c>
      <c r="AZ19" s="48">
        <v>15</v>
      </c>
      <c r="BA19" s="48">
        <v>16</v>
      </c>
    </row>
    <row r="20" spans="1:53" ht="15" hidden="1" customHeight="1">
      <c r="A20" s="48" t="s">
        <v>120</v>
      </c>
      <c r="B20" s="48" t="s">
        <v>120</v>
      </c>
      <c r="C20" s="48" t="s">
        <v>121</v>
      </c>
      <c r="D20" s="48" t="s">
        <v>50</v>
      </c>
      <c r="E20" s="48" t="s">
        <v>122</v>
      </c>
      <c r="F20" s="48">
        <v>116</v>
      </c>
      <c r="G20" s="48">
        <v>11</v>
      </c>
      <c r="H20" s="48">
        <v>117</v>
      </c>
      <c r="I20" s="48">
        <v>143</v>
      </c>
      <c r="J20" s="48">
        <v>1</v>
      </c>
      <c r="K20" s="48">
        <v>7</v>
      </c>
      <c r="L20" s="48">
        <v>125.5</v>
      </c>
      <c r="M20" s="48">
        <v>6</v>
      </c>
      <c r="N20" s="48">
        <v>87</v>
      </c>
      <c r="O20" s="48">
        <v>97</v>
      </c>
      <c r="P20" s="48">
        <v>1</v>
      </c>
      <c r="Q20" s="48">
        <v>21</v>
      </c>
      <c r="R20" s="48">
        <v>93</v>
      </c>
      <c r="S20" s="48">
        <v>14</v>
      </c>
      <c r="T20" s="48">
        <v>93</v>
      </c>
      <c r="U20" s="48">
        <v>72</v>
      </c>
      <c r="V20" s="48">
        <v>20</v>
      </c>
      <c r="W20" s="48">
        <v>312</v>
      </c>
      <c r="X20" s="48">
        <v>646.5</v>
      </c>
      <c r="Y20" s="48">
        <v>1</v>
      </c>
      <c r="Z20" s="48">
        <v>16</v>
      </c>
      <c r="AB20" s="48" t="s">
        <v>2029</v>
      </c>
      <c r="AC20" s="48" t="s">
        <v>2029</v>
      </c>
      <c r="AD20" s="48" t="s">
        <v>2030</v>
      </c>
      <c r="AE20" s="48" t="s">
        <v>51</v>
      </c>
      <c r="AF20" s="48" t="s">
        <v>1998</v>
      </c>
      <c r="AG20" s="48">
        <v>120</v>
      </c>
      <c r="AH20" s="48">
        <v>7</v>
      </c>
      <c r="AI20" s="48">
        <v>12</v>
      </c>
      <c r="AJ20" s="48">
        <v>105</v>
      </c>
      <c r="AK20" s="48">
        <v>18</v>
      </c>
      <c r="AL20" s="48">
        <v>20</v>
      </c>
      <c r="AM20" s="48">
        <v>125</v>
      </c>
      <c r="AN20" s="48">
        <v>23</v>
      </c>
      <c r="AO20" s="48">
        <v>31</v>
      </c>
      <c r="AP20" s="48">
        <v>86</v>
      </c>
      <c r="AQ20" s="48">
        <v>8</v>
      </c>
      <c r="AR20" s="48">
        <v>9</v>
      </c>
      <c r="AS20" s="48">
        <v>77</v>
      </c>
      <c r="AT20" s="48">
        <v>30</v>
      </c>
      <c r="AU20" s="48">
        <v>48</v>
      </c>
      <c r="AV20" s="48">
        <v>55</v>
      </c>
      <c r="AW20" s="48">
        <v>35</v>
      </c>
      <c r="AX20" s="48">
        <v>49</v>
      </c>
      <c r="AY20" s="48">
        <v>568</v>
      </c>
      <c r="AZ20" s="48">
        <v>16</v>
      </c>
      <c r="BA20" s="48">
        <v>17</v>
      </c>
    </row>
    <row r="21" spans="1:53" ht="15" customHeight="1">
      <c r="A21" s="48" t="s">
        <v>123</v>
      </c>
      <c r="B21" s="48" t="s">
        <v>123</v>
      </c>
      <c r="C21" s="48" t="s">
        <v>124</v>
      </c>
      <c r="D21" s="48" t="s">
        <v>50</v>
      </c>
      <c r="E21" s="48" t="s">
        <v>87</v>
      </c>
      <c r="F21" s="48">
        <v>124</v>
      </c>
      <c r="G21" s="48">
        <v>7</v>
      </c>
      <c r="H21" s="48">
        <v>17</v>
      </c>
      <c r="I21" s="48">
        <v>122</v>
      </c>
      <c r="J21" s="48">
        <v>25</v>
      </c>
      <c r="K21" s="48">
        <v>116</v>
      </c>
      <c r="L21" s="48">
        <v>137</v>
      </c>
      <c r="M21" s="48">
        <v>1</v>
      </c>
      <c r="N21" s="48">
        <v>5</v>
      </c>
      <c r="O21" s="48">
        <v>80</v>
      </c>
      <c r="P21" s="48">
        <v>40</v>
      </c>
      <c r="Q21" s="48">
        <v>211</v>
      </c>
      <c r="R21" s="48">
        <v>98</v>
      </c>
      <c r="S21" s="48">
        <v>10</v>
      </c>
      <c r="T21" s="48">
        <v>20</v>
      </c>
      <c r="U21" s="48">
        <v>85</v>
      </c>
      <c r="V21" s="48">
        <v>4</v>
      </c>
      <c r="W21" s="48">
        <v>14</v>
      </c>
      <c r="X21" s="48">
        <v>646</v>
      </c>
      <c r="Y21" s="48">
        <v>11</v>
      </c>
      <c r="Z21" s="48">
        <v>18</v>
      </c>
      <c r="AB21" s="48" t="s">
        <v>2031</v>
      </c>
      <c r="AC21" s="48" t="s">
        <v>2031</v>
      </c>
      <c r="AD21" s="48" t="s">
        <v>2032</v>
      </c>
      <c r="AE21" s="48" t="s">
        <v>51</v>
      </c>
      <c r="AF21" s="48" t="s">
        <v>1998</v>
      </c>
      <c r="AG21" s="48">
        <v>110</v>
      </c>
      <c r="AH21" s="48">
        <v>39</v>
      </c>
      <c r="AI21" s="48">
        <v>68</v>
      </c>
      <c r="AJ21" s="48">
        <v>103</v>
      </c>
      <c r="AK21" s="48">
        <v>19</v>
      </c>
      <c r="AL21" s="48">
        <v>22</v>
      </c>
      <c r="AM21" s="48">
        <v>123</v>
      </c>
      <c r="AN21" s="48">
        <v>25</v>
      </c>
      <c r="AO21" s="48">
        <v>37</v>
      </c>
      <c r="AP21" s="48">
        <v>87</v>
      </c>
      <c r="AQ21" s="48">
        <v>6</v>
      </c>
      <c r="AR21" s="48">
        <v>6</v>
      </c>
      <c r="AS21" s="48">
        <v>81</v>
      </c>
      <c r="AT21" s="48">
        <v>18</v>
      </c>
      <c r="AU21" s="48">
        <v>22</v>
      </c>
      <c r="AV21" s="48">
        <v>64</v>
      </c>
      <c r="AW21" s="48">
        <v>14</v>
      </c>
      <c r="AX21" s="48">
        <v>18</v>
      </c>
      <c r="AY21" s="48">
        <v>568</v>
      </c>
      <c r="AZ21" s="48">
        <v>16</v>
      </c>
      <c r="BA21" s="48">
        <v>17</v>
      </c>
    </row>
    <row r="22" spans="1:53" ht="15" hidden="1" customHeight="1">
      <c r="A22" s="48" t="s">
        <v>125</v>
      </c>
      <c r="B22" s="48" t="s">
        <v>125</v>
      </c>
      <c r="C22" s="48" t="s">
        <v>126</v>
      </c>
      <c r="D22" s="48" t="s">
        <v>50</v>
      </c>
      <c r="E22" s="48" t="s">
        <v>122</v>
      </c>
      <c r="F22" s="48">
        <v>127</v>
      </c>
      <c r="G22" s="48">
        <v>2</v>
      </c>
      <c r="H22" s="48">
        <v>4</v>
      </c>
      <c r="I22" s="48">
        <v>115</v>
      </c>
      <c r="J22" s="48">
        <v>18</v>
      </c>
      <c r="K22" s="48">
        <v>195</v>
      </c>
      <c r="L22" s="48">
        <v>141</v>
      </c>
      <c r="M22" s="48">
        <v>1</v>
      </c>
      <c r="N22" s="48">
        <v>1</v>
      </c>
      <c r="O22" s="48">
        <v>91</v>
      </c>
      <c r="P22" s="48">
        <v>3</v>
      </c>
      <c r="Q22" s="48">
        <v>56</v>
      </c>
      <c r="R22" s="48">
        <v>89</v>
      </c>
      <c r="S22" s="48">
        <v>29</v>
      </c>
      <c r="T22" s="48">
        <v>200</v>
      </c>
      <c r="U22" s="48">
        <v>82</v>
      </c>
      <c r="V22" s="48">
        <v>3</v>
      </c>
      <c r="W22" s="48">
        <v>46</v>
      </c>
      <c r="X22" s="48">
        <v>645</v>
      </c>
      <c r="Y22" s="48">
        <v>2</v>
      </c>
      <c r="Z22" s="48">
        <v>19</v>
      </c>
      <c r="AB22" s="48" t="s">
        <v>2033</v>
      </c>
      <c r="AC22" s="48" t="s">
        <v>2033</v>
      </c>
      <c r="AD22" s="48" t="s">
        <v>2034</v>
      </c>
      <c r="AE22" s="48" t="s">
        <v>51</v>
      </c>
      <c r="AF22" s="48" t="s">
        <v>1998</v>
      </c>
      <c r="AG22" s="48">
        <v>112</v>
      </c>
      <c r="AH22" s="48">
        <v>33</v>
      </c>
      <c r="AI22" s="48">
        <v>51</v>
      </c>
      <c r="AJ22" s="48">
        <v>107</v>
      </c>
      <c r="AK22" s="48">
        <v>15</v>
      </c>
      <c r="AL22" s="48">
        <v>17</v>
      </c>
      <c r="AM22" s="48">
        <v>128.5</v>
      </c>
      <c r="AN22" s="48">
        <v>11</v>
      </c>
      <c r="AO22" s="48">
        <v>14</v>
      </c>
      <c r="AP22" s="48">
        <v>75</v>
      </c>
      <c r="AQ22" s="48">
        <v>37</v>
      </c>
      <c r="AR22" s="48">
        <v>66</v>
      </c>
      <c r="AS22" s="48">
        <v>87</v>
      </c>
      <c r="AT22" s="48">
        <v>6</v>
      </c>
      <c r="AU22" s="48">
        <v>6</v>
      </c>
      <c r="AV22" s="48">
        <v>58</v>
      </c>
      <c r="AW22" s="48">
        <v>22</v>
      </c>
      <c r="AX22" s="48">
        <v>33</v>
      </c>
      <c r="AY22" s="48">
        <v>567.5</v>
      </c>
      <c r="AZ22" s="48">
        <v>18</v>
      </c>
      <c r="BA22" s="48">
        <v>19</v>
      </c>
    </row>
    <row r="23" spans="1:53" ht="15" customHeight="1">
      <c r="A23" s="48" t="s">
        <v>127</v>
      </c>
      <c r="B23" s="48" t="s">
        <v>127</v>
      </c>
      <c r="C23" s="48" t="s">
        <v>128</v>
      </c>
      <c r="D23" s="48" t="s">
        <v>50</v>
      </c>
      <c r="E23" s="48" t="s">
        <v>87</v>
      </c>
      <c r="F23" s="48">
        <v>125</v>
      </c>
      <c r="G23" s="48">
        <v>4</v>
      </c>
      <c r="H23" s="48">
        <v>12</v>
      </c>
      <c r="I23" s="48">
        <v>130</v>
      </c>
      <c r="J23" s="48">
        <v>13</v>
      </c>
      <c r="K23" s="48">
        <v>54</v>
      </c>
      <c r="L23" s="48">
        <v>125.5</v>
      </c>
      <c r="M23" s="48">
        <v>25</v>
      </c>
      <c r="N23" s="48">
        <v>87</v>
      </c>
      <c r="O23" s="48">
        <v>91</v>
      </c>
      <c r="P23" s="48">
        <v>18</v>
      </c>
      <c r="Q23" s="48">
        <v>56</v>
      </c>
      <c r="R23" s="48">
        <v>94</v>
      </c>
      <c r="S23" s="48">
        <v>32</v>
      </c>
      <c r="T23" s="48">
        <v>78</v>
      </c>
      <c r="U23" s="48">
        <v>79</v>
      </c>
      <c r="V23" s="48">
        <v>20</v>
      </c>
      <c r="W23" s="48">
        <v>103</v>
      </c>
      <c r="X23" s="48">
        <v>644.5</v>
      </c>
      <c r="Y23" s="48">
        <v>12</v>
      </c>
      <c r="Z23" s="48">
        <v>20</v>
      </c>
      <c r="AB23" s="48" t="s">
        <v>2035</v>
      </c>
      <c r="AC23" s="48" t="s">
        <v>2035</v>
      </c>
      <c r="AD23" s="48" t="s">
        <v>2036</v>
      </c>
      <c r="AE23" s="48" t="s">
        <v>51</v>
      </c>
      <c r="AF23" s="48" t="s">
        <v>1998</v>
      </c>
      <c r="AG23" s="48">
        <v>123</v>
      </c>
      <c r="AH23" s="48">
        <v>4</v>
      </c>
      <c r="AI23" s="48">
        <v>5</v>
      </c>
      <c r="AJ23" s="48">
        <v>89</v>
      </c>
      <c r="AK23" s="48">
        <v>29</v>
      </c>
      <c r="AL23" s="48">
        <v>36</v>
      </c>
      <c r="AM23" s="48">
        <v>128</v>
      </c>
      <c r="AN23" s="48">
        <v>13</v>
      </c>
      <c r="AO23" s="48">
        <v>18</v>
      </c>
      <c r="AP23" s="48">
        <v>82</v>
      </c>
      <c r="AQ23" s="48">
        <v>17</v>
      </c>
      <c r="AR23" s="48">
        <v>20</v>
      </c>
      <c r="AS23" s="48">
        <v>79</v>
      </c>
      <c r="AT23" s="48">
        <v>25</v>
      </c>
      <c r="AU23" s="48">
        <v>35</v>
      </c>
      <c r="AV23" s="48">
        <v>63</v>
      </c>
      <c r="AW23" s="48">
        <v>16</v>
      </c>
      <c r="AX23" s="48">
        <v>20</v>
      </c>
      <c r="AY23" s="48">
        <v>564</v>
      </c>
      <c r="AZ23" s="48">
        <v>19</v>
      </c>
      <c r="BA23" s="48">
        <v>20</v>
      </c>
    </row>
    <row r="24" spans="1:53" ht="15" customHeight="1">
      <c r="A24" s="48" t="s">
        <v>129</v>
      </c>
      <c r="B24" s="48" t="s">
        <v>129</v>
      </c>
      <c r="C24" s="48" t="s">
        <v>130</v>
      </c>
      <c r="D24" s="48" t="s">
        <v>50</v>
      </c>
      <c r="E24" s="48" t="s">
        <v>87</v>
      </c>
      <c r="F24" s="48">
        <v>116</v>
      </c>
      <c r="G24" s="48">
        <v>24</v>
      </c>
      <c r="H24" s="48">
        <v>117</v>
      </c>
      <c r="I24" s="48">
        <v>129</v>
      </c>
      <c r="J24" s="48">
        <v>17</v>
      </c>
      <c r="K24" s="48">
        <v>63</v>
      </c>
      <c r="L24" s="48">
        <v>124.5</v>
      </c>
      <c r="M24" s="48">
        <v>28</v>
      </c>
      <c r="N24" s="48">
        <v>103</v>
      </c>
      <c r="O24" s="48">
        <v>104</v>
      </c>
      <c r="P24" s="48">
        <v>2</v>
      </c>
      <c r="Q24" s="48">
        <v>3</v>
      </c>
      <c r="R24" s="48">
        <v>95</v>
      </c>
      <c r="S24" s="48">
        <v>29</v>
      </c>
      <c r="T24" s="48">
        <v>60</v>
      </c>
      <c r="U24" s="48">
        <v>74</v>
      </c>
      <c r="V24" s="48">
        <v>33</v>
      </c>
      <c r="W24" s="48">
        <v>247</v>
      </c>
      <c r="X24" s="48">
        <v>642.5</v>
      </c>
      <c r="Y24" s="48">
        <v>13</v>
      </c>
      <c r="Z24" s="48">
        <v>21</v>
      </c>
      <c r="AB24" s="48" t="s">
        <v>2037</v>
      </c>
      <c r="AC24" s="48" t="s">
        <v>2037</v>
      </c>
      <c r="AD24" s="48" t="s">
        <v>2038</v>
      </c>
      <c r="AE24" s="48" t="s">
        <v>51</v>
      </c>
      <c r="AF24" s="48" t="s">
        <v>2039</v>
      </c>
      <c r="AG24" s="48">
        <v>120</v>
      </c>
      <c r="AH24" s="48">
        <v>3</v>
      </c>
      <c r="AI24" s="48">
        <v>12</v>
      </c>
      <c r="AJ24" s="48">
        <v>105</v>
      </c>
      <c r="AK24" s="48">
        <v>2</v>
      </c>
      <c r="AL24" s="48">
        <v>20</v>
      </c>
      <c r="AM24" s="48">
        <v>103.5</v>
      </c>
      <c r="AN24" s="48">
        <v>20</v>
      </c>
      <c r="AO24" s="48">
        <v>92</v>
      </c>
      <c r="AP24" s="48">
        <v>85</v>
      </c>
      <c r="AQ24" s="48">
        <v>2</v>
      </c>
      <c r="AR24" s="48">
        <v>11</v>
      </c>
      <c r="AS24" s="48">
        <v>79</v>
      </c>
      <c r="AT24" s="48">
        <v>5</v>
      </c>
      <c r="AU24" s="48">
        <v>35</v>
      </c>
      <c r="AV24" s="48">
        <v>70</v>
      </c>
      <c r="AW24" s="48">
        <v>2</v>
      </c>
      <c r="AX24" s="48">
        <v>9</v>
      </c>
      <c r="AY24" s="48">
        <v>562.5</v>
      </c>
      <c r="AZ24" s="48">
        <v>1</v>
      </c>
      <c r="BA24" s="48">
        <v>21</v>
      </c>
    </row>
    <row r="25" spans="1:53" ht="15" hidden="1" customHeight="1">
      <c r="A25" s="48" t="s">
        <v>131</v>
      </c>
      <c r="B25" s="48" t="s">
        <v>131</v>
      </c>
      <c r="C25" s="48" t="s">
        <v>132</v>
      </c>
      <c r="D25" s="48" t="s">
        <v>50</v>
      </c>
      <c r="E25" s="48" t="s">
        <v>133</v>
      </c>
      <c r="F25" s="48">
        <v>112</v>
      </c>
      <c r="G25" s="48">
        <v>16</v>
      </c>
      <c r="H25" s="48">
        <v>226</v>
      </c>
      <c r="I25" s="48">
        <v>133</v>
      </c>
      <c r="J25" s="48">
        <v>2</v>
      </c>
      <c r="K25" s="48">
        <v>41</v>
      </c>
      <c r="L25" s="48">
        <v>121</v>
      </c>
      <c r="M25" s="48">
        <v>12</v>
      </c>
      <c r="N25" s="48">
        <v>173</v>
      </c>
      <c r="O25" s="48">
        <v>96</v>
      </c>
      <c r="P25" s="48">
        <v>2</v>
      </c>
      <c r="Q25" s="48">
        <v>25</v>
      </c>
      <c r="R25" s="48">
        <v>94</v>
      </c>
      <c r="S25" s="48">
        <v>2</v>
      </c>
      <c r="T25" s="48">
        <v>78</v>
      </c>
      <c r="U25" s="48">
        <v>86</v>
      </c>
      <c r="V25" s="48">
        <v>1</v>
      </c>
      <c r="W25" s="48">
        <v>7</v>
      </c>
      <c r="X25" s="48">
        <v>642</v>
      </c>
      <c r="Y25" s="48">
        <v>1</v>
      </c>
      <c r="Z25" s="48">
        <v>22</v>
      </c>
      <c r="AB25" s="48" t="s">
        <v>2040</v>
      </c>
      <c r="AC25" s="48" t="s">
        <v>2040</v>
      </c>
      <c r="AD25" s="48" t="s">
        <v>2041</v>
      </c>
      <c r="AE25" s="48" t="s">
        <v>51</v>
      </c>
      <c r="AF25" s="48" t="s">
        <v>1998</v>
      </c>
      <c r="AG25" s="48">
        <v>120</v>
      </c>
      <c r="AH25" s="48">
        <v>7</v>
      </c>
      <c r="AI25" s="48">
        <v>12</v>
      </c>
      <c r="AJ25" s="48">
        <v>107</v>
      </c>
      <c r="AK25" s="48">
        <v>15</v>
      </c>
      <c r="AL25" s="48">
        <v>17</v>
      </c>
      <c r="AM25" s="48">
        <v>120</v>
      </c>
      <c r="AN25" s="48">
        <v>29</v>
      </c>
      <c r="AO25" s="48">
        <v>43</v>
      </c>
      <c r="AP25" s="48">
        <v>77</v>
      </c>
      <c r="AQ25" s="48">
        <v>31</v>
      </c>
      <c r="AR25" s="48">
        <v>52</v>
      </c>
      <c r="AS25" s="48">
        <v>74</v>
      </c>
      <c r="AT25" s="48">
        <v>36</v>
      </c>
      <c r="AU25" s="48">
        <v>62</v>
      </c>
      <c r="AV25" s="48">
        <v>64</v>
      </c>
      <c r="AW25" s="48">
        <v>14</v>
      </c>
      <c r="AX25" s="48">
        <v>18</v>
      </c>
      <c r="AY25" s="48">
        <v>562</v>
      </c>
      <c r="AZ25" s="48">
        <v>20</v>
      </c>
      <c r="BA25" s="48">
        <v>22</v>
      </c>
    </row>
    <row r="26" spans="1:53" ht="15" customHeight="1">
      <c r="A26" s="48" t="s">
        <v>134</v>
      </c>
      <c r="B26" s="48" t="s">
        <v>134</v>
      </c>
      <c r="C26" s="48" t="s">
        <v>135</v>
      </c>
      <c r="D26" s="48" t="s">
        <v>50</v>
      </c>
      <c r="E26" s="48" t="s">
        <v>87</v>
      </c>
      <c r="F26" s="48">
        <v>125</v>
      </c>
      <c r="G26" s="48">
        <v>4</v>
      </c>
      <c r="H26" s="48">
        <v>12</v>
      </c>
      <c r="I26" s="48">
        <v>121</v>
      </c>
      <c r="J26" s="48">
        <v>29</v>
      </c>
      <c r="K26" s="48">
        <v>131</v>
      </c>
      <c r="L26" s="48">
        <v>129.5</v>
      </c>
      <c r="M26" s="48">
        <v>17</v>
      </c>
      <c r="N26" s="48">
        <v>48</v>
      </c>
      <c r="O26" s="48">
        <v>101</v>
      </c>
      <c r="P26" s="48">
        <v>5</v>
      </c>
      <c r="Q26" s="48">
        <v>12</v>
      </c>
      <c r="R26" s="48">
        <v>93</v>
      </c>
      <c r="S26" s="48">
        <v>34</v>
      </c>
      <c r="T26" s="48">
        <v>93</v>
      </c>
      <c r="U26" s="48">
        <v>72</v>
      </c>
      <c r="V26" s="48">
        <v>37</v>
      </c>
      <c r="W26" s="48">
        <v>312</v>
      </c>
      <c r="X26" s="48">
        <v>641.5</v>
      </c>
      <c r="Y26" s="48">
        <v>14</v>
      </c>
      <c r="Z26" s="48">
        <v>23</v>
      </c>
      <c r="AB26" s="48" t="s">
        <v>2042</v>
      </c>
      <c r="AC26" s="48" t="s">
        <v>2042</v>
      </c>
      <c r="AD26" s="48" t="s">
        <v>2043</v>
      </c>
      <c r="AE26" s="48" t="s">
        <v>51</v>
      </c>
      <c r="AF26" s="48" t="s">
        <v>1998</v>
      </c>
      <c r="AG26" s="48">
        <v>116</v>
      </c>
      <c r="AH26" s="48">
        <v>23</v>
      </c>
      <c r="AI26" s="48">
        <v>32</v>
      </c>
      <c r="AJ26" s="48">
        <v>98</v>
      </c>
      <c r="AK26" s="48">
        <v>21</v>
      </c>
      <c r="AL26" s="48">
        <v>26</v>
      </c>
      <c r="AM26" s="48">
        <v>126.5</v>
      </c>
      <c r="AN26" s="48">
        <v>18</v>
      </c>
      <c r="AO26" s="48">
        <v>24</v>
      </c>
      <c r="AP26" s="48">
        <v>73</v>
      </c>
      <c r="AQ26" s="48">
        <v>42</v>
      </c>
      <c r="AR26" s="48">
        <v>83</v>
      </c>
      <c r="AS26" s="48">
        <v>83</v>
      </c>
      <c r="AT26" s="48">
        <v>11</v>
      </c>
      <c r="AU26" s="48">
        <v>13</v>
      </c>
      <c r="AV26" s="48">
        <v>61</v>
      </c>
      <c r="AW26" s="48">
        <v>19</v>
      </c>
      <c r="AX26" s="48">
        <v>25</v>
      </c>
      <c r="AY26" s="48">
        <v>557.5</v>
      </c>
      <c r="AZ26" s="48">
        <v>21</v>
      </c>
      <c r="BA26" s="48">
        <v>23</v>
      </c>
    </row>
    <row r="27" spans="1:53" ht="15" customHeight="1">
      <c r="A27" s="48" t="s">
        <v>136</v>
      </c>
      <c r="B27" s="48" t="s">
        <v>136</v>
      </c>
      <c r="C27" s="48" t="s">
        <v>137</v>
      </c>
      <c r="D27" s="48" t="s">
        <v>50</v>
      </c>
      <c r="E27" s="48" t="s">
        <v>87</v>
      </c>
      <c r="F27" s="48">
        <v>114</v>
      </c>
      <c r="G27" s="48">
        <v>31</v>
      </c>
      <c r="H27" s="48">
        <v>170</v>
      </c>
      <c r="I27" s="48">
        <v>128</v>
      </c>
      <c r="J27" s="48">
        <v>19</v>
      </c>
      <c r="K27" s="48">
        <v>70</v>
      </c>
      <c r="L27" s="48">
        <v>133.5</v>
      </c>
      <c r="M27" s="48">
        <v>3</v>
      </c>
      <c r="N27" s="48">
        <v>13</v>
      </c>
      <c r="O27" s="48">
        <v>83</v>
      </c>
      <c r="P27" s="48">
        <v>32</v>
      </c>
      <c r="Q27" s="48">
        <v>153</v>
      </c>
      <c r="R27" s="48">
        <v>100</v>
      </c>
      <c r="S27" s="48">
        <v>1</v>
      </c>
      <c r="T27" s="48">
        <v>1</v>
      </c>
      <c r="U27" s="48">
        <v>82</v>
      </c>
      <c r="V27" s="48">
        <v>11</v>
      </c>
      <c r="W27" s="48">
        <v>46</v>
      </c>
      <c r="X27" s="48">
        <v>640.5</v>
      </c>
      <c r="Y27" s="48">
        <v>15</v>
      </c>
      <c r="Z27" s="48">
        <v>24</v>
      </c>
      <c r="AB27" s="48" t="s">
        <v>2044</v>
      </c>
      <c r="AC27" s="48" t="s">
        <v>2044</v>
      </c>
      <c r="AD27" s="48" t="s">
        <v>2045</v>
      </c>
      <c r="AE27" s="48" t="s">
        <v>51</v>
      </c>
      <c r="AF27" s="48" t="s">
        <v>1998</v>
      </c>
      <c r="AG27" s="48">
        <v>115</v>
      </c>
      <c r="AH27" s="48">
        <v>25</v>
      </c>
      <c r="AI27" s="48">
        <v>38</v>
      </c>
      <c r="AJ27" s="48">
        <v>103</v>
      </c>
      <c r="AK27" s="48">
        <v>19</v>
      </c>
      <c r="AL27" s="48">
        <v>22</v>
      </c>
      <c r="AM27" s="48">
        <v>114.5</v>
      </c>
      <c r="AN27" s="48">
        <v>36</v>
      </c>
      <c r="AO27" s="48">
        <v>57</v>
      </c>
      <c r="AP27" s="48">
        <v>89</v>
      </c>
      <c r="AQ27" s="48">
        <v>3</v>
      </c>
      <c r="AR27" s="48">
        <v>3</v>
      </c>
      <c r="AS27" s="48">
        <v>61</v>
      </c>
      <c r="AT27" s="48">
        <v>51</v>
      </c>
      <c r="AU27" s="48">
        <v>110</v>
      </c>
      <c r="AV27" s="48">
        <v>68</v>
      </c>
      <c r="AW27" s="48">
        <v>8</v>
      </c>
      <c r="AX27" s="48">
        <v>11</v>
      </c>
      <c r="AY27" s="48">
        <v>550.5</v>
      </c>
      <c r="AZ27" s="48">
        <v>22</v>
      </c>
      <c r="BA27" s="48">
        <v>24</v>
      </c>
    </row>
    <row r="28" spans="1:53" ht="15" customHeight="1">
      <c r="A28" s="48" t="s">
        <v>138</v>
      </c>
      <c r="B28" s="48" t="s">
        <v>138</v>
      </c>
      <c r="C28" s="48" t="s">
        <v>139</v>
      </c>
      <c r="D28" s="48" t="s">
        <v>50</v>
      </c>
      <c r="E28" s="48" t="s">
        <v>87</v>
      </c>
      <c r="F28" s="48">
        <v>112</v>
      </c>
      <c r="G28" s="48">
        <v>33</v>
      </c>
      <c r="H28" s="48">
        <v>226</v>
      </c>
      <c r="I28" s="48">
        <v>139</v>
      </c>
      <c r="J28" s="48">
        <v>4</v>
      </c>
      <c r="K28" s="48">
        <v>21</v>
      </c>
      <c r="L28" s="48">
        <v>123</v>
      </c>
      <c r="M28" s="48">
        <v>30</v>
      </c>
      <c r="N28" s="48">
        <v>132</v>
      </c>
      <c r="O28" s="48">
        <v>91</v>
      </c>
      <c r="P28" s="48">
        <v>18</v>
      </c>
      <c r="Q28" s="48">
        <v>56</v>
      </c>
      <c r="R28" s="48">
        <v>95</v>
      </c>
      <c r="S28" s="48">
        <v>29</v>
      </c>
      <c r="T28" s="48">
        <v>60</v>
      </c>
      <c r="U28" s="48">
        <v>78</v>
      </c>
      <c r="V28" s="48">
        <v>24</v>
      </c>
      <c r="W28" s="48">
        <v>133</v>
      </c>
      <c r="X28" s="48">
        <v>638</v>
      </c>
      <c r="Y28" s="48">
        <v>16</v>
      </c>
      <c r="Z28" s="48">
        <v>25</v>
      </c>
      <c r="AB28" s="48" t="s">
        <v>2046</v>
      </c>
      <c r="AC28" s="48" t="s">
        <v>2046</v>
      </c>
      <c r="AD28" s="48" t="s">
        <v>2047</v>
      </c>
      <c r="AE28" s="48" t="s">
        <v>51</v>
      </c>
      <c r="AF28" s="48" t="s">
        <v>1998</v>
      </c>
      <c r="AG28" s="48">
        <v>108</v>
      </c>
      <c r="AH28" s="48">
        <v>43</v>
      </c>
      <c r="AI28" s="48">
        <v>78</v>
      </c>
      <c r="AJ28" s="48">
        <v>119</v>
      </c>
      <c r="AK28" s="48">
        <v>6</v>
      </c>
      <c r="AL28" s="48">
        <v>6</v>
      </c>
      <c r="AM28" s="48">
        <v>118.5</v>
      </c>
      <c r="AN28" s="48">
        <v>31</v>
      </c>
      <c r="AO28" s="48">
        <v>47</v>
      </c>
      <c r="AP28" s="48">
        <v>74</v>
      </c>
      <c r="AQ28" s="48">
        <v>41</v>
      </c>
      <c r="AR28" s="48">
        <v>77</v>
      </c>
      <c r="AS28" s="48">
        <v>77</v>
      </c>
      <c r="AT28" s="48">
        <v>30</v>
      </c>
      <c r="AU28" s="48">
        <v>48</v>
      </c>
      <c r="AV28" s="48">
        <v>53</v>
      </c>
      <c r="AW28" s="48">
        <v>41</v>
      </c>
      <c r="AX28" s="48">
        <v>59</v>
      </c>
      <c r="AY28" s="48">
        <v>549.5</v>
      </c>
      <c r="AZ28" s="48">
        <v>23</v>
      </c>
      <c r="BA28" s="48">
        <v>25</v>
      </c>
    </row>
    <row r="29" spans="1:53" ht="15" customHeight="1">
      <c r="A29" s="48" t="s">
        <v>140</v>
      </c>
      <c r="B29" s="48" t="s">
        <v>140</v>
      </c>
      <c r="C29" s="48" t="s">
        <v>141</v>
      </c>
      <c r="D29" s="48" t="s">
        <v>50</v>
      </c>
      <c r="E29" s="48" t="s">
        <v>87</v>
      </c>
      <c r="F29" s="48">
        <v>116</v>
      </c>
      <c r="G29" s="48">
        <v>24</v>
      </c>
      <c r="H29" s="48">
        <v>117</v>
      </c>
      <c r="I29" s="48">
        <v>125</v>
      </c>
      <c r="J29" s="48">
        <v>22</v>
      </c>
      <c r="K29" s="48">
        <v>94</v>
      </c>
      <c r="L29" s="48">
        <v>120.5</v>
      </c>
      <c r="M29" s="48">
        <v>39</v>
      </c>
      <c r="N29" s="48">
        <v>192</v>
      </c>
      <c r="O29" s="48">
        <v>98</v>
      </c>
      <c r="P29" s="48">
        <v>7</v>
      </c>
      <c r="Q29" s="48">
        <v>18</v>
      </c>
      <c r="R29" s="48">
        <v>97</v>
      </c>
      <c r="S29" s="48">
        <v>19</v>
      </c>
      <c r="T29" s="48">
        <v>30</v>
      </c>
      <c r="U29" s="48">
        <v>81</v>
      </c>
      <c r="V29" s="48">
        <v>13</v>
      </c>
      <c r="W29" s="48">
        <v>66</v>
      </c>
      <c r="X29" s="48">
        <v>637.5</v>
      </c>
      <c r="Y29" s="48">
        <v>17</v>
      </c>
      <c r="Z29" s="48">
        <v>26</v>
      </c>
      <c r="AB29" s="48" t="s">
        <v>2048</v>
      </c>
      <c r="AC29" s="48" t="s">
        <v>2048</v>
      </c>
      <c r="AD29" s="48" t="s">
        <v>2049</v>
      </c>
      <c r="AE29" s="48" t="s">
        <v>51</v>
      </c>
      <c r="AF29" s="48" t="s">
        <v>1998</v>
      </c>
      <c r="AG29" s="48">
        <v>120</v>
      </c>
      <c r="AH29" s="48">
        <v>7</v>
      </c>
      <c r="AI29" s="48">
        <v>12</v>
      </c>
      <c r="AJ29" s="48">
        <v>84</v>
      </c>
      <c r="AK29" s="48">
        <v>33</v>
      </c>
      <c r="AL29" s="48">
        <v>45</v>
      </c>
      <c r="AM29" s="48">
        <v>125.5</v>
      </c>
      <c r="AN29" s="48">
        <v>20</v>
      </c>
      <c r="AO29" s="48">
        <v>27</v>
      </c>
      <c r="AP29" s="48">
        <v>76</v>
      </c>
      <c r="AQ29" s="48">
        <v>34</v>
      </c>
      <c r="AR29" s="48">
        <v>59</v>
      </c>
      <c r="AS29" s="48">
        <v>85</v>
      </c>
      <c r="AT29" s="48">
        <v>8</v>
      </c>
      <c r="AU29" s="48">
        <v>8</v>
      </c>
      <c r="AV29" s="48">
        <v>57</v>
      </c>
      <c r="AW29" s="48">
        <v>27</v>
      </c>
      <c r="AX29" s="48">
        <v>38</v>
      </c>
      <c r="AY29" s="48">
        <v>547.5</v>
      </c>
      <c r="AZ29" s="48">
        <v>24</v>
      </c>
      <c r="BA29" s="48">
        <v>26</v>
      </c>
    </row>
    <row r="30" spans="1:53" ht="15" hidden="1" customHeight="1">
      <c r="A30" s="48" t="s">
        <v>142</v>
      </c>
      <c r="B30" s="48" t="s">
        <v>142</v>
      </c>
      <c r="C30" s="48" t="s">
        <v>143</v>
      </c>
      <c r="D30" s="48" t="s">
        <v>50</v>
      </c>
      <c r="E30" s="48" t="s">
        <v>97</v>
      </c>
      <c r="F30" s="48">
        <v>118</v>
      </c>
      <c r="G30" s="48">
        <v>5</v>
      </c>
      <c r="H30" s="48">
        <v>69</v>
      </c>
      <c r="I30" s="48">
        <v>138</v>
      </c>
      <c r="J30" s="48">
        <v>2</v>
      </c>
      <c r="K30" s="48">
        <v>24</v>
      </c>
      <c r="L30" s="48">
        <v>113.5</v>
      </c>
      <c r="M30" s="48">
        <v>17</v>
      </c>
      <c r="N30" s="48">
        <v>374</v>
      </c>
      <c r="O30" s="48">
        <v>89</v>
      </c>
      <c r="P30" s="48">
        <v>6</v>
      </c>
      <c r="Q30" s="48">
        <v>79</v>
      </c>
      <c r="R30" s="48">
        <v>91</v>
      </c>
      <c r="S30" s="48">
        <v>8</v>
      </c>
      <c r="T30" s="48">
        <v>151</v>
      </c>
      <c r="U30" s="48">
        <v>87</v>
      </c>
      <c r="V30" s="48">
        <v>1</v>
      </c>
      <c r="W30" s="48">
        <v>2</v>
      </c>
      <c r="X30" s="48">
        <v>636.5</v>
      </c>
      <c r="Y30" s="48">
        <v>3</v>
      </c>
      <c r="Z30" s="48">
        <v>27</v>
      </c>
      <c r="AB30" s="48" t="s">
        <v>2050</v>
      </c>
      <c r="AC30" s="48" t="s">
        <v>2050</v>
      </c>
      <c r="AD30" s="48" t="s">
        <v>2051</v>
      </c>
      <c r="AE30" s="48" t="s">
        <v>51</v>
      </c>
      <c r="AF30" s="48" t="s">
        <v>2010</v>
      </c>
      <c r="AG30" s="48">
        <v>116</v>
      </c>
      <c r="AH30" s="48">
        <v>5</v>
      </c>
      <c r="AI30" s="48">
        <v>32</v>
      </c>
      <c r="AJ30" s="48">
        <v>89</v>
      </c>
      <c r="AK30" s="48">
        <v>4</v>
      </c>
      <c r="AL30" s="48">
        <v>36</v>
      </c>
      <c r="AM30" s="48">
        <v>125.5</v>
      </c>
      <c r="AN30" s="48">
        <v>4</v>
      </c>
      <c r="AO30" s="48">
        <v>27</v>
      </c>
      <c r="AP30" s="48">
        <v>77</v>
      </c>
      <c r="AQ30" s="48">
        <v>13</v>
      </c>
      <c r="AR30" s="48">
        <v>52</v>
      </c>
      <c r="AS30" s="48">
        <v>76</v>
      </c>
      <c r="AT30" s="48">
        <v>12</v>
      </c>
      <c r="AU30" s="48">
        <v>54</v>
      </c>
      <c r="AV30" s="48">
        <v>59</v>
      </c>
      <c r="AW30" s="48">
        <v>4</v>
      </c>
      <c r="AX30" s="48">
        <v>29</v>
      </c>
      <c r="AY30" s="48">
        <v>542.5</v>
      </c>
      <c r="AZ30" s="48">
        <v>2</v>
      </c>
      <c r="BA30" s="48">
        <v>27</v>
      </c>
    </row>
    <row r="31" spans="1:53" ht="15" customHeight="1">
      <c r="A31" s="48" t="s">
        <v>144</v>
      </c>
      <c r="B31" s="48" t="s">
        <v>144</v>
      </c>
      <c r="C31" s="48" t="s">
        <v>145</v>
      </c>
      <c r="D31" s="48" t="s">
        <v>50</v>
      </c>
      <c r="E31" s="48" t="s">
        <v>87</v>
      </c>
      <c r="F31" s="48">
        <v>105</v>
      </c>
      <c r="G31" s="48">
        <v>42</v>
      </c>
      <c r="H31" s="48">
        <v>515</v>
      </c>
      <c r="I31" s="48">
        <v>133</v>
      </c>
      <c r="J31" s="48">
        <v>9</v>
      </c>
      <c r="K31" s="48">
        <v>41</v>
      </c>
      <c r="L31" s="48">
        <v>120</v>
      </c>
      <c r="M31" s="48">
        <v>41</v>
      </c>
      <c r="N31" s="48">
        <v>211</v>
      </c>
      <c r="O31" s="48">
        <v>99</v>
      </c>
      <c r="P31" s="48">
        <v>6</v>
      </c>
      <c r="Q31" s="48">
        <v>16</v>
      </c>
      <c r="R31" s="48">
        <v>96</v>
      </c>
      <c r="S31" s="48">
        <v>23</v>
      </c>
      <c r="T31" s="48">
        <v>45</v>
      </c>
      <c r="U31" s="48">
        <v>83</v>
      </c>
      <c r="V31" s="48">
        <v>10</v>
      </c>
      <c r="W31" s="48">
        <v>30</v>
      </c>
      <c r="X31" s="48">
        <v>636</v>
      </c>
      <c r="Y31" s="48">
        <v>18</v>
      </c>
      <c r="Z31" s="48">
        <v>28</v>
      </c>
      <c r="AB31" s="48" t="s">
        <v>2052</v>
      </c>
      <c r="AC31" s="48" t="s">
        <v>2052</v>
      </c>
      <c r="AD31" s="48" t="s">
        <v>2053</v>
      </c>
      <c r="AE31" s="48" t="s">
        <v>51</v>
      </c>
      <c r="AF31" s="48" t="s">
        <v>1998</v>
      </c>
      <c r="AG31" s="48">
        <v>117</v>
      </c>
      <c r="AH31" s="48">
        <v>19</v>
      </c>
      <c r="AI31" s="48">
        <v>27</v>
      </c>
      <c r="AJ31" s="48">
        <v>97</v>
      </c>
      <c r="AK31" s="48">
        <v>23</v>
      </c>
      <c r="AL31" s="48">
        <v>29</v>
      </c>
      <c r="AM31" s="48">
        <v>106.5</v>
      </c>
      <c r="AN31" s="48">
        <v>46</v>
      </c>
      <c r="AO31" s="48">
        <v>81</v>
      </c>
      <c r="AP31" s="48">
        <v>84</v>
      </c>
      <c r="AQ31" s="48">
        <v>10</v>
      </c>
      <c r="AR31" s="48">
        <v>12</v>
      </c>
      <c r="AS31" s="48">
        <v>74</v>
      </c>
      <c r="AT31" s="48">
        <v>36</v>
      </c>
      <c r="AU31" s="48">
        <v>62</v>
      </c>
      <c r="AV31" s="48">
        <v>60</v>
      </c>
      <c r="AW31" s="48">
        <v>20</v>
      </c>
      <c r="AX31" s="48">
        <v>26</v>
      </c>
      <c r="AY31" s="48">
        <v>538.5</v>
      </c>
      <c r="AZ31" s="48">
        <v>25</v>
      </c>
      <c r="BA31" s="48">
        <v>28</v>
      </c>
    </row>
    <row r="32" spans="1:53" ht="15" customHeight="1">
      <c r="A32" s="48" t="s">
        <v>146</v>
      </c>
      <c r="B32" s="48" t="s">
        <v>146</v>
      </c>
      <c r="C32" s="48" t="s">
        <v>147</v>
      </c>
      <c r="D32" s="48" t="s">
        <v>50</v>
      </c>
      <c r="E32" s="48" t="s">
        <v>87</v>
      </c>
      <c r="F32" s="48">
        <v>115</v>
      </c>
      <c r="G32" s="48">
        <v>29</v>
      </c>
      <c r="H32" s="48">
        <v>140</v>
      </c>
      <c r="I32" s="48">
        <v>133</v>
      </c>
      <c r="J32" s="48">
        <v>9</v>
      </c>
      <c r="K32" s="48">
        <v>41</v>
      </c>
      <c r="L32" s="48">
        <v>130</v>
      </c>
      <c r="M32" s="48">
        <v>10</v>
      </c>
      <c r="N32" s="48">
        <v>34</v>
      </c>
      <c r="O32" s="48">
        <v>90</v>
      </c>
      <c r="P32" s="48">
        <v>22</v>
      </c>
      <c r="Q32" s="48">
        <v>63</v>
      </c>
      <c r="R32" s="48">
        <v>97</v>
      </c>
      <c r="S32" s="48">
        <v>19</v>
      </c>
      <c r="T32" s="48">
        <v>30</v>
      </c>
      <c r="U32" s="48">
        <v>69</v>
      </c>
      <c r="V32" s="48">
        <v>41</v>
      </c>
      <c r="W32" s="48">
        <v>420</v>
      </c>
      <c r="X32" s="48">
        <v>634</v>
      </c>
      <c r="Y32" s="48">
        <v>19</v>
      </c>
      <c r="Z32" s="48">
        <v>29</v>
      </c>
      <c r="AB32" s="48" t="s">
        <v>2054</v>
      </c>
      <c r="AC32" s="48" t="s">
        <v>2054</v>
      </c>
      <c r="AD32" s="48" t="s">
        <v>2055</v>
      </c>
      <c r="AE32" s="48" t="s">
        <v>51</v>
      </c>
      <c r="AF32" s="48" t="s">
        <v>1998</v>
      </c>
      <c r="AG32" s="48">
        <v>119</v>
      </c>
      <c r="AH32" s="48">
        <v>14</v>
      </c>
      <c r="AI32" s="48">
        <v>21</v>
      </c>
      <c r="AJ32" s="48">
        <v>71</v>
      </c>
      <c r="AK32" s="48">
        <v>42</v>
      </c>
      <c r="AL32" s="48">
        <v>70</v>
      </c>
      <c r="AM32" s="48">
        <v>127.5</v>
      </c>
      <c r="AN32" s="48">
        <v>15</v>
      </c>
      <c r="AO32" s="48">
        <v>20</v>
      </c>
      <c r="AP32" s="48">
        <v>81</v>
      </c>
      <c r="AQ32" s="48">
        <v>19</v>
      </c>
      <c r="AR32" s="48">
        <v>23</v>
      </c>
      <c r="AS32" s="48">
        <v>83</v>
      </c>
      <c r="AT32" s="48">
        <v>11</v>
      </c>
      <c r="AU32" s="48">
        <v>13</v>
      </c>
      <c r="AV32" s="48">
        <v>57</v>
      </c>
      <c r="AW32" s="48">
        <v>27</v>
      </c>
      <c r="AX32" s="48">
        <v>38</v>
      </c>
      <c r="AY32" s="48">
        <v>538.5</v>
      </c>
      <c r="AZ32" s="48">
        <v>25</v>
      </c>
      <c r="BA32" s="48">
        <v>28</v>
      </c>
    </row>
    <row r="33" spans="1:53" ht="15" hidden="1" customHeight="1">
      <c r="A33" s="48" t="s">
        <v>148</v>
      </c>
      <c r="B33" s="48" t="s">
        <v>148</v>
      </c>
      <c r="C33" s="48" t="s">
        <v>149</v>
      </c>
      <c r="D33" s="48" t="s">
        <v>50</v>
      </c>
      <c r="E33" s="48" t="s">
        <v>150</v>
      </c>
      <c r="F33" s="48">
        <v>104</v>
      </c>
      <c r="G33" s="48">
        <v>25</v>
      </c>
      <c r="H33" s="48">
        <v>573</v>
      </c>
      <c r="I33" s="48">
        <v>136</v>
      </c>
      <c r="J33" s="48">
        <v>2</v>
      </c>
      <c r="K33" s="48">
        <v>31</v>
      </c>
      <c r="L33" s="48">
        <v>117</v>
      </c>
      <c r="M33" s="48">
        <v>13</v>
      </c>
      <c r="N33" s="48">
        <v>291</v>
      </c>
      <c r="O33" s="48">
        <v>95</v>
      </c>
      <c r="P33" s="48">
        <v>1</v>
      </c>
      <c r="Q33" s="48">
        <v>31</v>
      </c>
      <c r="R33" s="48">
        <v>98</v>
      </c>
      <c r="S33" s="48">
        <v>1</v>
      </c>
      <c r="T33" s="48">
        <v>20</v>
      </c>
      <c r="U33" s="48">
        <v>84</v>
      </c>
      <c r="V33" s="48">
        <v>1</v>
      </c>
      <c r="W33" s="48">
        <v>21</v>
      </c>
      <c r="X33" s="48">
        <v>634</v>
      </c>
      <c r="Y33" s="48">
        <v>1</v>
      </c>
      <c r="Z33" s="48">
        <v>29</v>
      </c>
      <c r="AB33" s="48" t="s">
        <v>2056</v>
      </c>
      <c r="AC33" s="48" t="s">
        <v>2056</v>
      </c>
      <c r="AD33" s="48" t="s">
        <v>2057</v>
      </c>
      <c r="AE33" s="48" t="s">
        <v>51</v>
      </c>
      <c r="AF33" s="48" t="s">
        <v>1998</v>
      </c>
      <c r="AG33" s="48">
        <v>118</v>
      </c>
      <c r="AH33" s="48">
        <v>16</v>
      </c>
      <c r="AI33" s="48">
        <v>24</v>
      </c>
      <c r="AJ33" s="48">
        <v>93</v>
      </c>
      <c r="AK33" s="48">
        <v>24</v>
      </c>
      <c r="AL33" s="48">
        <v>30</v>
      </c>
      <c r="AM33" s="48">
        <v>101.5</v>
      </c>
      <c r="AN33" s="48">
        <v>49</v>
      </c>
      <c r="AO33" s="48">
        <v>99</v>
      </c>
      <c r="AP33" s="48">
        <v>80</v>
      </c>
      <c r="AQ33" s="48">
        <v>23</v>
      </c>
      <c r="AR33" s="48">
        <v>31</v>
      </c>
      <c r="AS33" s="48">
        <v>77</v>
      </c>
      <c r="AT33" s="48">
        <v>30</v>
      </c>
      <c r="AU33" s="48">
        <v>48</v>
      </c>
      <c r="AV33" s="48">
        <v>65</v>
      </c>
      <c r="AW33" s="48">
        <v>12</v>
      </c>
      <c r="AX33" s="48">
        <v>15</v>
      </c>
      <c r="AY33" s="48">
        <v>534.5</v>
      </c>
      <c r="AZ33" s="48">
        <v>27</v>
      </c>
      <c r="BA33" s="48">
        <v>30</v>
      </c>
    </row>
    <row r="34" spans="1:53" ht="15" hidden="1" customHeight="1">
      <c r="A34" s="48" t="s">
        <v>151</v>
      </c>
      <c r="B34" s="48" t="s">
        <v>151</v>
      </c>
      <c r="C34" s="48" t="s">
        <v>152</v>
      </c>
      <c r="D34" s="48" t="s">
        <v>50</v>
      </c>
      <c r="E34" s="48" t="s">
        <v>84</v>
      </c>
      <c r="F34" s="48">
        <v>112</v>
      </c>
      <c r="G34" s="48">
        <v>11</v>
      </c>
      <c r="H34" s="48">
        <v>226</v>
      </c>
      <c r="I34" s="48">
        <v>141</v>
      </c>
      <c r="J34" s="48">
        <v>2</v>
      </c>
      <c r="K34" s="48">
        <v>11</v>
      </c>
      <c r="L34" s="48">
        <v>111.5</v>
      </c>
      <c r="M34" s="48">
        <v>26</v>
      </c>
      <c r="N34" s="48">
        <v>427</v>
      </c>
      <c r="O34" s="48">
        <v>86</v>
      </c>
      <c r="P34" s="48">
        <v>6</v>
      </c>
      <c r="Q34" s="48">
        <v>101</v>
      </c>
      <c r="R34" s="48">
        <v>94</v>
      </c>
      <c r="S34" s="48">
        <v>2</v>
      </c>
      <c r="T34" s="48">
        <v>78</v>
      </c>
      <c r="U34" s="48">
        <v>88</v>
      </c>
      <c r="V34" s="48">
        <v>1</v>
      </c>
      <c r="W34" s="48">
        <v>1</v>
      </c>
      <c r="X34" s="48">
        <v>632.5</v>
      </c>
      <c r="Y34" s="48">
        <v>2</v>
      </c>
      <c r="Z34" s="48">
        <v>31</v>
      </c>
      <c r="AB34" s="48" t="s">
        <v>2058</v>
      </c>
      <c r="AC34" s="48" t="s">
        <v>2058</v>
      </c>
      <c r="AD34" s="48" t="s">
        <v>2059</v>
      </c>
      <c r="AE34" s="48" t="s">
        <v>51</v>
      </c>
      <c r="AF34" s="48" t="s">
        <v>1998</v>
      </c>
      <c r="AG34" s="48">
        <v>120</v>
      </c>
      <c r="AH34" s="48">
        <v>7</v>
      </c>
      <c r="AI34" s="48">
        <v>12</v>
      </c>
      <c r="AJ34" s="48">
        <v>90</v>
      </c>
      <c r="AK34" s="48">
        <v>27</v>
      </c>
      <c r="AL34" s="48">
        <v>34</v>
      </c>
      <c r="AM34" s="48">
        <v>118.5</v>
      </c>
      <c r="AN34" s="48">
        <v>31</v>
      </c>
      <c r="AO34" s="48">
        <v>47</v>
      </c>
      <c r="AP34" s="48">
        <v>73</v>
      </c>
      <c r="AQ34" s="48">
        <v>42</v>
      </c>
      <c r="AR34" s="48">
        <v>83</v>
      </c>
      <c r="AS34" s="48">
        <v>82</v>
      </c>
      <c r="AT34" s="48">
        <v>16</v>
      </c>
      <c r="AU34" s="48">
        <v>19</v>
      </c>
      <c r="AV34" s="48">
        <v>49</v>
      </c>
      <c r="AW34" s="48">
        <v>48</v>
      </c>
      <c r="AX34" s="48">
        <v>81</v>
      </c>
      <c r="AY34" s="48">
        <v>532.5</v>
      </c>
      <c r="AZ34" s="48">
        <v>28</v>
      </c>
      <c r="BA34" s="48">
        <v>31</v>
      </c>
    </row>
    <row r="35" spans="1:53" ht="15" hidden="1" customHeight="1">
      <c r="A35" s="48" t="s">
        <v>153</v>
      </c>
      <c r="B35" s="48" t="s">
        <v>153</v>
      </c>
      <c r="C35" s="48" t="s">
        <v>154</v>
      </c>
      <c r="D35" s="48" t="s">
        <v>50</v>
      </c>
      <c r="E35" s="48" t="s">
        <v>106</v>
      </c>
      <c r="F35" s="48">
        <v>119</v>
      </c>
      <c r="G35" s="48">
        <v>4</v>
      </c>
      <c r="H35" s="48">
        <v>51</v>
      </c>
      <c r="I35" s="48">
        <v>126</v>
      </c>
      <c r="J35" s="48">
        <v>3</v>
      </c>
      <c r="K35" s="48">
        <v>86</v>
      </c>
      <c r="L35" s="48">
        <v>124.5</v>
      </c>
      <c r="M35" s="48">
        <v>6</v>
      </c>
      <c r="N35" s="48">
        <v>103</v>
      </c>
      <c r="O35" s="48">
        <v>83</v>
      </c>
      <c r="P35" s="48">
        <v>10</v>
      </c>
      <c r="Q35" s="48">
        <v>153</v>
      </c>
      <c r="R35" s="48">
        <v>95</v>
      </c>
      <c r="S35" s="48">
        <v>2</v>
      </c>
      <c r="T35" s="48">
        <v>60</v>
      </c>
      <c r="U35" s="48">
        <v>83</v>
      </c>
      <c r="V35" s="48">
        <v>2</v>
      </c>
      <c r="W35" s="48">
        <v>30</v>
      </c>
      <c r="X35" s="48">
        <v>630.5</v>
      </c>
      <c r="Y35" s="48">
        <v>2</v>
      </c>
      <c r="Z35" s="48">
        <v>32</v>
      </c>
      <c r="AB35" s="48" t="s">
        <v>2060</v>
      </c>
      <c r="AC35" s="48" t="s">
        <v>2060</v>
      </c>
      <c r="AD35" s="48" t="s">
        <v>2061</v>
      </c>
      <c r="AE35" s="48" t="s">
        <v>51</v>
      </c>
      <c r="AF35" s="48" t="s">
        <v>2010</v>
      </c>
      <c r="AG35" s="48">
        <v>126</v>
      </c>
      <c r="AH35" s="48">
        <v>1</v>
      </c>
      <c r="AI35" s="48">
        <v>2</v>
      </c>
      <c r="AJ35" s="48">
        <v>84</v>
      </c>
      <c r="AK35" s="48">
        <v>7</v>
      </c>
      <c r="AL35" s="48">
        <v>45</v>
      </c>
      <c r="AM35" s="48">
        <v>113</v>
      </c>
      <c r="AN35" s="48">
        <v>14</v>
      </c>
      <c r="AO35" s="48">
        <v>61</v>
      </c>
      <c r="AP35" s="48">
        <v>79</v>
      </c>
      <c r="AQ35" s="48">
        <v>5</v>
      </c>
      <c r="AR35" s="48">
        <v>35</v>
      </c>
      <c r="AS35" s="48">
        <v>77</v>
      </c>
      <c r="AT35" s="48">
        <v>11</v>
      </c>
      <c r="AU35" s="48">
        <v>48</v>
      </c>
      <c r="AV35" s="48">
        <v>53</v>
      </c>
      <c r="AW35" s="48">
        <v>8</v>
      </c>
      <c r="AX35" s="48">
        <v>59</v>
      </c>
      <c r="AY35" s="48">
        <v>532</v>
      </c>
      <c r="AZ35" s="48">
        <v>3</v>
      </c>
      <c r="BA35" s="48">
        <v>32</v>
      </c>
    </row>
    <row r="36" spans="1:53" ht="15" customHeight="1">
      <c r="A36" s="48" t="s">
        <v>155</v>
      </c>
      <c r="B36" s="48" t="s">
        <v>155</v>
      </c>
      <c r="C36" s="48" t="s">
        <v>156</v>
      </c>
      <c r="D36" s="48" t="s">
        <v>50</v>
      </c>
      <c r="E36" s="48" t="s">
        <v>87</v>
      </c>
      <c r="F36" s="48">
        <v>110</v>
      </c>
      <c r="G36" s="48">
        <v>37</v>
      </c>
      <c r="H36" s="48">
        <v>310</v>
      </c>
      <c r="I36" s="48">
        <v>130</v>
      </c>
      <c r="J36" s="48">
        <v>13</v>
      </c>
      <c r="K36" s="48">
        <v>54</v>
      </c>
      <c r="L36" s="48">
        <v>131.5</v>
      </c>
      <c r="M36" s="48">
        <v>7</v>
      </c>
      <c r="N36" s="48">
        <v>25</v>
      </c>
      <c r="O36" s="48">
        <v>84</v>
      </c>
      <c r="P36" s="48">
        <v>27</v>
      </c>
      <c r="Q36" s="48">
        <v>131</v>
      </c>
      <c r="R36" s="48">
        <v>89</v>
      </c>
      <c r="S36" s="48">
        <v>42</v>
      </c>
      <c r="T36" s="48">
        <v>200</v>
      </c>
      <c r="U36" s="48">
        <v>85</v>
      </c>
      <c r="V36" s="48">
        <v>4</v>
      </c>
      <c r="W36" s="48">
        <v>14</v>
      </c>
      <c r="X36" s="48">
        <v>629.5</v>
      </c>
      <c r="Y36" s="48">
        <v>20</v>
      </c>
      <c r="Z36" s="48">
        <v>33</v>
      </c>
      <c r="AB36" s="48" t="s">
        <v>2062</v>
      </c>
      <c r="AC36" s="48" t="s">
        <v>2062</v>
      </c>
      <c r="AD36" s="48" t="s">
        <v>2063</v>
      </c>
      <c r="AE36" s="48" t="s">
        <v>51</v>
      </c>
      <c r="AF36" s="48" t="s">
        <v>2010</v>
      </c>
      <c r="AG36" s="48">
        <v>112</v>
      </c>
      <c r="AH36" s="48">
        <v>9</v>
      </c>
      <c r="AI36" s="48">
        <v>51</v>
      </c>
      <c r="AJ36" s="48">
        <v>100</v>
      </c>
      <c r="AK36" s="48">
        <v>2</v>
      </c>
      <c r="AL36" s="48">
        <v>25</v>
      </c>
      <c r="AM36" s="48">
        <v>111</v>
      </c>
      <c r="AN36" s="48">
        <v>18</v>
      </c>
      <c r="AO36" s="48">
        <v>67</v>
      </c>
      <c r="AP36" s="48">
        <v>79</v>
      </c>
      <c r="AQ36" s="48">
        <v>5</v>
      </c>
      <c r="AR36" s="48">
        <v>35</v>
      </c>
      <c r="AS36" s="48">
        <v>81</v>
      </c>
      <c r="AT36" s="48">
        <v>4</v>
      </c>
      <c r="AU36" s="48">
        <v>22</v>
      </c>
      <c r="AV36" s="48">
        <v>48</v>
      </c>
      <c r="AW36" s="48">
        <v>20</v>
      </c>
      <c r="AX36" s="48">
        <v>87</v>
      </c>
      <c r="AY36" s="48">
        <v>531</v>
      </c>
      <c r="AZ36" s="48">
        <v>4</v>
      </c>
      <c r="BA36" s="48">
        <v>33</v>
      </c>
    </row>
    <row r="37" spans="1:53" ht="15" hidden="1" customHeight="1">
      <c r="A37" s="48" t="s">
        <v>157</v>
      </c>
      <c r="B37" s="48" t="s">
        <v>157</v>
      </c>
      <c r="C37" s="48" t="s">
        <v>158</v>
      </c>
      <c r="D37" s="48" t="s">
        <v>50</v>
      </c>
      <c r="E37" s="48" t="s">
        <v>122</v>
      </c>
      <c r="F37" s="48">
        <v>109</v>
      </c>
      <c r="G37" s="48">
        <v>33</v>
      </c>
      <c r="H37" s="48">
        <v>353</v>
      </c>
      <c r="I37" s="48">
        <v>134</v>
      </c>
      <c r="J37" s="48">
        <v>4</v>
      </c>
      <c r="K37" s="48">
        <v>35</v>
      </c>
      <c r="L37" s="48">
        <v>122.5</v>
      </c>
      <c r="M37" s="48">
        <v>12</v>
      </c>
      <c r="N37" s="48">
        <v>146</v>
      </c>
      <c r="O37" s="48">
        <v>89</v>
      </c>
      <c r="P37" s="48">
        <v>6</v>
      </c>
      <c r="Q37" s="48">
        <v>79</v>
      </c>
      <c r="R37" s="48">
        <v>96</v>
      </c>
      <c r="S37" s="48">
        <v>6</v>
      </c>
      <c r="T37" s="48">
        <v>45</v>
      </c>
      <c r="U37" s="48">
        <v>78</v>
      </c>
      <c r="V37" s="48">
        <v>10</v>
      </c>
      <c r="W37" s="48">
        <v>133</v>
      </c>
      <c r="X37" s="48">
        <v>628.5</v>
      </c>
      <c r="Y37" s="48">
        <v>3</v>
      </c>
      <c r="Z37" s="48">
        <v>34</v>
      </c>
      <c r="AB37" s="48" t="s">
        <v>2064</v>
      </c>
      <c r="AC37" s="48" t="s">
        <v>2064</v>
      </c>
      <c r="AD37" s="48" t="s">
        <v>2065</v>
      </c>
      <c r="AE37" s="48" t="s">
        <v>51</v>
      </c>
      <c r="AF37" s="48" t="s">
        <v>2039</v>
      </c>
      <c r="AG37" s="48">
        <v>109</v>
      </c>
      <c r="AH37" s="48">
        <v>16</v>
      </c>
      <c r="AI37" s="48">
        <v>74</v>
      </c>
      <c r="AJ37" s="48">
        <v>113</v>
      </c>
      <c r="AK37" s="48">
        <v>1</v>
      </c>
      <c r="AL37" s="48">
        <v>13</v>
      </c>
      <c r="AM37" s="48">
        <v>103.5</v>
      </c>
      <c r="AN37" s="48">
        <v>20</v>
      </c>
      <c r="AO37" s="48">
        <v>92</v>
      </c>
      <c r="AP37" s="48">
        <v>78</v>
      </c>
      <c r="AQ37" s="48">
        <v>9</v>
      </c>
      <c r="AR37" s="48">
        <v>46</v>
      </c>
      <c r="AS37" s="48">
        <v>75</v>
      </c>
      <c r="AT37" s="48">
        <v>11</v>
      </c>
      <c r="AU37" s="48">
        <v>59</v>
      </c>
      <c r="AV37" s="48">
        <v>52</v>
      </c>
      <c r="AW37" s="48">
        <v>14</v>
      </c>
      <c r="AX37" s="48">
        <v>68</v>
      </c>
      <c r="AY37" s="48">
        <v>530.5</v>
      </c>
      <c r="AZ37" s="48">
        <v>2</v>
      </c>
      <c r="BA37" s="48">
        <v>34</v>
      </c>
    </row>
    <row r="38" spans="1:53" ht="15" hidden="1" customHeight="1">
      <c r="A38" s="48" t="s">
        <v>159</v>
      </c>
      <c r="B38" s="48" t="s">
        <v>159</v>
      </c>
      <c r="C38" s="48" t="s">
        <v>160</v>
      </c>
      <c r="D38" s="48" t="s">
        <v>50</v>
      </c>
      <c r="E38" s="48" t="s">
        <v>92</v>
      </c>
      <c r="F38" s="48">
        <v>105</v>
      </c>
      <c r="G38" s="48">
        <v>21</v>
      </c>
      <c r="H38" s="48">
        <v>515</v>
      </c>
      <c r="I38" s="48">
        <v>147</v>
      </c>
      <c r="J38" s="48">
        <v>1</v>
      </c>
      <c r="K38" s="48">
        <v>1</v>
      </c>
      <c r="L38" s="48">
        <v>124.5</v>
      </c>
      <c r="M38" s="48">
        <v>5</v>
      </c>
      <c r="N38" s="48">
        <v>103</v>
      </c>
      <c r="O38" s="48">
        <v>93</v>
      </c>
      <c r="P38" s="48">
        <v>3</v>
      </c>
      <c r="Q38" s="48">
        <v>39</v>
      </c>
      <c r="R38" s="48">
        <v>84</v>
      </c>
      <c r="S38" s="48">
        <v>23</v>
      </c>
      <c r="T38" s="48">
        <v>379</v>
      </c>
      <c r="U38" s="48">
        <v>75</v>
      </c>
      <c r="V38" s="48">
        <v>17</v>
      </c>
      <c r="W38" s="48">
        <v>219</v>
      </c>
      <c r="X38" s="48">
        <v>628.5</v>
      </c>
      <c r="Y38" s="48">
        <v>2</v>
      </c>
      <c r="Z38" s="48">
        <v>34</v>
      </c>
      <c r="AB38" s="48" t="s">
        <v>2066</v>
      </c>
      <c r="AC38" s="48" t="s">
        <v>2066</v>
      </c>
      <c r="AD38" s="48" t="s">
        <v>2067</v>
      </c>
      <c r="AE38" s="48" t="s">
        <v>51</v>
      </c>
      <c r="AF38" s="48" t="s">
        <v>1998</v>
      </c>
      <c r="AG38" s="48">
        <v>112</v>
      </c>
      <c r="AH38" s="48">
        <v>33</v>
      </c>
      <c r="AI38" s="48">
        <v>51</v>
      </c>
      <c r="AJ38" s="48">
        <v>73</v>
      </c>
      <c r="AK38" s="48">
        <v>41</v>
      </c>
      <c r="AL38" s="48">
        <v>69</v>
      </c>
      <c r="AM38" s="48">
        <v>117</v>
      </c>
      <c r="AN38" s="48">
        <v>34</v>
      </c>
      <c r="AO38" s="48">
        <v>51</v>
      </c>
      <c r="AP38" s="48">
        <v>81</v>
      </c>
      <c r="AQ38" s="48">
        <v>19</v>
      </c>
      <c r="AR38" s="48">
        <v>23</v>
      </c>
      <c r="AS38" s="48">
        <v>82</v>
      </c>
      <c r="AT38" s="48">
        <v>16</v>
      </c>
      <c r="AU38" s="48">
        <v>19</v>
      </c>
      <c r="AV38" s="48">
        <v>65</v>
      </c>
      <c r="AW38" s="48">
        <v>12</v>
      </c>
      <c r="AX38" s="48">
        <v>15</v>
      </c>
      <c r="AY38" s="48">
        <v>530</v>
      </c>
      <c r="AZ38" s="48">
        <v>29</v>
      </c>
      <c r="BA38" s="48">
        <v>35</v>
      </c>
    </row>
    <row r="39" spans="1:53" ht="15" customHeight="1">
      <c r="A39" s="48" t="s">
        <v>161</v>
      </c>
      <c r="B39" s="48" t="s">
        <v>161</v>
      </c>
      <c r="C39" s="48" t="s">
        <v>162</v>
      </c>
      <c r="D39" s="48" t="s">
        <v>50</v>
      </c>
      <c r="E39" s="48" t="s">
        <v>87</v>
      </c>
      <c r="F39" s="48">
        <v>107</v>
      </c>
      <c r="G39" s="48">
        <v>41</v>
      </c>
      <c r="H39" s="48">
        <v>429</v>
      </c>
      <c r="I39" s="48">
        <v>139</v>
      </c>
      <c r="J39" s="48">
        <v>4</v>
      </c>
      <c r="K39" s="48">
        <v>21</v>
      </c>
      <c r="L39" s="48">
        <v>116</v>
      </c>
      <c r="M39" s="48">
        <v>45</v>
      </c>
      <c r="N39" s="48">
        <v>309</v>
      </c>
      <c r="O39" s="48">
        <v>93</v>
      </c>
      <c r="P39" s="48">
        <v>12</v>
      </c>
      <c r="Q39" s="48">
        <v>39</v>
      </c>
      <c r="R39" s="48">
        <v>95</v>
      </c>
      <c r="S39" s="48">
        <v>29</v>
      </c>
      <c r="T39" s="48">
        <v>60</v>
      </c>
      <c r="U39" s="48">
        <v>78</v>
      </c>
      <c r="V39" s="48">
        <v>24</v>
      </c>
      <c r="W39" s="48">
        <v>133</v>
      </c>
      <c r="X39" s="48">
        <v>628</v>
      </c>
      <c r="Y39" s="48">
        <v>21</v>
      </c>
      <c r="Z39" s="48">
        <v>36</v>
      </c>
      <c r="AB39" s="48" t="s">
        <v>2068</v>
      </c>
      <c r="AC39" s="48" t="s">
        <v>2068</v>
      </c>
      <c r="AD39" s="48" t="s">
        <v>2069</v>
      </c>
      <c r="AE39" s="48" t="s">
        <v>51</v>
      </c>
      <c r="AF39" s="48" t="s">
        <v>1998</v>
      </c>
      <c r="AG39" s="48">
        <v>120</v>
      </c>
      <c r="AH39" s="48">
        <v>7</v>
      </c>
      <c r="AI39" s="48">
        <v>12</v>
      </c>
      <c r="AJ39" s="48">
        <v>84</v>
      </c>
      <c r="AK39" s="48">
        <v>33</v>
      </c>
      <c r="AL39" s="48">
        <v>45</v>
      </c>
      <c r="AM39" s="48">
        <v>115.5</v>
      </c>
      <c r="AN39" s="48">
        <v>35</v>
      </c>
      <c r="AO39" s="48">
        <v>52</v>
      </c>
      <c r="AP39" s="48">
        <v>84</v>
      </c>
      <c r="AQ39" s="48">
        <v>10</v>
      </c>
      <c r="AR39" s="48">
        <v>12</v>
      </c>
      <c r="AS39" s="48">
        <v>79</v>
      </c>
      <c r="AT39" s="48">
        <v>25</v>
      </c>
      <c r="AU39" s="48">
        <v>35</v>
      </c>
      <c r="AV39" s="48">
        <v>47</v>
      </c>
      <c r="AW39" s="48">
        <v>50</v>
      </c>
      <c r="AX39" s="48">
        <v>91</v>
      </c>
      <c r="AY39" s="48">
        <v>529.5</v>
      </c>
      <c r="AZ39" s="48">
        <v>30</v>
      </c>
      <c r="BA39" s="48">
        <v>36</v>
      </c>
    </row>
    <row r="40" spans="1:53" ht="15" customHeight="1">
      <c r="A40" s="48" t="s">
        <v>163</v>
      </c>
      <c r="B40" s="48" t="s">
        <v>163</v>
      </c>
      <c r="C40" s="48" t="s">
        <v>164</v>
      </c>
      <c r="D40" s="48" t="s">
        <v>50</v>
      </c>
      <c r="E40" s="48" t="s">
        <v>87</v>
      </c>
      <c r="F40" s="48">
        <v>119</v>
      </c>
      <c r="G40" s="48">
        <v>15</v>
      </c>
      <c r="H40" s="48">
        <v>51</v>
      </c>
      <c r="I40" s="48">
        <v>121</v>
      </c>
      <c r="J40" s="48">
        <v>29</v>
      </c>
      <c r="K40" s="48">
        <v>131</v>
      </c>
      <c r="L40" s="48">
        <v>125.5</v>
      </c>
      <c r="M40" s="48">
        <v>25</v>
      </c>
      <c r="N40" s="48">
        <v>87</v>
      </c>
      <c r="O40" s="48">
        <v>81</v>
      </c>
      <c r="P40" s="48">
        <v>38</v>
      </c>
      <c r="Q40" s="48">
        <v>195</v>
      </c>
      <c r="R40" s="48">
        <v>100</v>
      </c>
      <c r="S40" s="48">
        <v>1</v>
      </c>
      <c r="T40" s="48">
        <v>1</v>
      </c>
      <c r="U40" s="48">
        <v>81</v>
      </c>
      <c r="V40" s="48">
        <v>13</v>
      </c>
      <c r="W40" s="48">
        <v>66</v>
      </c>
      <c r="X40" s="48">
        <v>627.5</v>
      </c>
      <c r="Y40" s="48">
        <v>22</v>
      </c>
      <c r="Z40" s="48">
        <v>37</v>
      </c>
      <c r="AB40" s="48" t="s">
        <v>2070</v>
      </c>
      <c r="AC40" s="48" t="s">
        <v>2070</v>
      </c>
      <c r="AD40" s="48" t="s">
        <v>2071</v>
      </c>
      <c r="AE40" s="48" t="s">
        <v>51</v>
      </c>
      <c r="AF40" s="48" t="s">
        <v>2039</v>
      </c>
      <c r="AG40" s="48">
        <v>117</v>
      </c>
      <c r="AH40" s="48">
        <v>5</v>
      </c>
      <c r="AI40" s="48">
        <v>27</v>
      </c>
      <c r="AJ40" s="48">
        <v>98</v>
      </c>
      <c r="AK40" s="48">
        <v>4</v>
      </c>
      <c r="AL40" s="48">
        <v>26</v>
      </c>
      <c r="AM40" s="48">
        <v>129.5</v>
      </c>
      <c r="AN40" s="48">
        <v>1</v>
      </c>
      <c r="AO40" s="48">
        <v>9</v>
      </c>
      <c r="AP40" s="48">
        <v>82</v>
      </c>
      <c r="AQ40" s="48">
        <v>4</v>
      </c>
      <c r="AR40" s="48">
        <v>20</v>
      </c>
      <c r="AS40" s="48">
        <v>59</v>
      </c>
      <c r="AT40" s="48">
        <v>30</v>
      </c>
      <c r="AU40" s="48">
        <v>113</v>
      </c>
      <c r="AV40" s="48">
        <v>44</v>
      </c>
      <c r="AW40" s="48">
        <v>25</v>
      </c>
      <c r="AX40" s="48">
        <v>101</v>
      </c>
      <c r="AY40" s="48">
        <v>529.5</v>
      </c>
      <c r="AZ40" s="48">
        <v>3</v>
      </c>
      <c r="BA40" s="48">
        <v>36</v>
      </c>
    </row>
    <row r="41" spans="1:53" ht="15" hidden="1" customHeight="1">
      <c r="A41" s="48" t="s">
        <v>165</v>
      </c>
      <c r="B41" s="48" t="s">
        <v>165</v>
      </c>
      <c r="C41" s="48" t="s">
        <v>166</v>
      </c>
      <c r="D41" s="48" t="s">
        <v>50</v>
      </c>
      <c r="E41" s="48" t="s">
        <v>84</v>
      </c>
      <c r="F41" s="48">
        <v>127</v>
      </c>
      <c r="G41" s="48">
        <v>2</v>
      </c>
      <c r="H41" s="48">
        <v>4</v>
      </c>
      <c r="I41" s="48">
        <v>128</v>
      </c>
      <c r="J41" s="48">
        <v>4</v>
      </c>
      <c r="K41" s="48">
        <v>70</v>
      </c>
      <c r="L41" s="48">
        <v>119</v>
      </c>
      <c r="M41" s="48">
        <v>12</v>
      </c>
      <c r="N41" s="48">
        <v>237</v>
      </c>
      <c r="O41" s="48">
        <v>76</v>
      </c>
      <c r="P41" s="48">
        <v>15</v>
      </c>
      <c r="Q41" s="48">
        <v>302</v>
      </c>
      <c r="R41" s="48">
        <v>95</v>
      </c>
      <c r="S41" s="48">
        <v>1</v>
      </c>
      <c r="T41" s="48">
        <v>60</v>
      </c>
      <c r="U41" s="48">
        <v>82</v>
      </c>
      <c r="V41" s="48">
        <v>3</v>
      </c>
      <c r="W41" s="48">
        <v>46</v>
      </c>
      <c r="X41" s="48">
        <v>627</v>
      </c>
      <c r="Y41" s="48">
        <v>3</v>
      </c>
      <c r="Z41" s="48">
        <v>38</v>
      </c>
      <c r="AB41" s="48" t="s">
        <v>2072</v>
      </c>
      <c r="AC41" s="48" t="s">
        <v>2072</v>
      </c>
      <c r="AD41" s="48" t="s">
        <v>2073</v>
      </c>
      <c r="AE41" s="48" t="s">
        <v>51</v>
      </c>
      <c r="AF41" s="48" t="s">
        <v>1998</v>
      </c>
      <c r="AG41" s="48">
        <v>118</v>
      </c>
      <c r="AH41" s="48">
        <v>16</v>
      </c>
      <c r="AI41" s="48">
        <v>24</v>
      </c>
      <c r="AJ41" s="48">
        <v>80</v>
      </c>
      <c r="AK41" s="48">
        <v>37</v>
      </c>
      <c r="AL41" s="48">
        <v>56</v>
      </c>
      <c r="AM41" s="48">
        <v>121.5</v>
      </c>
      <c r="AN41" s="48">
        <v>26</v>
      </c>
      <c r="AO41" s="48">
        <v>40</v>
      </c>
      <c r="AP41" s="48">
        <v>77</v>
      </c>
      <c r="AQ41" s="48">
        <v>31</v>
      </c>
      <c r="AR41" s="48">
        <v>52</v>
      </c>
      <c r="AS41" s="48">
        <v>76</v>
      </c>
      <c r="AT41" s="48">
        <v>35</v>
      </c>
      <c r="AU41" s="48">
        <v>54</v>
      </c>
      <c r="AV41" s="48">
        <v>55</v>
      </c>
      <c r="AW41" s="48">
        <v>35</v>
      </c>
      <c r="AX41" s="48">
        <v>49</v>
      </c>
      <c r="AY41" s="48">
        <v>527.5</v>
      </c>
      <c r="AZ41" s="48">
        <v>31</v>
      </c>
      <c r="BA41" s="48">
        <v>38</v>
      </c>
    </row>
    <row r="42" spans="1:53" ht="15" hidden="1" customHeight="1">
      <c r="A42" s="48" t="s">
        <v>167</v>
      </c>
      <c r="B42" s="48" t="s">
        <v>167</v>
      </c>
      <c r="C42" s="48" t="s">
        <v>168</v>
      </c>
      <c r="D42" s="48" t="s">
        <v>50</v>
      </c>
      <c r="E42" s="48" t="s">
        <v>169</v>
      </c>
      <c r="F42" s="48">
        <v>115</v>
      </c>
      <c r="G42" s="48">
        <v>9</v>
      </c>
      <c r="H42" s="48">
        <v>140</v>
      </c>
      <c r="I42" s="48">
        <v>140</v>
      </c>
      <c r="J42" s="48">
        <v>1</v>
      </c>
      <c r="K42" s="48">
        <v>15</v>
      </c>
      <c r="L42" s="48">
        <v>118</v>
      </c>
      <c r="M42" s="48">
        <v>16</v>
      </c>
      <c r="N42" s="48">
        <v>263</v>
      </c>
      <c r="O42" s="48">
        <v>84</v>
      </c>
      <c r="P42" s="48">
        <v>8</v>
      </c>
      <c r="Q42" s="48">
        <v>131</v>
      </c>
      <c r="R42" s="48">
        <v>95</v>
      </c>
      <c r="S42" s="48">
        <v>2</v>
      </c>
      <c r="T42" s="48">
        <v>60</v>
      </c>
      <c r="U42" s="48">
        <v>75</v>
      </c>
      <c r="V42" s="48">
        <v>10</v>
      </c>
      <c r="W42" s="48">
        <v>219</v>
      </c>
      <c r="X42" s="48">
        <v>627</v>
      </c>
      <c r="Y42" s="48">
        <v>1</v>
      </c>
      <c r="Z42" s="48">
        <v>38</v>
      </c>
      <c r="AB42" s="48" t="s">
        <v>2074</v>
      </c>
      <c r="AC42" s="48" t="s">
        <v>2074</v>
      </c>
      <c r="AD42" s="48" t="s">
        <v>2075</v>
      </c>
      <c r="AE42" s="48" t="s">
        <v>51</v>
      </c>
      <c r="AF42" s="48" t="s">
        <v>2039</v>
      </c>
      <c r="AG42" s="48">
        <v>112</v>
      </c>
      <c r="AH42" s="48">
        <v>11</v>
      </c>
      <c r="AI42" s="48">
        <v>51</v>
      </c>
      <c r="AJ42" s="48">
        <v>80</v>
      </c>
      <c r="AK42" s="48">
        <v>10</v>
      </c>
      <c r="AL42" s="48">
        <v>56</v>
      </c>
      <c r="AM42" s="48">
        <v>115.5</v>
      </c>
      <c r="AN42" s="48">
        <v>7</v>
      </c>
      <c r="AO42" s="48">
        <v>52</v>
      </c>
      <c r="AP42" s="48">
        <v>87</v>
      </c>
      <c r="AQ42" s="48">
        <v>1</v>
      </c>
      <c r="AR42" s="48">
        <v>6</v>
      </c>
      <c r="AS42" s="48">
        <v>73</v>
      </c>
      <c r="AT42" s="48">
        <v>14</v>
      </c>
      <c r="AU42" s="48">
        <v>66</v>
      </c>
      <c r="AV42" s="48">
        <v>59</v>
      </c>
      <c r="AW42" s="48">
        <v>6</v>
      </c>
      <c r="AX42" s="48">
        <v>29</v>
      </c>
      <c r="AY42" s="48">
        <v>526.5</v>
      </c>
      <c r="AZ42" s="48">
        <v>4</v>
      </c>
      <c r="BA42" s="48">
        <v>39</v>
      </c>
    </row>
    <row r="43" spans="1:53" ht="15" hidden="1" customHeight="1">
      <c r="A43" s="48" t="s">
        <v>170</v>
      </c>
      <c r="B43" s="48" t="s">
        <v>170</v>
      </c>
      <c r="C43" s="48" t="s">
        <v>171</v>
      </c>
      <c r="D43" s="48" t="s">
        <v>50</v>
      </c>
      <c r="E43" s="48" t="s">
        <v>172</v>
      </c>
      <c r="F43" s="48">
        <v>116</v>
      </c>
      <c r="G43" s="48">
        <v>5</v>
      </c>
      <c r="H43" s="48">
        <v>117</v>
      </c>
      <c r="I43" s="48">
        <v>131</v>
      </c>
      <c r="J43" s="48">
        <v>4</v>
      </c>
      <c r="K43" s="48">
        <v>48</v>
      </c>
      <c r="L43" s="48">
        <v>121.5</v>
      </c>
      <c r="M43" s="48">
        <v>5</v>
      </c>
      <c r="N43" s="48">
        <v>160</v>
      </c>
      <c r="O43" s="48">
        <v>90</v>
      </c>
      <c r="P43" s="48">
        <v>4</v>
      </c>
      <c r="Q43" s="48">
        <v>63</v>
      </c>
      <c r="R43" s="48">
        <v>94</v>
      </c>
      <c r="S43" s="48">
        <v>3</v>
      </c>
      <c r="T43" s="48">
        <v>78</v>
      </c>
      <c r="U43" s="48">
        <v>74</v>
      </c>
      <c r="V43" s="48">
        <v>11</v>
      </c>
      <c r="W43" s="48">
        <v>247</v>
      </c>
      <c r="X43" s="48">
        <v>626.5</v>
      </c>
      <c r="Y43" s="48">
        <v>1</v>
      </c>
      <c r="Z43" s="48">
        <v>40</v>
      </c>
      <c r="AB43" s="48" t="s">
        <v>2076</v>
      </c>
      <c r="AC43" s="48" t="s">
        <v>2076</v>
      </c>
      <c r="AD43" s="48" t="s">
        <v>2077</v>
      </c>
      <c r="AE43" s="48" t="s">
        <v>51</v>
      </c>
      <c r="AF43" s="48" t="s">
        <v>1998</v>
      </c>
      <c r="AG43" s="48">
        <v>108</v>
      </c>
      <c r="AH43" s="48">
        <v>43</v>
      </c>
      <c r="AI43" s="48">
        <v>78</v>
      </c>
      <c r="AJ43" s="48">
        <v>90</v>
      </c>
      <c r="AK43" s="48">
        <v>27</v>
      </c>
      <c r="AL43" s="48">
        <v>34</v>
      </c>
      <c r="AM43" s="48">
        <v>108</v>
      </c>
      <c r="AN43" s="48">
        <v>44</v>
      </c>
      <c r="AO43" s="48">
        <v>74</v>
      </c>
      <c r="AP43" s="48">
        <v>82</v>
      </c>
      <c r="AQ43" s="48">
        <v>17</v>
      </c>
      <c r="AR43" s="48">
        <v>20</v>
      </c>
      <c r="AS43" s="48">
        <v>79</v>
      </c>
      <c r="AT43" s="48">
        <v>25</v>
      </c>
      <c r="AU43" s="48">
        <v>35</v>
      </c>
      <c r="AV43" s="48">
        <v>55</v>
      </c>
      <c r="AW43" s="48">
        <v>35</v>
      </c>
      <c r="AX43" s="48">
        <v>49</v>
      </c>
      <c r="AY43" s="48">
        <v>522</v>
      </c>
      <c r="AZ43" s="48">
        <v>32</v>
      </c>
      <c r="BA43" s="48">
        <v>40</v>
      </c>
    </row>
    <row r="44" spans="1:53" ht="15" customHeight="1">
      <c r="A44" s="48" t="s">
        <v>173</v>
      </c>
      <c r="B44" s="48" t="s">
        <v>173</v>
      </c>
      <c r="C44" s="48" t="s">
        <v>174</v>
      </c>
      <c r="D44" s="48" t="s">
        <v>50</v>
      </c>
      <c r="E44" s="48" t="s">
        <v>87</v>
      </c>
      <c r="F44" s="48">
        <v>112</v>
      </c>
      <c r="G44" s="48">
        <v>33</v>
      </c>
      <c r="H44" s="48">
        <v>226</v>
      </c>
      <c r="I44" s="48">
        <v>122</v>
      </c>
      <c r="J44" s="48">
        <v>25</v>
      </c>
      <c r="K44" s="48">
        <v>116</v>
      </c>
      <c r="L44" s="48">
        <v>123</v>
      </c>
      <c r="M44" s="48">
        <v>30</v>
      </c>
      <c r="N44" s="48">
        <v>132</v>
      </c>
      <c r="O44" s="48">
        <v>84</v>
      </c>
      <c r="P44" s="48">
        <v>27</v>
      </c>
      <c r="Q44" s="48">
        <v>131</v>
      </c>
      <c r="R44" s="48">
        <v>98</v>
      </c>
      <c r="S44" s="48">
        <v>10</v>
      </c>
      <c r="T44" s="48">
        <v>20</v>
      </c>
      <c r="U44" s="48">
        <v>87</v>
      </c>
      <c r="V44" s="48">
        <v>1</v>
      </c>
      <c r="W44" s="48">
        <v>2</v>
      </c>
      <c r="X44" s="48">
        <v>626</v>
      </c>
      <c r="Y44" s="48">
        <v>23</v>
      </c>
      <c r="Z44" s="48">
        <v>41</v>
      </c>
      <c r="AB44" s="48" t="s">
        <v>2078</v>
      </c>
      <c r="AC44" s="48" t="s">
        <v>2078</v>
      </c>
      <c r="AD44" s="48" t="s">
        <v>2079</v>
      </c>
      <c r="AE44" s="48" t="s">
        <v>51</v>
      </c>
      <c r="AF44" s="48" t="s">
        <v>2010</v>
      </c>
      <c r="AG44" s="48">
        <v>113</v>
      </c>
      <c r="AH44" s="48">
        <v>8</v>
      </c>
      <c r="AI44" s="48">
        <v>46</v>
      </c>
      <c r="AJ44" s="48">
        <v>88</v>
      </c>
      <c r="AK44" s="48">
        <v>5</v>
      </c>
      <c r="AL44" s="48">
        <v>38</v>
      </c>
      <c r="AM44" s="48">
        <v>118</v>
      </c>
      <c r="AN44" s="48">
        <v>11</v>
      </c>
      <c r="AO44" s="48">
        <v>49</v>
      </c>
      <c r="AP44" s="48">
        <v>75</v>
      </c>
      <c r="AQ44" s="48">
        <v>14</v>
      </c>
      <c r="AR44" s="48">
        <v>66</v>
      </c>
      <c r="AS44" s="48">
        <v>72</v>
      </c>
      <c r="AT44" s="48">
        <v>15</v>
      </c>
      <c r="AU44" s="48">
        <v>71</v>
      </c>
      <c r="AV44" s="48">
        <v>55</v>
      </c>
      <c r="AW44" s="48">
        <v>6</v>
      </c>
      <c r="AX44" s="48">
        <v>49</v>
      </c>
      <c r="AY44" s="48">
        <v>521</v>
      </c>
      <c r="AZ44" s="48">
        <v>5</v>
      </c>
      <c r="BA44" s="48">
        <v>41</v>
      </c>
    </row>
    <row r="45" spans="1:53" ht="15" customHeight="1">
      <c r="A45" s="48" t="s">
        <v>175</v>
      </c>
      <c r="B45" s="48" t="s">
        <v>175</v>
      </c>
      <c r="C45" s="48" t="s">
        <v>176</v>
      </c>
      <c r="D45" s="48" t="s">
        <v>50</v>
      </c>
      <c r="E45" s="48" t="s">
        <v>87</v>
      </c>
      <c r="F45" s="48">
        <v>121</v>
      </c>
      <c r="G45" s="48">
        <v>10</v>
      </c>
      <c r="H45" s="48">
        <v>30</v>
      </c>
      <c r="I45" s="48">
        <v>129</v>
      </c>
      <c r="J45" s="48">
        <v>17</v>
      </c>
      <c r="K45" s="48">
        <v>63</v>
      </c>
      <c r="L45" s="48">
        <v>128</v>
      </c>
      <c r="M45" s="48">
        <v>21</v>
      </c>
      <c r="N45" s="48">
        <v>58</v>
      </c>
      <c r="O45" s="48">
        <v>75</v>
      </c>
      <c r="P45" s="48">
        <v>46</v>
      </c>
      <c r="Q45" s="48">
        <v>324</v>
      </c>
      <c r="R45" s="48">
        <v>98</v>
      </c>
      <c r="S45" s="48">
        <v>10</v>
      </c>
      <c r="T45" s="48">
        <v>20</v>
      </c>
      <c r="U45" s="48">
        <v>75</v>
      </c>
      <c r="V45" s="48">
        <v>31</v>
      </c>
      <c r="W45" s="48">
        <v>219</v>
      </c>
      <c r="X45" s="48">
        <v>626</v>
      </c>
      <c r="Y45" s="48">
        <v>23</v>
      </c>
      <c r="Z45" s="48">
        <v>41</v>
      </c>
      <c r="AB45" s="48" t="s">
        <v>2080</v>
      </c>
      <c r="AC45" s="48" t="s">
        <v>2080</v>
      </c>
      <c r="AD45" s="48" t="s">
        <v>2081</v>
      </c>
      <c r="AE45" s="48" t="s">
        <v>51</v>
      </c>
      <c r="AF45" s="48" t="s">
        <v>1998</v>
      </c>
      <c r="AG45" s="48">
        <v>115</v>
      </c>
      <c r="AH45" s="48">
        <v>25</v>
      </c>
      <c r="AI45" s="48">
        <v>38</v>
      </c>
      <c r="AJ45" s="48">
        <v>74</v>
      </c>
      <c r="AK45" s="48">
        <v>40</v>
      </c>
      <c r="AL45" s="48">
        <v>66</v>
      </c>
      <c r="AM45" s="48">
        <v>110.5</v>
      </c>
      <c r="AN45" s="48">
        <v>40</v>
      </c>
      <c r="AO45" s="48">
        <v>68</v>
      </c>
      <c r="AP45" s="48">
        <v>80</v>
      </c>
      <c r="AQ45" s="48">
        <v>23</v>
      </c>
      <c r="AR45" s="48">
        <v>31</v>
      </c>
      <c r="AS45" s="48">
        <v>83</v>
      </c>
      <c r="AT45" s="48">
        <v>11</v>
      </c>
      <c r="AU45" s="48">
        <v>13</v>
      </c>
      <c r="AV45" s="48">
        <v>58</v>
      </c>
      <c r="AW45" s="48">
        <v>22</v>
      </c>
      <c r="AX45" s="48">
        <v>33</v>
      </c>
      <c r="AY45" s="48">
        <v>520.5</v>
      </c>
      <c r="AZ45" s="48">
        <v>33</v>
      </c>
      <c r="BA45" s="48">
        <v>42</v>
      </c>
    </row>
    <row r="46" spans="1:53" ht="15" customHeight="1">
      <c r="A46" s="48" t="s">
        <v>177</v>
      </c>
      <c r="B46" s="48" t="s">
        <v>177</v>
      </c>
      <c r="C46" s="48" t="s">
        <v>178</v>
      </c>
      <c r="D46" s="48" t="s">
        <v>50</v>
      </c>
      <c r="E46" s="48" t="s">
        <v>87</v>
      </c>
      <c r="F46" s="48">
        <v>121</v>
      </c>
      <c r="G46" s="48">
        <v>10</v>
      </c>
      <c r="H46" s="48">
        <v>30</v>
      </c>
      <c r="I46" s="48">
        <v>137</v>
      </c>
      <c r="J46" s="48">
        <v>6</v>
      </c>
      <c r="K46" s="48">
        <v>27</v>
      </c>
      <c r="L46" s="48">
        <v>114</v>
      </c>
      <c r="M46" s="48">
        <v>47</v>
      </c>
      <c r="N46" s="48">
        <v>356</v>
      </c>
      <c r="O46" s="48">
        <v>91</v>
      </c>
      <c r="P46" s="48">
        <v>18</v>
      </c>
      <c r="Q46" s="48">
        <v>56</v>
      </c>
      <c r="R46" s="48">
        <v>99</v>
      </c>
      <c r="S46" s="48">
        <v>7</v>
      </c>
      <c r="T46" s="48">
        <v>13</v>
      </c>
      <c r="U46" s="48">
        <v>64</v>
      </c>
      <c r="V46" s="48">
        <v>48</v>
      </c>
      <c r="W46" s="48">
        <v>593</v>
      </c>
      <c r="X46" s="48">
        <v>626</v>
      </c>
      <c r="Y46" s="48">
        <v>23</v>
      </c>
      <c r="Z46" s="48">
        <v>41</v>
      </c>
      <c r="AB46" s="48" t="s">
        <v>2082</v>
      </c>
      <c r="AC46" s="48" t="s">
        <v>2082</v>
      </c>
      <c r="AD46" s="48" t="s">
        <v>2083</v>
      </c>
      <c r="AE46" s="48" t="s">
        <v>51</v>
      </c>
      <c r="AF46" s="48" t="s">
        <v>2039</v>
      </c>
      <c r="AG46" s="48">
        <v>120</v>
      </c>
      <c r="AH46" s="48">
        <v>3</v>
      </c>
      <c r="AI46" s="48">
        <v>12</v>
      </c>
      <c r="AJ46" s="48">
        <v>78</v>
      </c>
      <c r="AK46" s="48">
        <v>12</v>
      </c>
      <c r="AL46" s="48">
        <v>60</v>
      </c>
      <c r="AM46" s="48">
        <v>104</v>
      </c>
      <c r="AN46" s="48">
        <v>19</v>
      </c>
      <c r="AO46" s="48">
        <v>91</v>
      </c>
      <c r="AP46" s="48">
        <v>79</v>
      </c>
      <c r="AQ46" s="48">
        <v>7</v>
      </c>
      <c r="AR46" s="48">
        <v>35</v>
      </c>
      <c r="AS46" s="48">
        <v>74</v>
      </c>
      <c r="AT46" s="48">
        <v>13</v>
      </c>
      <c r="AU46" s="48">
        <v>62</v>
      </c>
      <c r="AV46" s="48">
        <v>65</v>
      </c>
      <c r="AW46" s="48">
        <v>3</v>
      </c>
      <c r="AX46" s="48">
        <v>15</v>
      </c>
      <c r="AY46" s="48">
        <v>520</v>
      </c>
      <c r="AZ46" s="48">
        <v>5</v>
      </c>
      <c r="BA46" s="48">
        <v>43</v>
      </c>
    </row>
    <row r="47" spans="1:53" ht="15" hidden="1" customHeight="1">
      <c r="A47" s="48" t="s">
        <v>179</v>
      </c>
      <c r="B47" s="48" t="s">
        <v>179</v>
      </c>
      <c r="C47" s="48" t="s">
        <v>180</v>
      </c>
      <c r="D47" s="48" t="s">
        <v>50</v>
      </c>
      <c r="E47" s="48" t="s">
        <v>122</v>
      </c>
      <c r="F47" s="48">
        <v>117</v>
      </c>
      <c r="G47" s="48">
        <v>9</v>
      </c>
      <c r="H47" s="48">
        <v>86</v>
      </c>
      <c r="I47" s="48">
        <v>141</v>
      </c>
      <c r="J47" s="48">
        <v>2</v>
      </c>
      <c r="K47" s="48">
        <v>11</v>
      </c>
      <c r="L47" s="48">
        <v>107.5</v>
      </c>
      <c r="M47" s="48">
        <v>44</v>
      </c>
      <c r="N47" s="48">
        <v>532</v>
      </c>
      <c r="O47" s="48">
        <v>94</v>
      </c>
      <c r="P47" s="48">
        <v>2</v>
      </c>
      <c r="Q47" s="48">
        <v>35</v>
      </c>
      <c r="R47" s="48">
        <v>95</v>
      </c>
      <c r="S47" s="48">
        <v>10</v>
      </c>
      <c r="T47" s="48">
        <v>60</v>
      </c>
      <c r="U47" s="48">
        <v>71</v>
      </c>
      <c r="V47" s="48">
        <v>25</v>
      </c>
      <c r="W47" s="48">
        <v>342</v>
      </c>
      <c r="X47" s="48">
        <v>625.5</v>
      </c>
      <c r="Y47" s="48">
        <v>4</v>
      </c>
      <c r="Z47" s="48">
        <v>44</v>
      </c>
      <c r="AB47" s="48" t="s">
        <v>2084</v>
      </c>
      <c r="AC47" s="48" t="s">
        <v>2084</v>
      </c>
      <c r="AD47" s="48" t="s">
        <v>2085</v>
      </c>
      <c r="AE47" s="48" t="s">
        <v>51</v>
      </c>
      <c r="AF47" s="48" t="s">
        <v>1998</v>
      </c>
      <c r="AG47" s="48">
        <v>108</v>
      </c>
      <c r="AH47" s="48">
        <v>43</v>
      </c>
      <c r="AI47" s="48">
        <v>78</v>
      </c>
      <c r="AJ47" s="48">
        <v>83</v>
      </c>
      <c r="AK47" s="48">
        <v>35</v>
      </c>
      <c r="AL47" s="48">
        <v>49</v>
      </c>
      <c r="AM47" s="48">
        <v>124</v>
      </c>
      <c r="AN47" s="48">
        <v>24</v>
      </c>
      <c r="AO47" s="48">
        <v>36</v>
      </c>
      <c r="AP47" s="48">
        <v>88</v>
      </c>
      <c r="AQ47" s="48">
        <v>4</v>
      </c>
      <c r="AR47" s="48">
        <v>4</v>
      </c>
      <c r="AS47" s="48">
        <v>69</v>
      </c>
      <c r="AT47" s="48">
        <v>46</v>
      </c>
      <c r="AU47" s="48">
        <v>85</v>
      </c>
      <c r="AV47" s="48">
        <v>47</v>
      </c>
      <c r="AW47" s="48">
        <v>50</v>
      </c>
      <c r="AX47" s="48">
        <v>91</v>
      </c>
      <c r="AY47" s="48">
        <v>519</v>
      </c>
      <c r="AZ47" s="48">
        <v>34</v>
      </c>
      <c r="BA47" s="48">
        <v>44</v>
      </c>
    </row>
    <row r="48" spans="1:53" ht="15" hidden="1" customHeight="1">
      <c r="A48" s="48" t="s">
        <v>181</v>
      </c>
      <c r="B48" s="48" t="s">
        <v>181</v>
      </c>
      <c r="C48" s="48" t="s">
        <v>182</v>
      </c>
      <c r="D48" s="48" t="s">
        <v>50</v>
      </c>
      <c r="E48" s="48" t="s">
        <v>122</v>
      </c>
      <c r="F48" s="48">
        <v>109</v>
      </c>
      <c r="G48" s="48">
        <v>33</v>
      </c>
      <c r="H48" s="48">
        <v>353</v>
      </c>
      <c r="I48" s="48">
        <v>137</v>
      </c>
      <c r="J48" s="48">
        <v>3</v>
      </c>
      <c r="K48" s="48">
        <v>27</v>
      </c>
      <c r="L48" s="48">
        <v>110.5</v>
      </c>
      <c r="M48" s="48">
        <v>38</v>
      </c>
      <c r="N48" s="48">
        <v>465</v>
      </c>
      <c r="O48" s="48">
        <v>86</v>
      </c>
      <c r="P48" s="48">
        <v>8</v>
      </c>
      <c r="Q48" s="48">
        <v>101</v>
      </c>
      <c r="R48" s="48">
        <v>99</v>
      </c>
      <c r="S48" s="48">
        <v>2</v>
      </c>
      <c r="T48" s="48">
        <v>13</v>
      </c>
      <c r="U48" s="48">
        <v>83</v>
      </c>
      <c r="V48" s="48">
        <v>1</v>
      </c>
      <c r="W48" s="48">
        <v>30</v>
      </c>
      <c r="X48" s="48">
        <v>624.5</v>
      </c>
      <c r="Y48" s="48">
        <v>5</v>
      </c>
      <c r="Z48" s="48">
        <v>45</v>
      </c>
      <c r="AB48" s="48" t="s">
        <v>2086</v>
      </c>
      <c r="AC48" s="48" t="s">
        <v>2086</v>
      </c>
      <c r="AD48" s="48" t="s">
        <v>2087</v>
      </c>
      <c r="AE48" s="48" t="s">
        <v>51</v>
      </c>
      <c r="AF48" s="48" t="s">
        <v>1998</v>
      </c>
      <c r="AG48" s="48">
        <v>112</v>
      </c>
      <c r="AH48" s="48">
        <v>33</v>
      </c>
      <c r="AI48" s="48">
        <v>51</v>
      </c>
      <c r="AJ48" s="48">
        <v>92</v>
      </c>
      <c r="AK48" s="48">
        <v>26</v>
      </c>
      <c r="AL48" s="48">
        <v>32</v>
      </c>
      <c r="AM48" s="48">
        <v>109</v>
      </c>
      <c r="AN48" s="48">
        <v>42</v>
      </c>
      <c r="AO48" s="48">
        <v>70</v>
      </c>
      <c r="AP48" s="48">
        <v>69</v>
      </c>
      <c r="AQ48" s="48">
        <v>48</v>
      </c>
      <c r="AR48" s="48">
        <v>100</v>
      </c>
      <c r="AS48" s="48">
        <v>80</v>
      </c>
      <c r="AT48" s="48">
        <v>23</v>
      </c>
      <c r="AU48" s="48">
        <v>30</v>
      </c>
      <c r="AV48" s="48">
        <v>57</v>
      </c>
      <c r="AW48" s="48">
        <v>27</v>
      </c>
      <c r="AX48" s="48">
        <v>38</v>
      </c>
      <c r="AY48" s="48">
        <v>519</v>
      </c>
      <c r="AZ48" s="48">
        <v>34</v>
      </c>
      <c r="BA48" s="48">
        <v>44</v>
      </c>
    </row>
    <row r="49" spans="1:53" ht="15" customHeight="1">
      <c r="A49" s="48" t="s">
        <v>183</v>
      </c>
      <c r="B49" s="48" t="s">
        <v>183</v>
      </c>
      <c r="C49" s="48" t="s">
        <v>184</v>
      </c>
      <c r="D49" s="48" t="s">
        <v>50</v>
      </c>
      <c r="E49" s="48" t="s">
        <v>87</v>
      </c>
      <c r="F49" s="48">
        <v>112</v>
      </c>
      <c r="G49" s="48">
        <v>33</v>
      </c>
      <c r="H49" s="48">
        <v>226</v>
      </c>
      <c r="I49" s="48">
        <v>110</v>
      </c>
      <c r="J49" s="48">
        <v>40</v>
      </c>
      <c r="K49" s="48">
        <v>264</v>
      </c>
      <c r="L49" s="48">
        <v>128.5</v>
      </c>
      <c r="M49" s="48">
        <v>19</v>
      </c>
      <c r="N49" s="48">
        <v>53</v>
      </c>
      <c r="O49" s="48">
        <v>90</v>
      </c>
      <c r="P49" s="48">
        <v>22</v>
      </c>
      <c r="Q49" s="48">
        <v>63</v>
      </c>
      <c r="R49" s="48">
        <v>98</v>
      </c>
      <c r="S49" s="48">
        <v>10</v>
      </c>
      <c r="T49" s="48">
        <v>20</v>
      </c>
      <c r="U49" s="48">
        <v>85</v>
      </c>
      <c r="V49" s="48">
        <v>4</v>
      </c>
      <c r="W49" s="48">
        <v>14</v>
      </c>
      <c r="X49" s="48">
        <v>623.5</v>
      </c>
      <c r="Y49" s="48">
        <v>26</v>
      </c>
      <c r="Z49" s="48">
        <v>46</v>
      </c>
      <c r="AB49" s="48" t="s">
        <v>2088</v>
      </c>
      <c r="AC49" s="48" t="s">
        <v>2088</v>
      </c>
      <c r="AD49" s="48" t="s">
        <v>2089</v>
      </c>
      <c r="AE49" s="48" t="s">
        <v>51</v>
      </c>
      <c r="AF49" s="48" t="s">
        <v>2039</v>
      </c>
      <c r="AG49" s="48">
        <v>116</v>
      </c>
      <c r="AH49" s="48">
        <v>6</v>
      </c>
      <c r="AI49" s="48">
        <v>32</v>
      </c>
      <c r="AJ49" s="48">
        <v>75</v>
      </c>
      <c r="AK49" s="48">
        <v>13</v>
      </c>
      <c r="AL49" s="48">
        <v>64</v>
      </c>
      <c r="AM49" s="48">
        <v>94.5</v>
      </c>
      <c r="AN49" s="48">
        <v>33</v>
      </c>
      <c r="AO49" s="48">
        <v>113</v>
      </c>
      <c r="AP49" s="48">
        <v>81</v>
      </c>
      <c r="AQ49" s="48">
        <v>5</v>
      </c>
      <c r="AR49" s="48">
        <v>23</v>
      </c>
      <c r="AS49" s="48">
        <v>80</v>
      </c>
      <c r="AT49" s="48">
        <v>2</v>
      </c>
      <c r="AU49" s="48">
        <v>30</v>
      </c>
      <c r="AV49" s="48">
        <v>72</v>
      </c>
      <c r="AW49" s="48">
        <v>1</v>
      </c>
      <c r="AX49" s="48">
        <v>5</v>
      </c>
      <c r="AY49" s="48">
        <v>518.5</v>
      </c>
      <c r="AZ49" s="48">
        <v>6</v>
      </c>
      <c r="BA49" s="48">
        <v>46</v>
      </c>
    </row>
    <row r="50" spans="1:53" ht="15" hidden="1" customHeight="1">
      <c r="A50" s="48" t="s">
        <v>185</v>
      </c>
      <c r="B50" s="48" t="s">
        <v>185</v>
      </c>
      <c r="C50" s="48" t="s">
        <v>186</v>
      </c>
      <c r="D50" s="48" t="s">
        <v>50</v>
      </c>
      <c r="E50" s="48" t="s">
        <v>172</v>
      </c>
      <c r="F50" s="48">
        <v>93</v>
      </c>
      <c r="G50" s="48">
        <v>53</v>
      </c>
      <c r="H50" s="48">
        <v>868</v>
      </c>
      <c r="I50" s="48">
        <v>141</v>
      </c>
      <c r="J50" s="48">
        <v>2</v>
      </c>
      <c r="K50" s="48">
        <v>11</v>
      </c>
      <c r="L50" s="48">
        <v>109.5</v>
      </c>
      <c r="M50" s="48">
        <v>24</v>
      </c>
      <c r="N50" s="48">
        <v>490</v>
      </c>
      <c r="O50" s="48">
        <v>102</v>
      </c>
      <c r="P50" s="48">
        <v>1</v>
      </c>
      <c r="Q50" s="48">
        <v>9</v>
      </c>
      <c r="R50" s="48">
        <v>92</v>
      </c>
      <c r="S50" s="48">
        <v>5</v>
      </c>
      <c r="T50" s="48">
        <v>116</v>
      </c>
      <c r="U50" s="48">
        <v>86</v>
      </c>
      <c r="V50" s="48">
        <v>1</v>
      </c>
      <c r="W50" s="48">
        <v>7</v>
      </c>
      <c r="X50" s="48">
        <v>623.5</v>
      </c>
      <c r="Y50" s="48">
        <v>2</v>
      </c>
      <c r="Z50" s="48">
        <v>46</v>
      </c>
      <c r="AB50" s="48" t="s">
        <v>2090</v>
      </c>
      <c r="AC50" s="48" t="s">
        <v>2090</v>
      </c>
      <c r="AD50" s="48" t="s">
        <v>2091</v>
      </c>
      <c r="AE50" s="48" t="s">
        <v>51</v>
      </c>
      <c r="AF50" s="48" t="s">
        <v>2010</v>
      </c>
      <c r="AG50" s="48">
        <v>107</v>
      </c>
      <c r="AH50" s="48">
        <v>18</v>
      </c>
      <c r="AI50" s="48">
        <v>83</v>
      </c>
      <c r="AJ50" s="48">
        <v>78</v>
      </c>
      <c r="AK50" s="48">
        <v>11</v>
      </c>
      <c r="AL50" s="48">
        <v>60</v>
      </c>
      <c r="AM50" s="48">
        <v>122.5</v>
      </c>
      <c r="AN50" s="48">
        <v>8</v>
      </c>
      <c r="AO50" s="48">
        <v>39</v>
      </c>
      <c r="AP50" s="48">
        <v>79</v>
      </c>
      <c r="AQ50" s="48">
        <v>5</v>
      </c>
      <c r="AR50" s="48">
        <v>35</v>
      </c>
      <c r="AS50" s="48">
        <v>79</v>
      </c>
      <c r="AT50" s="48">
        <v>7</v>
      </c>
      <c r="AU50" s="48">
        <v>35</v>
      </c>
      <c r="AV50" s="48">
        <v>53</v>
      </c>
      <c r="AW50" s="48">
        <v>8</v>
      </c>
      <c r="AX50" s="48">
        <v>59</v>
      </c>
      <c r="AY50" s="48">
        <v>518.5</v>
      </c>
      <c r="AZ50" s="48">
        <v>6</v>
      </c>
      <c r="BA50" s="48">
        <v>46</v>
      </c>
    </row>
    <row r="51" spans="1:53" ht="15" hidden="1" customHeight="1">
      <c r="A51" s="48" t="s">
        <v>187</v>
      </c>
      <c r="B51" s="48" t="s">
        <v>187</v>
      </c>
      <c r="C51" s="48" t="s">
        <v>188</v>
      </c>
      <c r="D51" s="48" t="s">
        <v>50</v>
      </c>
      <c r="E51" s="48" t="s">
        <v>169</v>
      </c>
      <c r="F51" s="48">
        <v>105</v>
      </c>
      <c r="G51" s="48">
        <v>32</v>
      </c>
      <c r="H51" s="48">
        <v>515</v>
      </c>
      <c r="I51" s="48">
        <v>125</v>
      </c>
      <c r="J51" s="48">
        <v>5</v>
      </c>
      <c r="K51" s="48">
        <v>94</v>
      </c>
      <c r="L51" s="48">
        <v>125</v>
      </c>
      <c r="M51" s="48">
        <v>3</v>
      </c>
      <c r="N51" s="48">
        <v>96</v>
      </c>
      <c r="O51" s="48">
        <v>97</v>
      </c>
      <c r="P51" s="48">
        <v>3</v>
      </c>
      <c r="Q51" s="48">
        <v>21</v>
      </c>
      <c r="R51" s="48">
        <v>85</v>
      </c>
      <c r="S51" s="48">
        <v>13</v>
      </c>
      <c r="T51" s="48">
        <v>339</v>
      </c>
      <c r="U51" s="48">
        <v>86</v>
      </c>
      <c r="V51" s="48">
        <v>1</v>
      </c>
      <c r="W51" s="48">
        <v>7</v>
      </c>
      <c r="X51" s="48">
        <v>623</v>
      </c>
      <c r="Y51" s="48">
        <v>2</v>
      </c>
      <c r="Z51" s="48">
        <v>48</v>
      </c>
      <c r="AB51" s="48" t="s">
        <v>2092</v>
      </c>
      <c r="AC51" s="48" t="s">
        <v>2092</v>
      </c>
      <c r="AD51" s="48" t="s">
        <v>2093</v>
      </c>
      <c r="AE51" s="48" t="s">
        <v>51</v>
      </c>
      <c r="AF51" s="48" t="s">
        <v>2039</v>
      </c>
      <c r="AG51" s="48">
        <v>100</v>
      </c>
      <c r="AH51" s="48">
        <v>26</v>
      </c>
      <c r="AI51" s="48">
        <v>102</v>
      </c>
      <c r="AJ51" s="48">
        <v>103</v>
      </c>
      <c r="AK51" s="48">
        <v>3</v>
      </c>
      <c r="AL51" s="48">
        <v>22</v>
      </c>
      <c r="AM51" s="48">
        <v>113</v>
      </c>
      <c r="AN51" s="48">
        <v>10</v>
      </c>
      <c r="AO51" s="48">
        <v>61</v>
      </c>
      <c r="AP51" s="48">
        <v>68</v>
      </c>
      <c r="AQ51" s="48">
        <v>28</v>
      </c>
      <c r="AR51" s="48">
        <v>102</v>
      </c>
      <c r="AS51" s="48">
        <v>78</v>
      </c>
      <c r="AT51" s="48">
        <v>7</v>
      </c>
      <c r="AU51" s="48">
        <v>46</v>
      </c>
      <c r="AV51" s="48">
        <v>56</v>
      </c>
      <c r="AW51" s="48">
        <v>8</v>
      </c>
      <c r="AX51" s="48">
        <v>43</v>
      </c>
      <c r="AY51" s="48">
        <v>518</v>
      </c>
      <c r="AZ51" s="48">
        <v>7</v>
      </c>
      <c r="BA51" s="48">
        <v>48</v>
      </c>
    </row>
    <row r="52" spans="1:53" ht="15" hidden="1" customHeight="1">
      <c r="A52" s="48" t="s">
        <v>189</v>
      </c>
      <c r="B52" s="48" t="s">
        <v>189</v>
      </c>
      <c r="C52" s="48" t="s">
        <v>190</v>
      </c>
      <c r="D52" s="48" t="s">
        <v>50</v>
      </c>
      <c r="E52" s="48" t="s">
        <v>169</v>
      </c>
      <c r="F52" s="48">
        <v>114</v>
      </c>
      <c r="G52" s="48">
        <v>10</v>
      </c>
      <c r="H52" s="48">
        <v>170</v>
      </c>
      <c r="I52" s="48">
        <v>127</v>
      </c>
      <c r="J52" s="48">
        <v>3</v>
      </c>
      <c r="K52" s="48">
        <v>78</v>
      </c>
      <c r="L52" s="48">
        <v>131</v>
      </c>
      <c r="M52" s="48">
        <v>2</v>
      </c>
      <c r="N52" s="48">
        <v>27</v>
      </c>
      <c r="O52" s="48">
        <v>99</v>
      </c>
      <c r="P52" s="48">
        <v>2</v>
      </c>
      <c r="Q52" s="48">
        <v>16</v>
      </c>
      <c r="R52" s="48">
        <v>80</v>
      </c>
      <c r="S52" s="48">
        <v>26</v>
      </c>
      <c r="T52" s="48">
        <v>511</v>
      </c>
      <c r="U52" s="48">
        <v>71</v>
      </c>
      <c r="V52" s="48">
        <v>19</v>
      </c>
      <c r="W52" s="48">
        <v>342</v>
      </c>
      <c r="X52" s="48">
        <v>622</v>
      </c>
      <c r="Y52" s="48">
        <v>3</v>
      </c>
      <c r="Z52" s="48">
        <v>49</v>
      </c>
      <c r="AB52" s="48" t="s">
        <v>2094</v>
      </c>
      <c r="AC52" s="48" t="s">
        <v>2094</v>
      </c>
      <c r="AD52" s="48" t="s">
        <v>2095</v>
      </c>
      <c r="AE52" s="48" t="s">
        <v>51</v>
      </c>
      <c r="AF52" s="48" t="s">
        <v>1998</v>
      </c>
      <c r="AG52" s="48">
        <v>118</v>
      </c>
      <c r="AH52" s="48">
        <v>16</v>
      </c>
      <c r="AI52" s="48">
        <v>24</v>
      </c>
      <c r="AJ52" s="48">
        <v>85</v>
      </c>
      <c r="AK52" s="48">
        <v>32</v>
      </c>
      <c r="AL52" s="48">
        <v>42</v>
      </c>
      <c r="AM52" s="48">
        <v>125.5</v>
      </c>
      <c r="AN52" s="48">
        <v>20</v>
      </c>
      <c r="AO52" s="48">
        <v>27</v>
      </c>
      <c r="AP52" s="48">
        <v>78</v>
      </c>
      <c r="AQ52" s="48">
        <v>28</v>
      </c>
      <c r="AR52" s="48">
        <v>46</v>
      </c>
      <c r="AS52" s="48">
        <v>68</v>
      </c>
      <c r="AT52" s="48">
        <v>48</v>
      </c>
      <c r="AU52" s="48">
        <v>93</v>
      </c>
      <c r="AV52" s="48">
        <v>43</v>
      </c>
      <c r="AW52" s="48">
        <v>52</v>
      </c>
      <c r="AX52" s="48">
        <v>104</v>
      </c>
      <c r="AY52" s="48">
        <v>517.5</v>
      </c>
      <c r="AZ52" s="48">
        <v>36</v>
      </c>
      <c r="BA52" s="48">
        <v>49</v>
      </c>
    </row>
    <row r="53" spans="1:53" ht="15" hidden="1" customHeight="1">
      <c r="A53" s="48" t="s">
        <v>191</v>
      </c>
      <c r="B53" s="48" t="s">
        <v>191</v>
      </c>
      <c r="C53" s="48" t="s">
        <v>192</v>
      </c>
      <c r="D53" s="48" t="s">
        <v>50</v>
      </c>
      <c r="E53" s="48" t="s">
        <v>150</v>
      </c>
      <c r="F53" s="48">
        <v>117</v>
      </c>
      <c r="G53" s="48">
        <v>2</v>
      </c>
      <c r="H53" s="48">
        <v>86</v>
      </c>
      <c r="I53" s="48">
        <v>114</v>
      </c>
      <c r="J53" s="48">
        <v>16</v>
      </c>
      <c r="K53" s="48">
        <v>215</v>
      </c>
      <c r="L53" s="48">
        <v>136</v>
      </c>
      <c r="M53" s="48">
        <v>1</v>
      </c>
      <c r="N53" s="48">
        <v>6</v>
      </c>
      <c r="O53" s="48">
        <v>80</v>
      </c>
      <c r="P53" s="48">
        <v>5</v>
      </c>
      <c r="Q53" s="48">
        <v>211</v>
      </c>
      <c r="R53" s="48">
        <v>93</v>
      </c>
      <c r="S53" s="48">
        <v>8</v>
      </c>
      <c r="T53" s="48">
        <v>93</v>
      </c>
      <c r="U53" s="48">
        <v>82</v>
      </c>
      <c r="V53" s="48">
        <v>4</v>
      </c>
      <c r="W53" s="48">
        <v>46</v>
      </c>
      <c r="X53" s="48">
        <v>622</v>
      </c>
      <c r="Y53" s="48">
        <v>2</v>
      </c>
      <c r="Z53" s="48">
        <v>49</v>
      </c>
      <c r="AB53" s="48" t="s">
        <v>2096</v>
      </c>
      <c r="AC53" s="48" t="s">
        <v>2096</v>
      </c>
      <c r="AD53" s="48" t="s">
        <v>2097</v>
      </c>
      <c r="AE53" s="48" t="s">
        <v>51</v>
      </c>
      <c r="AF53" s="48" t="s">
        <v>1998</v>
      </c>
      <c r="AG53" s="48">
        <v>115</v>
      </c>
      <c r="AH53" s="48">
        <v>25</v>
      </c>
      <c r="AI53" s="48">
        <v>38</v>
      </c>
      <c r="AJ53" s="48">
        <v>93</v>
      </c>
      <c r="AK53" s="48">
        <v>24</v>
      </c>
      <c r="AL53" s="48">
        <v>30</v>
      </c>
      <c r="AM53" s="48">
        <v>87</v>
      </c>
      <c r="AN53" s="48">
        <v>52</v>
      </c>
      <c r="AO53" s="48">
        <v>118</v>
      </c>
      <c r="AP53" s="48">
        <v>77</v>
      </c>
      <c r="AQ53" s="48">
        <v>31</v>
      </c>
      <c r="AR53" s="48">
        <v>52</v>
      </c>
      <c r="AS53" s="48">
        <v>88</v>
      </c>
      <c r="AT53" s="48">
        <v>4</v>
      </c>
      <c r="AU53" s="48">
        <v>4</v>
      </c>
      <c r="AV53" s="48">
        <v>57</v>
      </c>
      <c r="AW53" s="48">
        <v>27</v>
      </c>
      <c r="AX53" s="48">
        <v>38</v>
      </c>
      <c r="AY53" s="48">
        <v>517</v>
      </c>
      <c r="AZ53" s="48">
        <v>37</v>
      </c>
      <c r="BA53" s="48">
        <v>50</v>
      </c>
    </row>
    <row r="54" spans="1:53" ht="15" customHeight="1">
      <c r="A54" s="48" t="s">
        <v>193</v>
      </c>
      <c r="B54" s="48" t="s">
        <v>193</v>
      </c>
      <c r="C54" s="48" t="s">
        <v>194</v>
      </c>
      <c r="D54" s="48" t="s">
        <v>50</v>
      </c>
      <c r="E54" s="48" t="s">
        <v>87</v>
      </c>
      <c r="F54" s="48">
        <v>127</v>
      </c>
      <c r="G54" s="48">
        <v>1</v>
      </c>
      <c r="H54" s="48">
        <v>4</v>
      </c>
      <c r="I54" s="48">
        <v>118</v>
      </c>
      <c r="J54" s="48">
        <v>31</v>
      </c>
      <c r="K54" s="48">
        <v>162</v>
      </c>
      <c r="L54" s="48">
        <v>120.5</v>
      </c>
      <c r="M54" s="48">
        <v>39</v>
      </c>
      <c r="N54" s="48">
        <v>192</v>
      </c>
      <c r="O54" s="48">
        <v>84</v>
      </c>
      <c r="P54" s="48">
        <v>27</v>
      </c>
      <c r="Q54" s="48">
        <v>131</v>
      </c>
      <c r="R54" s="48">
        <v>92</v>
      </c>
      <c r="S54" s="48">
        <v>35</v>
      </c>
      <c r="T54" s="48">
        <v>116</v>
      </c>
      <c r="U54" s="48">
        <v>79</v>
      </c>
      <c r="V54" s="48">
        <v>20</v>
      </c>
      <c r="W54" s="48">
        <v>103</v>
      </c>
      <c r="X54" s="48">
        <v>620.5</v>
      </c>
      <c r="Y54" s="48">
        <v>27</v>
      </c>
      <c r="Z54" s="48">
        <v>51</v>
      </c>
      <c r="AB54" s="48" t="s">
        <v>2098</v>
      </c>
      <c r="AC54" s="48" t="s">
        <v>2098</v>
      </c>
      <c r="AD54" s="48" t="s">
        <v>2099</v>
      </c>
      <c r="AE54" s="48" t="s">
        <v>51</v>
      </c>
      <c r="AF54" s="48" t="s">
        <v>1998</v>
      </c>
      <c r="AG54" s="48">
        <v>111</v>
      </c>
      <c r="AH54" s="48">
        <v>37</v>
      </c>
      <c r="AI54" s="48">
        <v>61</v>
      </c>
      <c r="AJ54" s="48">
        <v>59</v>
      </c>
      <c r="AK54" s="48">
        <v>50</v>
      </c>
      <c r="AL54" s="48">
        <v>91</v>
      </c>
      <c r="AM54" s="48">
        <v>126</v>
      </c>
      <c r="AN54" s="48">
        <v>19</v>
      </c>
      <c r="AO54" s="48">
        <v>26</v>
      </c>
      <c r="AP54" s="48">
        <v>79</v>
      </c>
      <c r="AQ54" s="48">
        <v>25</v>
      </c>
      <c r="AR54" s="48">
        <v>35</v>
      </c>
      <c r="AS54" s="48">
        <v>85</v>
      </c>
      <c r="AT54" s="48">
        <v>8</v>
      </c>
      <c r="AU54" s="48">
        <v>8</v>
      </c>
      <c r="AV54" s="48">
        <v>56</v>
      </c>
      <c r="AW54" s="48">
        <v>31</v>
      </c>
      <c r="AX54" s="48">
        <v>43</v>
      </c>
      <c r="AY54" s="48">
        <v>516</v>
      </c>
      <c r="AZ54" s="48">
        <v>38</v>
      </c>
      <c r="BA54" s="48">
        <v>51</v>
      </c>
    </row>
    <row r="55" spans="1:53" ht="15" hidden="1" customHeight="1">
      <c r="A55" s="48" t="s">
        <v>195</v>
      </c>
      <c r="B55" s="48" t="s">
        <v>195</v>
      </c>
      <c r="C55" s="48" t="s">
        <v>196</v>
      </c>
      <c r="D55" s="48" t="s">
        <v>50</v>
      </c>
      <c r="E55" s="48" t="s">
        <v>133</v>
      </c>
      <c r="F55" s="48">
        <v>117</v>
      </c>
      <c r="G55" s="48">
        <v>5</v>
      </c>
      <c r="H55" s="48">
        <v>86</v>
      </c>
      <c r="I55" s="48">
        <v>126</v>
      </c>
      <c r="J55" s="48">
        <v>5</v>
      </c>
      <c r="K55" s="48">
        <v>86</v>
      </c>
      <c r="L55" s="48">
        <v>130</v>
      </c>
      <c r="M55" s="48">
        <v>3</v>
      </c>
      <c r="N55" s="48">
        <v>34</v>
      </c>
      <c r="O55" s="48">
        <v>79</v>
      </c>
      <c r="P55" s="48">
        <v>20</v>
      </c>
      <c r="Q55" s="48">
        <v>236</v>
      </c>
      <c r="R55" s="48">
        <v>90</v>
      </c>
      <c r="S55" s="48">
        <v>8</v>
      </c>
      <c r="T55" s="48">
        <v>177</v>
      </c>
      <c r="U55" s="48">
        <v>78</v>
      </c>
      <c r="V55" s="48">
        <v>13</v>
      </c>
      <c r="W55" s="48">
        <v>133</v>
      </c>
      <c r="X55" s="48">
        <v>620</v>
      </c>
      <c r="Y55" s="48">
        <v>2</v>
      </c>
      <c r="Z55" s="48">
        <v>52</v>
      </c>
      <c r="AB55" s="48" t="s">
        <v>2100</v>
      </c>
      <c r="AC55" s="48" t="s">
        <v>2100</v>
      </c>
      <c r="AD55" s="48" t="s">
        <v>2101</v>
      </c>
      <c r="AE55" s="48" t="s">
        <v>51</v>
      </c>
      <c r="AF55" s="48" t="s">
        <v>1998</v>
      </c>
      <c r="AG55" s="48">
        <v>111</v>
      </c>
      <c r="AH55" s="48">
        <v>37</v>
      </c>
      <c r="AI55" s="48">
        <v>61</v>
      </c>
      <c r="AJ55" s="48">
        <v>64</v>
      </c>
      <c r="AK55" s="48">
        <v>46</v>
      </c>
      <c r="AL55" s="48">
        <v>81</v>
      </c>
      <c r="AM55" s="48">
        <v>121.5</v>
      </c>
      <c r="AN55" s="48">
        <v>26</v>
      </c>
      <c r="AO55" s="48">
        <v>40</v>
      </c>
      <c r="AP55" s="48">
        <v>78</v>
      </c>
      <c r="AQ55" s="48">
        <v>28</v>
      </c>
      <c r="AR55" s="48">
        <v>46</v>
      </c>
      <c r="AS55" s="48">
        <v>81</v>
      </c>
      <c r="AT55" s="48">
        <v>18</v>
      </c>
      <c r="AU55" s="48">
        <v>22</v>
      </c>
      <c r="AV55" s="48">
        <v>59</v>
      </c>
      <c r="AW55" s="48">
        <v>21</v>
      </c>
      <c r="AX55" s="48">
        <v>29</v>
      </c>
      <c r="AY55" s="48">
        <v>514.5</v>
      </c>
      <c r="AZ55" s="48">
        <v>39</v>
      </c>
      <c r="BA55" s="48">
        <v>52</v>
      </c>
    </row>
    <row r="56" spans="1:53" ht="15" hidden="1" customHeight="1">
      <c r="A56" s="48" t="s">
        <v>197</v>
      </c>
      <c r="B56" s="48" t="s">
        <v>197</v>
      </c>
      <c r="C56" s="48" t="s">
        <v>198</v>
      </c>
      <c r="D56" s="48" t="s">
        <v>50</v>
      </c>
      <c r="E56" s="48" t="s">
        <v>106</v>
      </c>
      <c r="F56" s="48">
        <v>122</v>
      </c>
      <c r="G56" s="48">
        <v>3</v>
      </c>
      <c r="H56" s="48">
        <v>25</v>
      </c>
      <c r="I56" s="48">
        <v>121</v>
      </c>
      <c r="J56" s="48">
        <v>4</v>
      </c>
      <c r="K56" s="48">
        <v>131</v>
      </c>
      <c r="L56" s="48">
        <v>126.5</v>
      </c>
      <c r="M56" s="48">
        <v>3</v>
      </c>
      <c r="N56" s="48">
        <v>76</v>
      </c>
      <c r="O56" s="48">
        <v>95</v>
      </c>
      <c r="P56" s="48">
        <v>2</v>
      </c>
      <c r="Q56" s="48">
        <v>31</v>
      </c>
      <c r="R56" s="48">
        <v>83</v>
      </c>
      <c r="S56" s="48">
        <v>10</v>
      </c>
      <c r="T56" s="48">
        <v>407</v>
      </c>
      <c r="U56" s="48">
        <v>72</v>
      </c>
      <c r="V56" s="48">
        <v>11</v>
      </c>
      <c r="W56" s="48">
        <v>312</v>
      </c>
      <c r="X56" s="48">
        <v>619.5</v>
      </c>
      <c r="Y56" s="48">
        <v>3</v>
      </c>
      <c r="Z56" s="48">
        <v>53</v>
      </c>
      <c r="AB56" s="48" t="s">
        <v>2102</v>
      </c>
      <c r="AC56" s="48" t="s">
        <v>2102</v>
      </c>
      <c r="AD56" s="48" t="s">
        <v>2103</v>
      </c>
      <c r="AE56" s="48" t="s">
        <v>51</v>
      </c>
      <c r="AF56" s="48" t="s">
        <v>1998</v>
      </c>
      <c r="AG56" s="48">
        <v>113</v>
      </c>
      <c r="AH56" s="48">
        <v>31</v>
      </c>
      <c r="AI56" s="48">
        <v>46</v>
      </c>
      <c r="AJ56" s="48">
        <v>80</v>
      </c>
      <c r="AK56" s="48">
        <v>37</v>
      </c>
      <c r="AL56" s="48">
        <v>56</v>
      </c>
      <c r="AM56" s="48">
        <v>114.5</v>
      </c>
      <c r="AN56" s="48">
        <v>36</v>
      </c>
      <c r="AO56" s="48">
        <v>57</v>
      </c>
      <c r="AP56" s="48">
        <v>75</v>
      </c>
      <c r="AQ56" s="48">
        <v>37</v>
      </c>
      <c r="AR56" s="48">
        <v>66</v>
      </c>
      <c r="AS56" s="48">
        <v>79</v>
      </c>
      <c r="AT56" s="48">
        <v>25</v>
      </c>
      <c r="AU56" s="48">
        <v>35</v>
      </c>
      <c r="AV56" s="48">
        <v>52</v>
      </c>
      <c r="AW56" s="48">
        <v>44</v>
      </c>
      <c r="AX56" s="48">
        <v>68</v>
      </c>
      <c r="AY56" s="48">
        <v>513.5</v>
      </c>
      <c r="AZ56" s="48">
        <v>40</v>
      </c>
      <c r="BA56" s="48">
        <v>53</v>
      </c>
    </row>
    <row r="57" spans="1:53" ht="15" hidden="1" customHeight="1">
      <c r="A57" s="48" t="s">
        <v>199</v>
      </c>
      <c r="B57" s="48" t="s">
        <v>199</v>
      </c>
      <c r="C57" s="48" t="s">
        <v>200</v>
      </c>
      <c r="D57" s="48" t="s">
        <v>50</v>
      </c>
      <c r="E57" s="48" t="s">
        <v>111</v>
      </c>
      <c r="F57" s="48">
        <v>114</v>
      </c>
      <c r="G57" s="48">
        <v>8</v>
      </c>
      <c r="H57" s="48">
        <v>170</v>
      </c>
      <c r="I57" s="48">
        <v>127</v>
      </c>
      <c r="J57" s="48">
        <v>4</v>
      </c>
      <c r="K57" s="48">
        <v>78</v>
      </c>
      <c r="L57" s="48">
        <v>128.5</v>
      </c>
      <c r="M57" s="48">
        <v>5</v>
      </c>
      <c r="N57" s="48">
        <v>53</v>
      </c>
      <c r="O57" s="48">
        <v>81</v>
      </c>
      <c r="P57" s="48">
        <v>11</v>
      </c>
      <c r="Q57" s="48">
        <v>195</v>
      </c>
      <c r="R57" s="48">
        <v>97</v>
      </c>
      <c r="S57" s="48">
        <v>2</v>
      </c>
      <c r="T57" s="48">
        <v>30</v>
      </c>
      <c r="U57" s="48">
        <v>72</v>
      </c>
      <c r="V57" s="48">
        <v>13</v>
      </c>
      <c r="W57" s="48">
        <v>312</v>
      </c>
      <c r="X57" s="48">
        <v>619.5</v>
      </c>
      <c r="Y57" s="48">
        <v>2</v>
      </c>
      <c r="Z57" s="48">
        <v>53</v>
      </c>
      <c r="AB57" s="48" t="s">
        <v>2104</v>
      </c>
      <c r="AC57" s="48" t="s">
        <v>2104</v>
      </c>
      <c r="AD57" s="48" t="s">
        <v>2105</v>
      </c>
      <c r="AE57" s="48" t="s">
        <v>51</v>
      </c>
      <c r="AF57" s="48" t="s">
        <v>2010</v>
      </c>
      <c r="AG57" s="48">
        <v>119</v>
      </c>
      <c r="AH57" s="48">
        <v>4</v>
      </c>
      <c r="AI57" s="48">
        <v>21</v>
      </c>
      <c r="AJ57" s="48">
        <v>82</v>
      </c>
      <c r="AK57" s="48">
        <v>8</v>
      </c>
      <c r="AL57" s="48">
        <v>50</v>
      </c>
      <c r="AM57" s="48">
        <v>96.5</v>
      </c>
      <c r="AN57" s="48">
        <v>29</v>
      </c>
      <c r="AO57" s="48">
        <v>107</v>
      </c>
      <c r="AP57" s="48">
        <v>75</v>
      </c>
      <c r="AQ57" s="48">
        <v>14</v>
      </c>
      <c r="AR57" s="48">
        <v>66</v>
      </c>
      <c r="AS57" s="48">
        <v>85</v>
      </c>
      <c r="AT57" s="48">
        <v>1</v>
      </c>
      <c r="AU57" s="48">
        <v>8</v>
      </c>
      <c r="AV57" s="48">
        <v>55</v>
      </c>
      <c r="AW57" s="48">
        <v>6</v>
      </c>
      <c r="AX57" s="48">
        <v>49</v>
      </c>
      <c r="AY57" s="48">
        <v>512.5</v>
      </c>
      <c r="AZ57" s="48">
        <v>7</v>
      </c>
      <c r="BA57" s="48">
        <v>54</v>
      </c>
    </row>
    <row r="58" spans="1:53" ht="15" hidden="1" customHeight="1">
      <c r="A58" s="48" t="s">
        <v>201</v>
      </c>
      <c r="B58" s="48" t="s">
        <v>201</v>
      </c>
      <c r="C58" s="48" t="s">
        <v>202</v>
      </c>
      <c r="D58" s="48" t="s">
        <v>50</v>
      </c>
      <c r="E58" s="48" t="s">
        <v>203</v>
      </c>
      <c r="F58" s="48">
        <v>109</v>
      </c>
      <c r="G58" s="48">
        <v>19</v>
      </c>
      <c r="H58" s="48">
        <v>353</v>
      </c>
      <c r="I58" s="48">
        <v>124</v>
      </c>
      <c r="J58" s="48">
        <v>5</v>
      </c>
      <c r="K58" s="48">
        <v>101</v>
      </c>
      <c r="L58" s="48">
        <v>118.5</v>
      </c>
      <c r="M58" s="48">
        <v>10</v>
      </c>
      <c r="N58" s="48">
        <v>247</v>
      </c>
      <c r="O58" s="48">
        <v>91</v>
      </c>
      <c r="P58" s="48">
        <v>3</v>
      </c>
      <c r="Q58" s="48">
        <v>56</v>
      </c>
      <c r="R58" s="48">
        <v>100</v>
      </c>
      <c r="S58" s="48">
        <v>1</v>
      </c>
      <c r="T58" s="48">
        <v>1</v>
      </c>
      <c r="U58" s="48">
        <v>77</v>
      </c>
      <c r="V58" s="48">
        <v>7</v>
      </c>
      <c r="W58" s="48">
        <v>162</v>
      </c>
      <c r="X58" s="48">
        <v>619.5</v>
      </c>
      <c r="Y58" s="48">
        <v>1</v>
      </c>
      <c r="Z58" s="48">
        <v>53</v>
      </c>
      <c r="AB58" s="48" t="s">
        <v>2106</v>
      </c>
      <c r="AC58" s="48" t="s">
        <v>2106</v>
      </c>
      <c r="AD58" s="48" t="s">
        <v>2107</v>
      </c>
      <c r="AE58" s="48" t="s">
        <v>51</v>
      </c>
      <c r="AF58" s="48" t="s">
        <v>1998</v>
      </c>
      <c r="AG58" s="48">
        <v>113</v>
      </c>
      <c r="AH58" s="48">
        <v>31</v>
      </c>
      <c r="AI58" s="48">
        <v>46</v>
      </c>
      <c r="AJ58" s="48">
        <v>63</v>
      </c>
      <c r="AK58" s="48">
        <v>47</v>
      </c>
      <c r="AL58" s="48">
        <v>83</v>
      </c>
      <c r="AM58" s="48">
        <v>121.5</v>
      </c>
      <c r="AN58" s="48">
        <v>26</v>
      </c>
      <c r="AO58" s="48">
        <v>40</v>
      </c>
      <c r="AP58" s="48">
        <v>81</v>
      </c>
      <c r="AQ58" s="48">
        <v>19</v>
      </c>
      <c r="AR58" s="48">
        <v>23</v>
      </c>
      <c r="AS58" s="48">
        <v>71</v>
      </c>
      <c r="AT58" s="48">
        <v>44</v>
      </c>
      <c r="AU58" s="48">
        <v>77</v>
      </c>
      <c r="AV58" s="48">
        <v>62</v>
      </c>
      <c r="AW58" s="48">
        <v>18</v>
      </c>
      <c r="AX58" s="48">
        <v>22</v>
      </c>
      <c r="AY58" s="48">
        <v>511.5</v>
      </c>
      <c r="AZ58" s="48">
        <v>41</v>
      </c>
      <c r="BA58" s="48">
        <v>55</v>
      </c>
    </row>
    <row r="59" spans="1:53" ht="15" customHeight="1">
      <c r="A59" s="48" t="s">
        <v>204</v>
      </c>
      <c r="B59" s="48" t="s">
        <v>204</v>
      </c>
      <c r="C59" s="48" t="s">
        <v>205</v>
      </c>
      <c r="D59" s="48" t="s">
        <v>50</v>
      </c>
      <c r="E59" s="48" t="s">
        <v>87</v>
      </c>
      <c r="F59" s="48">
        <v>127</v>
      </c>
      <c r="G59" s="48">
        <v>1</v>
      </c>
      <c r="H59" s="48">
        <v>4</v>
      </c>
      <c r="I59" s="48">
        <v>130</v>
      </c>
      <c r="J59" s="48">
        <v>13</v>
      </c>
      <c r="K59" s="48">
        <v>54</v>
      </c>
      <c r="L59" s="48">
        <v>121</v>
      </c>
      <c r="M59" s="48">
        <v>36</v>
      </c>
      <c r="N59" s="48">
        <v>173</v>
      </c>
      <c r="O59" s="48">
        <v>86</v>
      </c>
      <c r="P59" s="48">
        <v>26</v>
      </c>
      <c r="Q59" s="48">
        <v>101</v>
      </c>
      <c r="R59" s="48">
        <v>98</v>
      </c>
      <c r="S59" s="48">
        <v>10</v>
      </c>
      <c r="T59" s="48">
        <v>20</v>
      </c>
      <c r="U59" s="48">
        <v>57</v>
      </c>
      <c r="V59" s="48">
        <v>49</v>
      </c>
      <c r="W59" s="48">
        <v>770</v>
      </c>
      <c r="X59" s="48">
        <v>619</v>
      </c>
      <c r="Y59" s="48">
        <v>28</v>
      </c>
      <c r="Z59" s="48">
        <v>56</v>
      </c>
      <c r="AB59" s="48" t="s">
        <v>2108</v>
      </c>
      <c r="AC59" s="48" t="s">
        <v>2108</v>
      </c>
      <c r="AD59" s="48" t="s">
        <v>2109</v>
      </c>
      <c r="AE59" s="48" t="s">
        <v>51</v>
      </c>
      <c r="AF59" s="48" t="s">
        <v>2010</v>
      </c>
      <c r="AG59" s="48">
        <v>110</v>
      </c>
      <c r="AH59" s="48">
        <v>16</v>
      </c>
      <c r="AI59" s="48">
        <v>68</v>
      </c>
      <c r="AJ59" s="48">
        <v>68</v>
      </c>
      <c r="AK59" s="48">
        <v>16</v>
      </c>
      <c r="AL59" s="48">
        <v>74</v>
      </c>
      <c r="AM59" s="48">
        <v>124.5</v>
      </c>
      <c r="AN59" s="48">
        <v>6</v>
      </c>
      <c r="AO59" s="48">
        <v>33</v>
      </c>
      <c r="AP59" s="48">
        <v>74</v>
      </c>
      <c r="AQ59" s="48">
        <v>20</v>
      </c>
      <c r="AR59" s="48">
        <v>77</v>
      </c>
      <c r="AS59" s="48">
        <v>76</v>
      </c>
      <c r="AT59" s="48">
        <v>12</v>
      </c>
      <c r="AU59" s="48">
        <v>54</v>
      </c>
      <c r="AV59" s="48">
        <v>51</v>
      </c>
      <c r="AW59" s="48">
        <v>13</v>
      </c>
      <c r="AX59" s="48">
        <v>74</v>
      </c>
      <c r="AY59" s="48">
        <v>503.5</v>
      </c>
      <c r="AZ59" s="48">
        <v>8</v>
      </c>
      <c r="BA59" s="48">
        <v>56</v>
      </c>
    </row>
    <row r="60" spans="1:53" ht="15" hidden="1" customHeight="1">
      <c r="A60" s="48" t="s">
        <v>206</v>
      </c>
      <c r="B60" s="48" t="s">
        <v>206</v>
      </c>
      <c r="C60" s="48" t="s">
        <v>207</v>
      </c>
      <c r="D60" s="48" t="s">
        <v>50</v>
      </c>
      <c r="E60" s="48" t="s">
        <v>203</v>
      </c>
      <c r="F60" s="48">
        <v>127</v>
      </c>
      <c r="G60" s="48">
        <v>1</v>
      </c>
      <c r="H60" s="48">
        <v>4</v>
      </c>
      <c r="I60" s="48">
        <v>128</v>
      </c>
      <c r="J60" s="48">
        <v>3</v>
      </c>
      <c r="K60" s="48">
        <v>70</v>
      </c>
      <c r="L60" s="48">
        <v>124.5</v>
      </c>
      <c r="M60" s="48">
        <v>3</v>
      </c>
      <c r="N60" s="48">
        <v>103</v>
      </c>
      <c r="O60" s="48">
        <v>82</v>
      </c>
      <c r="P60" s="48">
        <v>8</v>
      </c>
      <c r="Q60" s="48">
        <v>171</v>
      </c>
      <c r="R60" s="48">
        <v>97</v>
      </c>
      <c r="S60" s="48">
        <v>2</v>
      </c>
      <c r="T60" s="48">
        <v>30</v>
      </c>
      <c r="U60" s="48">
        <v>59</v>
      </c>
      <c r="V60" s="48">
        <v>37</v>
      </c>
      <c r="W60" s="48">
        <v>729</v>
      </c>
      <c r="X60" s="48">
        <v>617.5</v>
      </c>
      <c r="Y60" s="48">
        <v>2</v>
      </c>
      <c r="Z60" s="48">
        <v>57</v>
      </c>
      <c r="AB60" s="48" t="s">
        <v>2110</v>
      </c>
      <c r="AC60" s="48" t="s">
        <v>2110</v>
      </c>
      <c r="AD60" s="48" t="s">
        <v>2111</v>
      </c>
      <c r="AE60" s="48" t="s">
        <v>51</v>
      </c>
      <c r="AF60" s="48" t="s">
        <v>1998</v>
      </c>
      <c r="AG60" s="48">
        <v>120</v>
      </c>
      <c r="AH60" s="48">
        <v>7</v>
      </c>
      <c r="AI60" s="48">
        <v>12</v>
      </c>
      <c r="AJ60" s="48">
        <v>60</v>
      </c>
      <c r="AK60" s="48">
        <v>49</v>
      </c>
      <c r="AL60" s="48">
        <v>88</v>
      </c>
      <c r="AM60" s="48">
        <v>128.5</v>
      </c>
      <c r="AN60" s="48">
        <v>11</v>
      </c>
      <c r="AO60" s="48">
        <v>14</v>
      </c>
      <c r="AP60" s="48">
        <v>73</v>
      </c>
      <c r="AQ60" s="48">
        <v>42</v>
      </c>
      <c r="AR60" s="48">
        <v>83</v>
      </c>
      <c r="AS60" s="48">
        <v>65</v>
      </c>
      <c r="AT60" s="48">
        <v>49</v>
      </c>
      <c r="AU60" s="48">
        <v>103</v>
      </c>
      <c r="AV60" s="48">
        <v>56</v>
      </c>
      <c r="AW60" s="48">
        <v>31</v>
      </c>
      <c r="AX60" s="48">
        <v>43</v>
      </c>
      <c r="AY60" s="48">
        <v>502.5</v>
      </c>
      <c r="AZ60" s="48">
        <v>42</v>
      </c>
      <c r="BA60" s="48">
        <v>57</v>
      </c>
    </row>
    <row r="61" spans="1:53" ht="15" hidden="1" customHeight="1">
      <c r="A61" s="48" t="s">
        <v>208</v>
      </c>
      <c r="B61" s="48" t="s">
        <v>208</v>
      </c>
      <c r="C61" s="48" t="s">
        <v>209</v>
      </c>
      <c r="D61" s="48" t="s">
        <v>50</v>
      </c>
      <c r="E61" s="48" t="s">
        <v>210</v>
      </c>
      <c r="F61" s="48">
        <v>112</v>
      </c>
      <c r="G61" s="48">
        <v>12</v>
      </c>
      <c r="H61" s="48">
        <v>226</v>
      </c>
      <c r="I61" s="48">
        <v>141</v>
      </c>
      <c r="J61" s="48">
        <v>1</v>
      </c>
      <c r="K61" s="48">
        <v>11</v>
      </c>
      <c r="L61" s="48">
        <v>127.5</v>
      </c>
      <c r="M61" s="48">
        <v>2</v>
      </c>
      <c r="N61" s="48">
        <v>63</v>
      </c>
      <c r="O61" s="48">
        <v>76</v>
      </c>
      <c r="P61" s="48">
        <v>15</v>
      </c>
      <c r="Q61" s="48">
        <v>302</v>
      </c>
      <c r="R61" s="48">
        <v>91</v>
      </c>
      <c r="S61" s="48">
        <v>5</v>
      </c>
      <c r="T61" s="48">
        <v>151</v>
      </c>
      <c r="U61" s="48">
        <v>70</v>
      </c>
      <c r="V61" s="48">
        <v>20</v>
      </c>
      <c r="W61" s="48">
        <v>380</v>
      </c>
      <c r="X61" s="48">
        <v>617.5</v>
      </c>
      <c r="Y61" s="48">
        <v>1</v>
      </c>
      <c r="Z61" s="48">
        <v>57</v>
      </c>
      <c r="AB61" s="48" t="s">
        <v>2112</v>
      </c>
      <c r="AC61" s="48" t="s">
        <v>2112</v>
      </c>
      <c r="AD61" s="48" t="s">
        <v>2113</v>
      </c>
      <c r="AE61" s="48" t="s">
        <v>51</v>
      </c>
      <c r="AF61" s="48" t="s">
        <v>2010</v>
      </c>
      <c r="AG61" s="48">
        <v>116</v>
      </c>
      <c r="AH61" s="48">
        <v>5</v>
      </c>
      <c r="AI61" s="48">
        <v>32</v>
      </c>
      <c r="AJ61" s="48">
        <v>82</v>
      </c>
      <c r="AK61" s="48">
        <v>8</v>
      </c>
      <c r="AL61" s="48">
        <v>50</v>
      </c>
      <c r="AM61" s="48">
        <v>114</v>
      </c>
      <c r="AN61" s="48">
        <v>13</v>
      </c>
      <c r="AO61" s="48">
        <v>60</v>
      </c>
      <c r="AP61" s="48">
        <v>75</v>
      </c>
      <c r="AQ61" s="48">
        <v>14</v>
      </c>
      <c r="AR61" s="48">
        <v>66</v>
      </c>
      <c r="AS61" s="48">
        <v>70</v>
      </c>
      <c r="AT61" s="48">
        <v>18</v>
      </c>
      <c r="AU61" s="48">
        <v>80</v>
      </c>
      <c r="AV61" s="48">
        <v>45</v>
      </c>
      <c r="AW61" s="48">
        <v>23</v>
      </c>
      <c r="AX61" s="48">
        <v>96</v>
      </c>
      <c r="AY61" s="48">
        <v>502</v>
      </c>
      <c r="AZ61" s="48">
        <v>9</v>
      </c>
      <c r="BA61" s="48">
        <v>58</v>
      </c>
    </row>
    <row r="62" spans="1:53" ht="15" hidden="1" customHeight="1">
      <c r="A62" s="48" t="s">
        <v>211</v>
      </c>
      <c r="B62" s="48" t="s">
        <v>211</v>
      </c>
      <c r="C62" s="48" t="s">
        <v>212</v>
      </c>
      <c r="D62" s="48" t="s">
        <v>50</v>
      </c>
      <c r="E62" s="48" t="s">
        <v>169</v>
      </c>
      <c r="F62" s="48">
        <v>109</v>
      </c>
      <c r="G62" s="48">
        <v>20</v>
      </c>
      <c r="H62" s="48">
        <v>353</v>
      </c>
      <c r="I62" s="48">
        <v>130</v>
      </c>
      <c r="J62" s="48">
        <v>2</v>
      </c>
      <c r="K62" s="48">
        <v>54</v>
      </c>
      <c r="L62" s="48">
        <v>121</v>
      </c>
      <c r="M62" s="48">
        <v>6</v>
      </c>
      <c r="N62" s="48">
        <v>173</v>
      </c>
      <c r="O62" s="48">
        <v>100</v>
      </c>
      <c r="P62" s="48">
        <v>1</v>
      </c>
      <c r="Q62" s="48">
        <v>13</v>
      </c>
      <c r="R62" s="48">
        <v>78</v>
      </c>
      <c r="S62" s="48">
        <v>31</v>
      </c>
      <c r="T62" s="48">
        <v>577</v>
      </c>
      <c r="U62" s="48">
        <v>79</v>
      </c>
      <c r="V62" s="48">
        <v>6</v>
      </c>
      <c r="W62" s="48">
        <v>103</v>
      </c>
      <c r="X62" s="48">
        <v>617</v>
      </c>
      <c r="Y62" s="48">
        <v>4</v>
      </c>
      <c r="Z62" s="48">
        <v>59</v>
      </c>
      <c r="AB62" s="48" t="s">
        <v>2114</v>
      </c>
      <c r="AC62" s="48" t="s">
        <v>2114</v>
      </c>
      <c r="AD62" s="48" t="s">
        <v>2115</v>
      </c>
      <c r="AE62" s="48" t="s">
        <v>51</v>
      </c>
      <c r="AF62" s="48" t="s">
        <v>2039</v>
      </c>
      <c r="AG62" s="48">
        <v>110</v>
      </c>
      <c r="AH62" s="48">
        <v>15</v>
      </c>
      <c r="AI62" s="48">
        <v>68</v>
      </c>
      <c r="AJ62" s="48">
        <v>86</v>
      </c>
      <c r="AK62" s="48">
        <v>5</v>
      </c>
      <c r="AL62" s="48">
        <v>41</v>
      </c>
      <c r="AM62" s="48">
        <v>102.5</v>
      </c>
      <c r="AN62" s="48">
        <v>23</v>
      </c>
      <c r="AO62" s="48">
        <v>95</v>
      </c>
      <c r="AP62" s="48">
        <v>83</v>
      </c>
      <c r="AQ62" s="48">
        <v>3</v>
      </c>
      <c r="AR62" s="48">
        <v>16</v>
      </c>
      <c r="AS62" s="48">
        <v>70</v>
      </c>
      <c r="AT62" s="48">
        <v>18</v>
      </c>
      <c r="AU62" s="48">
        <v>80</v>
      </c>
      <c r="AV62" s="48">
        <v>50</v>
      </c>
      <c r="AW62" s="48">
        <v>16</v>
      </c>
      <c r="AX62" s="48">
        <v>76</v>
      </c>
      <c r="AY62" s="48">
        <v>501.5</v>
      </c>
      <c r="AZ62" s="48">
        <v>8</v>
      </c>
      <c r="BA62" s="48">
        <v>59</v>
      </c>
    </row>
    <row r="63" spans="1:53" ht="15" hidden="1" customHeight="1">
      <c r="A63" s="48" t="s">
        <v>213</v>
      </c>
      <c r="B63" s="48" t="s">
        <v>213</v>
      </c>
      <c r="C63" s="48" t="s">
        <v>214</v>
      </c>
      <c r="D63" s="48" t="s">
        <v>50</v>
      </c>
      <c r="E63" s="48" t="s">
        <v>133</v>
      </c>
      <c r="F63" s="48">
        <v>112</v>
      </c>
      <c r="G63" s="48">
        <v>16</v>
      </c>
      <c r="H63" s="48">
        <v>226</v>
      </c>
      <c r="I63" s="48">
        <v>147</v>
      </c>
      <c r="J63" s="48">
        <v>1</v>
      </c>
      <c r="K63" s="48">
        <v>1</v>
      </c>
      <c r="L63" s="48">
        <v>75.5</v>
      </c>
      <c r="M63" s="48">
        <v>55</v>
      </c>
      <c r="N63" s="48">
        <v>913</v>
      </c>
      <c r="O63" s="48">
        <v>104</v>
      </c>
      <c r="P63" s="48">
        <v>1</v>
      </c>
      <c r="Q63" s="48">
        <v>3</v>
      </c>
      <c r="R63" s="48">
        <v>95</v>
      </c>
      <c r="S63" s="48">
        <v>1</v>
      </c>
      <c r="T63" s="48">
        <v>60</v>
      </c>
      <c r="U63" s="48">
        <v>82</v>
      </c>
      <c r="V63" s="48">
        <v>6</v>
      </c>
      <c r="W63" s="48">
        <v>46</v>
      </c>
      <c r="X63" s="48">
        <v>615.5</v>
      </c>
      <c r="Y63" s="48">
        <v>3</v>
      </c>
      <c r="Z63" s="48">
        <v>60</v>
      </c>
      <c r="AB63" s="48" t="s">
        <v>2116</v>
      </c>
      <c r="AC63" s="48" t="s">
        <v>2116</v>
      </c>
      <c r="AD63" s="48" t="s">
        <v>2117</v>
      </c>
      <c r="AE63" s="48" t="s">
        <v>51</v>
      </c>
      <c r="AF63" s="48" t="s">
        <v>2039</v>
      </c>
      <c r="AG63" s="48">
        <v>121</v>
      </c>
      <c r="AH63" s="48">
        <v>1</v>
      </c>
      <c r="AI63" s="48">
        <v>8</v>
      </c>
      <c r="AJ63" s="48">
        <v>65</v>
      </c>
      <c r="AK63" s="48">
        <v>16</v>
      </c>
      <c r="AL63" s="48">
        <v>79</v>
      </c>
      <c r="AM63" s="48">
        <v>128.5</v>
      </c>
      <c r="AN63" s="48">
        <v>2</v>
      </c>
      <c r="AO63" s="48">
        <v>14</v>
      </c>
      <c r="AP63" s="48">
        <v>67</v>
      </c>
      <c r="AQ63" s="48">
        <v>29</v>
      </c>
      <c r="AR63" s="48">
        <v>107</v>
      </c>
      <c r="AS63" s="48">
        <v>69</v>
      </c>
      <c r="AT63" s="48">
        <v>20</v>
      </c>
      <c r="AU63" s="48">
        <v>85</v>
      </c>
      <c r="AV63" s="48">
        <v>50</v>
      </c>
      <c r="AW63" s="48">
        <v>16</v>
      </c>
      <c r="AX63" s="48">
        <v>76</v>
      </c>
      <c r="AY63" s="48">
        <v>500.5</v>
      </c>
      <c r="AZ63" s="48">
        <v>9</v>
      </c>
      <c r="BA63" s="48">
        <v>60</v>
      </c>
    </row>
    <row r="64" spans="1:53" ht="15" hidden="1" customHeight="1">
      <c r="A64" s="48" t="s">
        <v>215</v>
      </c>
      <c r="B64" s="48" t="s">
        <v>215</v>
      </c>
      <c r="C64" s="48" t="s">
        <v>216</v>
      </c>
      <c r="D64" s="48" t="s">
        <v>50</v>
      </c>
      <c r="E64" s="48" t="s">
        <v>217</v>
      </c>
      <c r="F64" s="48">
        <v>127</v>
      </c>
      <c r="G64" s="48">
        <v>1</v>
      </c>
      <c r="H64" s="48">
        <v>4</v>
      </c>
      <c r="I64" s="48">
        <v>115</v>
      </c>
      <c r="J64" s="48">
        <v>10</v>
      </c>
      <c r="K64" s="48">
        <v>195</v>
      </c>
      <c r="L64" s="48">
        <v>123</v>
      </c>
      <c r="M64" s="48">
        <v>3</v>
      </c>
      <c r="N64" s="48">
        <v>132</v>
      </c>
      <c r="O64" s="48">
        <v>78</v>
      </c>
      <c r="P64" s="48">
        <v>12</v>
      </c>
      <c r="Q64" s="48">
        <v>256</v>
      </c>
      <c r="R64" s="48">
        <v>95</v>
      </c>
      <c r="S64" s="48">
        <v>1</v>
      </c>
      <c r="T64" s="48">
        <v>60</v>
      </c>
      <c r="U64" s="48">
        <v>77</v>
      </c>
      <c r="V64" s="48">
        <v>5</v>
      </c>
      <c r="W64" s="48">
        <v>162</v>
      </c>
      <c r="X64" s="48">
        <v>615</v>
      </c>
      <c r="Y64" s="48">
        <v>1</v>
      </c>
      <c r="Z64" s="48">
        <v>61</v>
      </c>
      <c r="AB64" s="48" t="s">
        <v>2118</v>
      </c>
      <c r="AC64" s="48" t="s">
        <v>2118</v>
      </c>
      <c r="AD64" s="48" t="s">
        <v>2119</v>
      </c>
      <c r="AE64" s="48" t="s">
        <v>51</v>
      </c>
      <c r="AF64" s="48" t="s">
        <v>1998</v>
      </c>
      <c r="AG64" s="48">
        <v>109</v>
      </c>
      <c r="AH64" s="48">
        <v>42</v>
      </c>
      <c r="AI64" s="48">
        <v>74</v>
      </c>
      <c r="AJ64" s="48">
        <v>66</v>
      </c>
      <c r="AK64" s="48">
        <v>45</v>
      </c>
      <c r="AL64" s="48">
        <v>77</v>
      </c>
      <c r="AM64" s="48">
        <v>108.5</v>
      </c>
      <c r="AN64" s="48">
        <v>43</v>
      </c>
      <c r="AO64" s="48">
        <v>71</v>
      </c>
      <c r="AP64" s="48">
        <v>81</v>
      </c>
      <c r="AQ64" s="48">
        <v>19</v>
      </c>
      <c r="AR64" s="48">
        <v>23</v>
      </c>
      <c r="AS64" s="48">
        <v>86</v>
      </c>
      <c r="AT64" s="48">
        <v>7</v>
      </c>
      <c r="AU64" s="48">
        <v>7</v>
      </c>
      <c r="AV64" s="48">
        <v>48</v>
      </c>
      <c r="AW64" s="48">
        <v>49</v>
      </c>
      <c r="AX64" s="48">
        <v>87</v>
      </c>
      <c r="AY64" s="48">
        <v>498.5</v>
      </c>
      <c r="AZ64" s="48">
        <v>43</v>
      </c>
      <c r="BA64" s="48">
        <v>61</v>
      </c>
    </row>
    <row r="65" spans="1:53" ht="15" hidden="1" customHeight="1">
      <c r="A65" s="48" t="s">
        <v>218</v>
      </c>
      <c r="B65" s="48" t="s">
        <v>218</v>
      </c>
      <c r="C65" s="48" t="s">
        <v>219</v>
      </c>
      <c r="D65" s="48" t="s">
        <v>50</v>
      </c>
      <c r="E65" s="48" t="s">
        <v>217</v>
      </c>
      <c r="F65" s="48">
        <v>121</v>
      </c>
      <c r="G65" s="48">
        <v>4</v>
      </c>
      <c r="H65" s="48">
        <v>30</v>
      </c>
      <c r="I65" s="48">
        <v>118</v>
      </c>
      <c r="J65" s="48">
        <v>7</v>
      </c>
      <c r="K65" s="48">
        <v>162</v>
      </c>
      <c r="L65" s="48">
        <v>114</v>
      </c>
      <c r="M65" s="48">
        <v>14</v>
      </c>
      <c r="N65" s="48">
        <v>356</v>
      </c>
      <c r="O65" s="48">
        <v>89</v>
      </c>
      <c r="P65" s="48">
        <v>4</v>
      </c>
      <c r="Q65" s="48">
        <v>79</v>
      </c>
      <c r="R65" s="48">
        <v>91</v>
      </c>
      <c r="S65" s="48">
        <v>5</v>
      </c>
      <c r="T65" s="48">
        <v>151</v>
      </c>
      <c r="U65" s="48">
        <v>82</v>
      </c>
      <c r="V65" s="48">
        <v>1</v>
      </c>
      <c r="W65" s="48">
        <v>46</v>
      </c>
      <c r="X65" s="48">
        <v>615</v>
      </c>
      <c r="Y65" s="48">
        <v>1</v>
      </c>
      <c r="Z65" s="48">
        <v>61</v>
      </c>
      <c r="AB65" s="48" t="s">
        <v>2120</v>
      </c>
      <c r="AC65" s="48" t="s">
        <v>2120</v>
      </c>
      <c r="AD65" s="48" t="s">
        <v>2121</v>
      </c>
      <c r="AE65" s="48" t="s">
        <v>51</v>
      </c>
      <c r="AF65" s="48" t="s">
        <v>1998</v>
      </c>
      <c r="AG65" s="48">
        <v>100</v>
      </c>
      <c r="AH65" s="48">
        <v>50</v>
      </c>
      <c r="AI65" s="48">
        <v>102</v>
      </c>
      <c r="AJ65" s="48">
        <v>87</v>
      </c>
      <c r="AK65" s="48">
        <v>30</v>
      </c>
      <c r="AL65" s="48">
        <v>39</v>
      </c>
      <c r="AM65" s="48">
        <v>100.5</v>
      </c>
      <c r="AN65" s="48">
        <v>50</v>
      </c>
      <c r="AO65" s="48">
        <v>100</v>
      </c>
      <c r="AP65" s="48">
        <v>75</v>
      </c>
      <c r="AQ65" s="48">
        <v>37</v>
      </c>
      <c r="AR65" s="48">
        <v>66</v>
      </c>
      <c r="AS65" s="48">
        <v>81</v>
      </c>
      <c r="AT65" s="48">
        <v>18</v>
      </c>
      <c r="AU65" s="48">
        <v>22</v>
      </c>
      <c r="AV65" s="48">
        <v>55</v>
      </c>
      <c r="AW65" s="48">
        <v>35</v>
      </c>
      <c r="AX65" s="48">
        <v>49</v>
      </c>
      <c r="AY65" s="48">
        <v>498.5</v>
      </c>
      <c r="AZ65" s="48">
        <v>43</v>
      </c>
      <c r="BA65" s="48">
        <v>61</v>
      </c>
    </row>
    <row r="66" spans="1:53" ht="15" customHeight="1">
      <c r="A66" s="48" t="s">
        <v>220</v>
      </c>
      <c r="B66" s="48" t="s">
        <v>220</v>
      </c>
      <c r="C66" s="48" t="s">
        <v>221</v>
      </c>
      <c r="D66" s="48" t="s">
        <v>50</v>
      </c>
      <c r="E66" s="48" t="s">
        <v>87</v>
      </c>
      <c r="F66" s="48">
        <v>115</v>
      </c>
      <c r="G66" s="48">
        <v>29</v>
      </c>
      <c r="H66" s="48">
        <v>140</v>
      </c>
      <c r="I66" s="48">
        <v>122</v>
      </c>
      <c r="J66" s="48">
        <v>25</v>
      </c>
      <c r="K66" s="48">
        <v>116</v>
      </c>
      <c r="L66" s="48">
        <v>108.5</v>
      </c>
      <c r="M66" s="48">
        <v>50</v>
      </c>
      <c r="N66" s="48">
        <v>508</v>
      </c>
      <c r="O66" s="48">
        <v>92</v>
      </c>
      <c r="P66" s="48">
        <v>16</v>
      </c>
      <c r="Q66" s="48">
        <v>48</v>
      </c>
      <c r="R66" s="48">
        <v>96</v>
      </c>
      <c r="S66" s="48">
        <v>23</v>
      </c>
      <c r="T66" s="48">
        <v>45</v>
      </c>
      <c r="U66" s="48">
        <v>81</v>
      </c>
      <c r="V66" s="48">
        <v>13</v>
      </c>
      <c r="W66" s="48">
        <v>66</v>
      </c>
      <c r="X66" s="48">
        <v>614.5</v>
      </c>
      <c r="Y66" s="48">
        <v>29</v>
      </c>
      <c r="Z66" s="48">
        <v>63</v>
      </c>
      <c r="AB66" s="48" t="s">
        <v>2122</v>
      </c>
      <c r="AC66" s="48" t="s">
        <v>2122</v>
      </c>
      <c r="AD66" s="48" t="s">
        <v>2123</v>
      </c>
      <c r="AE66" s="48" t="s">
        <v>51</v>
      </c>
      <c r="AF66" s="48" t="s">
        <v>2039</v>
      </c>
      <c r="AG66" s="48">
        <v>112</v>
      </c>
      <c r="AH66" s="48">
        <v>11</v>
      </c>
      <c r="AI66" s="48">
        <v>51</v>
      </c>
      <c r="AJ66" s="48">
        <v>81</v>
      </c>
      <c r="AK66" s="48">
        <v>9</v>
      </c>
      <c r="AL66" s="48">
        <v>53</v>
      </c>
      <c r="AM66" s="48">
        <v>115</v>
      </c>
      <c r="AN66" s="48">
        <v>8</v>
      </c>
      <c r="AO66" s="48">
        <v>54</v>
      </c>
      <c r="AP66" s="48">
        <v>77</v>
      </c>
      <c r="AQ66" s="48">
        <v>10</v>
      </c>
      <c r="AR66" s="48">
        <v>52</v>
      </c>
      <c r="AS66" s="48">
        <v>61</v>
      </c>
      <c r="AT66" s="48">
        <v>28</v>
      </c>
      <c r="AU66" s="48">
        <v>110</v>
      </c>
      <c r="AV66" s="48">
        <v>52</v>
      </c>
      <c r="AW66" s="48">
        <v>14</v>
      </c>
      <c r="AX66" s="48">
        <v>68</v>
      </c>
      <c r="AY66" s="48">
        <v>498</v>
      </c>
      <c r="AZ66" s="48">
        <v>10</v>
      </c>
      <c r="BA66" s="48">
        <v>63</v>
      </c>
    </row>
    <row r="67" spans="1:53" ht="15" hidden="1" customHeight="1">
      <c r="A67" s="48" t="s">
        <v>222</v>
      </c>
      <c r="B67" s="48" t="s">
        <v>222</v>
      </c>
      <c r="C67" s="48" t="s">
        <v>223</v>
      </c>
      <c r="D67" s="48" t="s">
        <v>50</v>
      </c>
      <c r="E67" s="48" t="s">
        <v>172</v>
      </c>
      <c r="F67" s="48">
        <v>107</v>
      </c>
      <c r="G67" s="48">
        <v>22</v>
      </c>
      <c r="H67" s="48">
        <v>429</v>
      </c>
      <c r="I67" s="48">
        <v>122</v>
      </c>
      <c r="J67" s="48">
        <v>5</v>
      </c>
      <c r="K67" s="48">
        <v>116</v>
      </c>
      <c r="L67" s="48">
        <v>121</v>
      </c>
      <c r="M67" s="48">
        <v>8</v>
      </c>
      <c r="N67" s="48">
        <v>173</v>
      </c>
      <c r="O67" s="48">
        <v>84</v>
      </c>
      <c r="P67" s="48">
        <v>9</v>
      </c>
      <c r="Q67" s="48">
        <v>131</v>
      </c>
      <c r="R67" s="48">
        <v>95</v>
      </c>
      <c r="S67" s="48">
        <v>2</v>
      </c>
      <c r="T67" s="48">
        <v>60</v>
      </c>
      <c r="U67" s="48">
        <v>84</v>
      </c>
      <c r="V67" s="48">
        <v>2</v>
      </c>
      <c r="W67" s="48">
        <v>21</v>
      </c>
      <c r="X67" s="48">
        <v>613</v>
      </c>
      <c r="Y67" s="48">
        <v>3</v>
      </c>
      <c r="Z67" s="48">
        <v>64</v>
      </c>
      <c r="AB67" s="48" t="s">
        <v>2124</v>
      </c>
      <c r="AC67" s="48" t="s">
        <v>2124</v>
      </c>
      <c r="AD67" s="48" t="s">
        <v>2125</v>
      </c>
      <c r="AE67" s="48" t="s">
        <v>51</v>
      </c>
      <c r="AF67" s="48" t="s">
        <v>2010</v>
      </c>
      <c r="AG67" s="48">
        <v>112</v>
      </c>
      <c r="AH67" s="48">
        <v>9</v>
      </c>
      <c r="AI67" s="48">
        <v>51</v>
      </c>
      <c r="AJ67" s="48">
        <v>67</v>
      </c>
      <c r="AK67" s="48">
        <v>17</v>
      </c>
      <c r="AL67" s="48">
        <v>76</v>
      </c>
      <c r="AM67" s="48">
        <v>97.5</v>
      </c>
      <c r="AN67" s="48">
        <v>28</v>
      </c>
      <c r="AO67" s="48">
        <v>105</v>
      </c>
      <c r="AP67" s="48">
        <v>80</v>
      </c>
      <c r="AQ67" s="48">
        <v>4</v>
      </c>
      <c r="AR67" s="48">
        <v>31</v>
      </c>
      <c r="AS67" s="48">
        <v>79</v>
      </c>
      <c r="AT67" s="48">
        <v>7</v>
      </c>
      <c r="AU67" s="48">
        <v>35</v>
      </c>
      <c r="AV67" s="48">
        <v>62</v>
      </c>
      <c r="AW67" s="48">
        <v>2</v>
      </c>
      <c r="AX67" s="48">
        <v>22</v>
      </c>
      <c r="AY67" s="48">
        <v>497.5</v>
      </c>
      <c r="AZ67" s="48">
        <v>10</v>
      </c>
      <c r="BA67" s="48">
        <v>64</v>
      </c>
    </row>
    <row r="68" spans="1:53" ht="15" hidden="1" customHeight="1">
      <c r="A68" s="48" t="s">
        <v>224</v>
      </c>
      <c r="B68" s="48" t="s">
        <v>224</v>
      </c>
      <c r="C68" s="48" t="s">
        <v>225</v>
      </c>
      <c r="D68" s="48" t="s">
        <v>50</v>
      </c>
      <c r="E68" s="48" t="s">
        <v>92</v>
      </c>
      <c r="F68" s="48">
        <v>110</v>
      </c>
      <c r="G68" s="48">
        <v>10</v>
      </c>
      <c r="H68" s="48">
        <v>310</v>
      </c>
      <c r="I68" s="48">
        <v>131</v>
      </c>
      <c r="J68" s="48">
        <v>3</v>
      </c>
      <c r="K68" s="48">
        <v>48</v>
      </c>
      <c r="L68" s="48">
        <v>99</v>
      </c>
      <c r="M68" s="48">
        <v>37</v>
      </c>
      <c r="N68" s="48">
        <v>707</v>
      </c>
      <c r="O68" s="48">
        <v>100</v>
      </c>
      <c r="P68" s="48">
        <v>1</v>
      </c>
      <c r="Q68" s="48">
        <v>13</v>
      </c>
      <c r="R68" s="48">
        <v>94</v>
      </c>
      <c r="S68" s="48">
        <v>2</v>
      </c>
      <c r="T68" s="48">
        <v>78</v>
      </c>
      <c r="U68" s="48">
        <v>79</v>
      </c>
      <c r="V68" s="48">
        <v>9</v>
      </c>
      <c r="W68" s="48">
        <v>103</v>
      </c>
      <c r="X68" s="48">
        <v>613</v>
      </c>
      <c r="Y68" s="48">
        <v>3</v>
      </c>
      <c r="Z68" s="48">
        <v>64</v>
      </c>
      <c r="AB68" s="48" t="s">
        <v>2126</v>
      </c>
      <c r="AC68" s="48" t="s">
        <v>2126</v>
      </c>
      <c r="AD68" s="48" t="s">
        <v>2127</v>
      </c>
      <c r="AE68" s="48" t="s">
        <v>51</v>
      </c>
      <c r="AF68" s="48" t="s">
        <v>2010</v>
      </c>
      <c r="AG68" s="48">
        <v>97</v>
      </c>
      <c r="AH68" s="48">
        <v>32</v>
      </c>
      <c r="AI68" s="48">
        <v>111</v>
      </c>
      <c r="AJ68" s="48">
        <v>45</v>
      </c>
      <c r="AK68" s="48">
        <v>30</v>
      </c>
      <c r="AL68" s="48">
        <v>107</v>
      </c>
      <c r="AM68" s="48">
        <v>134</v>
      </c>
      <c r="AN68" s="48">
        <v>1</v>
      </c>
      <c r="AO68" s="48">
        <v>3</v>
      </c>
      <c r="AP68" s="48">
        <v>78</v>
      </c>
      <c r="AQ68" s="48">
        <v>11</v>
      </c>
      <c r="AR68" s="48">
        <v>46</v>
      </c>
      <c r="AS68" s="48">
        <v>82</v>
      </c>
      <c r="AT68" s="48">
        <v>3</v>
      </c>
      <c r="AU68" s="48">
        <v>19</v>
      </c>
      <c r="AV68" s="48">
        <v>59</v>
      </c>
      <c r="AW68" s="48">
        <v>4</v>
      </c>
      <c r="AX68" s="48">
        <v>29</v>
      </c>
      <c r="AY68" s="48">
        <v>495</v>
      </c>
      <c r="AZ68" s="48">
        <v>11</v>
      </c>
      <c r="BA68" s="48">
        <v>65</v>
      </c>
    </row>
    <row r="69" spans="1:53" ht="15" hidden="1" customHeight="1">
      <c r="A69" s="48" t="s">
        <v>226</v>
      </c>
      <c r="B69" s="48" t="s">
        <v>226</v>
      </c>
      <c r="C69" s="48" t="s">
        <v>227</v>
      </c>
      <c r="D69" s="48" t="s">
        <v>50</v>
      </c>
      <c r="E69" s="48" t="s">
        <v>106</v>
      </c>
      <c r="F69" s="48">
        <v>106</v>
      </c>
      <c r="G69" s="48">
        <v>33</v>
      </c>
      <c r="H69" s="48">
        <v>477</v>
      </c>
      <c r="I69" s="48">
        <v>120</v>
      </c>
      <c r="J69" s="48">
        <v>5</v>
      </c>
      <c r="K69" s="48">
        <v>146</v>
      </c>
      <c r="L69" s="48">
        <v>121</v>
      </c>
      <c r="M69" s="48">
        <v>11</v>
      </c>
      <c r="N69" s="48">
        <v>173</v>
      </c>
      <c r="O69" s="48">
        <v>97</v>
      </c>
      <c r="P69" s="48">
        <v>1</v>
      </c>
      <c r="Q69" s="48">
        <v>21</v>
      </c>
      <c r="R69" s="48">
        <v>88</v>
      </c>
      <c r="S69" s="48">
        <v>7</v>
      </c>
      <c r="T69" s="48">
        <v>240</v>
      </c>
      <c r="U69" s="48">
        <v>81</v>
      </c>
      <c r="V69" s="48">
        <v>3</v>
      </c>
      <c r="W69" s="48">
        <v>66</v>
      </c>
      <c r="X69" s="48">
        <v>613</v>
      </c>
      <c r="Y69" s="48">
        <v>4</v>
      </c>
      <c r="Z69" s="48">
        <v>64</v>
      </c>
      <c r="AB69" s="48" t="s">
        <v>2128</v>
      </c>
      <c r="AC69" s="48" t="s">
        <v>2128</v>
      </c>
      <c r="AD69" s="48" t="s">
        <v>2129</v>
      </c>
      <c r="AE69" s="48" t="s">
        <v>51</v>
      </c>
      <c r="AF69" s="48" t="s">
        <v>2039</v>
      </c>
      <c r="AG69" s="48">
        <v>99</v>
      </c>
      <c r="AH69" s="48">
        <v>28</v>
      </c>
      <c r="AI69" s="48">
        <v>107</v>
      </c>
      <c r="AJ69" s="48">
        <v>80</v>
      </c>
      <c r="AK69" s="48">
        <v>10</v>
      </c>
      <c r="AL69" s="48">
        <v>56</v>
      </c>
      <c r="AM69" s="48">
        <v>115</v>
      </c>
      <c r="AN69" s="48">
        <v>8</v>
      </c>
      <c r="AO69" s="48">
        <v>54</v>
      </c>
      <c r="AP69" s="48">
        <v>75</v>
      </c>
      <c r="AQ69" s="48">
        <v>17</v>
      </c>
      <c r="AR69" s="48">
        <v>66</v>
      </c>
      <c r="AS69" s="48">
        <v>69</v>
      </c>
      <c r="AT69" s="48">
        <v>20</v>
      </c>
      <c r="AU69" s="48">
        <v>85</v>
      </c>
      <c r="AV69" s="48">
        <v>56</v>
      </c>
      <c r="AW69" s="48">
        <v>8</v>
      </c>
      <c r="AX69" s="48">
        <v>43</v>
      </c>
      <c r="AY69" s="48">
        <v>494</v>
      </c>
      <c r="AZ69" s="48">
        <v>11</v>
      </c>
      <c r="BA69" s="48">
        <v>66</v>
      </c>
    </row>
    <row r="70" spans="1:53" ht="15" hidden="1" customHeight="1">
      <c r="A70" s="48" t="s">
        <v>228</v>
      </c>
      <c r="B70" s="48" t="s">
        <v>228</v>
      </c>
      <c r="C70" s="48" t="s">
        <v>229</v>
      </c>
      <c r="D70" s="48" t="s">
        <v>50</v>
      </c>
      <c r="E70" s="48" t="s">
        <v>150</v>
      </c>
      <c r="F70" s="48">
        <v>117</v>
      </c>
      <c r="G70" s="48">
        <v>2</v>
      </c>
      <c r="H70" s="48">
        <v>86</v>
      </c>
      <c r="I70" s="48">
        <v>121</v>
      </c>
      <c r="J70" s="48">
        <v>10</v>
      </c>
      <c r="K70" s="48">
        <v>131</v>
      </c>
      <c r="L70" s="48">
        <v>116</v>
      </c>
      <c r="M70" s="48">
        <v>16</v>
      </c>
      <c r="N70" s="48">
        <v>309</v>
      </c>
      <c r="O70" s="48">
        <v>80</v>
      </c>
      <c r="P70" s="48">
        <v>5</v>
      </c>
      <c r="Q70" s="48">
        <v>211</v>
      </c>
      <c r="R70" s="48">
        <v>95</v>
      </c>
      <c r="S70" s="48">
        <v>5</v>
      </c>
      <c r="T70" s="48">
        <v>60</v>
      </c>
      <c r="U70" s="48">
        <v>84</v>
      </c>
      <c r="V70" s="48">
        <v>1</v>
      </c>
      <c r="W70" s="48">
        <v>21</v>
      </c>
      <c r="X70" s="48">
        <v>613</v>
      </c>
      <c r="Y70" s="48">
        <v>3</v>
      </c>
      <c r="Z70" s="48">
        <v>64</v>
      </c>
      <c r="AB70" s="48" t="s">
        <v>2130</v>
      </c>
      <c r="AC70" s="48" t="s">
        <v>2130</v>
      </c>
      <c r="AD70" s="48" t="s">
        <v>2131</v>
      </c>
      <c r="AE70" s="48" t="s">
        <v>51</v>
      </c>
      <c r="AF70" s="48" t="s">
        <v>2039</v>
      </c>
      <c r="AG70" s="48">
        <v>121</v>
      </c>
      <c r="AH70" s="48">
        <v>1</v>
      </c>
      <c r="AI70" s="48">
        <v>8</v>
      </c>
      <c r="AJ70" s="48">
        <v>60</v>
      </c>
      <c r="AK70" s="48">
        <v>18</v>
      </c>
      <c r="AL70" s="48">
        <v>88</v>
      </c>
      <c r="AM70" s="48">
        <v>99</v>
      </c>
      <c r="AN70" s="48">
        <v>25</v>
      </c>
      <c r="AO70" s="48">
        <v>102</v>
      </c>
      <c r="AP70" s="48">
        <v>79</v>
      </c>
      <c r="AQ70" s="48">
        <v>7</v>
      </c>
      <c r="AR70" s="48">
        <v>35</v>
      </c>
      <c r="AS70" s="48">
        <v>78</v>
      </c>
      <c r="AT70" s="48">
        <v>7</v>
      </c>
      <c r="AU70" s="48">
        <v>46</v>
      </c>
      <c r="AV70" s="48">
        <v>57</v>
      </c>
      <c r="AW70" s="48">
        <v>7</v>
      </c>
      <c r="AX70" s="48">
        <v>38</v>
      </c>
      <c r="AY70" s="48">
        <v>494</v>
      </c>
      <c r="AZ70" s="48">
        <v>11</v>
      </c>
      <c r="BA70" s="48">
        <v>66</v>
      </c>
    </row>
    <row r="71" spans="1:53" ht="15" hidden="1" customHeight="1">
      <c r="A71" s="48" t="s">
        <v>230</v>
      </c>
      <c r="B71" s="48" t="s">
        <v>230</v>
      </c>
      <c r="C71" s="48" t="s">
        <v>231</v>
      </c>
      <c r="D71" s="48" t="s">
        <v>50</v>
      </c>
      <c r="E71" s="48" t="s">
        <v>97</v>
      </c>
      <c r="F71" s="48">
        <v>106</v>
      </c>
      <c r="G71" s="48">
        <v>26</v>
      </c>
      <c r="H71" s="48">
        <v>477</v>
      </c>
      <c r="I71" s="48">
        <v>138</v>
      </c>
      <c r="J71" s="48">
        <v>2</v>
      </c>
      <c r="K71" s="48">
        <v>24</v>
      </c>
      <c r="L71" s="48">
        <v>113.5</v>
      </c>
      <c r="M71" s="48">
        <v>17</v>
      </c>
      <c r="N71" s="48">
        <v>374</v>
      </c>
      <c r="O71" s="48">
        <v>80</v>
      </c>
      <c r="P71" s="48">
        <v>9</v>
      </c>
      <c r="Q71" s="48">
        <v>211</v>
      </c>
      <c r="R71" s="48">
        <v>93</v>
      </c>
      <c r="S71" s="48">
        <v>6</v>
      </c>
      <c r="T71" s="48">
        <v>93</v>
      </c>
      <c r="U71" s="48">
        <v>82</v>
      </c>
      <c r="V71" s="48">
        <v>7</v>
      </c>
      <c r="W71" s="48">
        <v>46</v>
      </c>
      <c r="X71" s="48">
        <v>612.5</v>
      </c>
      <c r="Y71" s="48">
        <v>4</v>
      </c>
      <c r="Z71" s="48">
        <v>68</v>
      </c>
      <c r="AB71" s="48" t="s">
        <v>2132</v>
      </c>
      <c r="AC71" s="48" t="s">
        <v>2132</v>
      </c>
      <c r="AD71" s="48" t="s">
        <v>2133</v>
      </c>
      <c r="AE71" s="48" t="s">
        <v>51</v>
      </c>
      <c r="AF71" s="48" t="s">
        <v>1998</v>
      </c>
      <c r="AG71" s="48">
        <v>102</v>
      </c>
      <c r="AH71" s="48">
        <v>49</v>
      </c>
      <c r="AI71" s="48">
        <v>99</v>
      </c>
      <c r="AJ71" s="48">
        <v>78</v>
      </c>
      <c r="AK71" s="48">
        <v>39</v>
      </c>
      <c r="AL71" s="48">
        <v>60</v>
      </c>
      <c r="AM71" s="48">
        <v>105.5</v>
      </c>
      <c r="AN71" s="48">
        <v>47</v>
      </c>
      <c r="AO71" s="48">
        <v>84</v>
      </c>
      <c r="AP71" s="48">
        <v>79</v>
      </c>
      <c r="AQ71" s="48">
        <v>25</v>
      </c>
      <c r="AR71" s="48">
        <v>35</v>
      </c>
      <c r="AS71" s="48">
        <v>73</v>
      </c>
      <c r="AT71" s="48">
        <v>39</v>
      </c>
      <c r="AU71" s="48">
        <v>66</v>
      </c>
      <c r="AV71" s="48">
        <v>56</v>
      </c>
      <c r="AW71" s="48">
        <v>31</v>
      </c>
      <c r="AX71" s="48">
        <v>43</v>
      </c>
      <c r="AY71" s="48">
        <v>493.5</v>
      </c>
      <c r="AZ71" s="48">
        <v>45</v>
      </c>
      <c r="BA71" s="48">
        <v>68</v>
      </c>
    </row>
    <row r="72" spans="1:53" ht="15" hidden="1" customHeight="1">
      <c r="A72" s="48" t="s">
        <v>232</v>
      </c>
      <c r="B72" s="48" t="s">
        <v>232</v>
      </c>
      <c r="C72" s="48" t="s">
        <v>233</v>
      </c>
      <c r="D72" s="48" t="s">
        <v>50</v>
      </c>
      <c r="E72" s="48" t="s">
        <v>122</v>
      </c>
      <c r="F72" s="48">
        <v>114</v>
      </c>
      <c r="G72" s="48">
        <v>18</v>
      </c>
      <c r="H72" s="48">
        <v>170</v>
      </c>
      <c r="I72" s="48">
        <v>131</v>
      </c>
      <c r="J72" s="48">
        <v>7</v>
      </c>
      <c r="K72" s="48">
        <v>48</v>
      </c>
      <c r="L72" s="48">
        <v>127.5</v>
      </c>
      <c r="M72" s="48">
        <v>3</v>
      </c>
      <c r="N72" s="48">
        <v>63</v>
      </c>
      <c r="O72" s="48">
        <v>73</v>
      </c>
      <c r="P72" s="48">
        <v>26</v>
      </c>
      <c r="Q72" s="48">
        <v>370</v>
      </c>
      <c r="R72" s="48">
        <v>84</v>
      </c>
      <c r="S72" s="48">
        <v>49</v>
      </c>
      <c r="T72" s="48">
        <v>379</v>
      </c>
      <c r="U72" s="48">
        <v>83</v>
      </c>
      <c r="V72" s="48">
        <v>1</v>
      </c>
      <c r="W72" s="48">
        <v>30</v>
      </c>
      <c r="X72" s="48">
        <v>612.5</v>
      </c>
      <c r="Y72" s="48">
        <v>6</v>
      </c>
      <c r="Z72" s="48">
        <v>68</v>
      </c>
      <c r="AB72" s="48" t="s">
        <v>2134</v>
      </c>
      <c r="AC72" s="48" t="s">
        <v>2134</v>
      </c>
      <c r="AD72" s="48" t="s">
        <v>2135</v>
      </c>
      <c r="AE72" s="48" t="s">
        <v>51</v>
      </c>
      <c r="AF72" s="48" t="s">
        <v>1998</v>
      </c>
      <c r="AG72" s="48">
        <v>117</v>
      </c>
      <c r="AH72" s="48">
        <v>19</v>
      </c>
      <c r="AI72" s="48">
        <v>27</v>
      </c>
      <c r="AJ72" s="48">
        <v>81</v>
      </c>
      <c r="AK72" s="48">
        <v>36</v>
      </c>
      <c r="AL72" s="48">
        <v>53</v>
      </c>
      <c r="AM72" s="48">
        <v>105.5</v>
      </c>
      <c r="AN72" s="48">
        <v>47</v>
      </c>
      <c r="AO72" s="48">
        <v>84</v>
      </c>
      <c r="AP72" s="48">
        <v>63</v>
      </c>
      <c r="AQ72" s="48">
        <v>52</v>
      </c>
      <c r="AR72" s="48">
        <v>113</v>
      </c>
      <c r="AS72" s="48">
        <v>71</v>
      </c>
      <c r="AT72" s="48">
        <v>44</v>
      </c>
      <c r="AU72" s="48">
        <v>77</v>
      </c>
      <c r="AV72" s="48">
        <v>51</v>
      </c>
      <c r="AW72" s="48">
        <v>47</v>
      </c>
      <c r="AX72" s="48">
        <v>74</v>
      </c>
      <c r="AY72" s="48">
        <v>488.5</v>
      </c>
      <c r="AZ72" s="48">
        <v>46</v>
      </c>
      <c r="BA72" s="48">
        <v>69</v>
      </c>
    </row>
    <row r="73" spans="1:53" ht="15" hidden="1" customHeight="1">
      <c r="A73" s="48" t="s">
        <v>234</v>
      </c>
      <c r="B73" s="48" t="s">
        <v>234</v>
      </c>
      <c r="C73" s="48" t="s">
        <v>235</v>
      </c>
      <c r="D73" s="48" t="s">
        <v>50</v>
      </c>
      <c r="E73" s="48" t="s">
        <v>122</v>
      </c>
      <c r="F73" s="48">
        <v>112</v>
      </c>
      <c r="G73" s="48">
        <v>23</v>
      </c>
      <c r="H73" s="48">
        <v>226</v>
      </c>
      <c r="I73" s="48">
        <v>124</v>
      </c>
      <c r="J73" s="48">
        <v>9</v>
      </c>
      <c r="K73" s="48">
        <v>101</v>
      </c>
      <c r="L73" s="48">
        <v>119</v>
      </c>
      <c r="M73" s="48">
        <v>20</v>
      </c>
      <c r="N73" s="48">
        <v>237</v>
      </c>
      <c r="O73" s="48">
        <v>82</v>
      </c>
      <c r="P73" s="48">
        <v>14</v>
      </c>
      <c r="Q73" s="48">
        <v>171</v>
      </c>
      <c r="R73" s="48">
        <v>96</v>
      </c>
      <c r="S73" s="48">
        <v>6</v>
      </c>
      <c r="T73" s="48">
        <v>45</v>
      </c>
      <c r="U73" s="48">
        <v>79</v>
      </c>
      <c r="V73" s="48">
        <v>8</v>
      </c>
      <c r="W73" s="48">
        <v>103</v>
      </c>
      <c r="X73" s="48">
        <v>612</v>
      </c>
      <c r="Y73" s="48">
        <v>7</v>
      </c>
      <c r="Z73" s="48">
        <v>70</v>
      </c>
      <c r="AB73" s="48" t="s">
        <v>2136</v>
      </c>
      <c r="AC73" s="48" t="s">
        <v>2136</v>
      </c>
      <c r="AD73" s="48" t="s">
        <v>2137</v>
      </c>
      <c r="AE73" s="48" t="s">
        <v>51</v>
      </c>
      <c r="AF73" s="48" t="s">
        <v>2039</v>
      </c>
      <c r="AG73" s="48">
        <v>108</v>
      </c>
      <c r="AH73" s="48">
        <v>19</v>
      </c>
      <c r="AI73" s="48">
        <v>78</v>
      </c>
      <c r="AJ73" s="48">
        <v>74</v>
      </c>
      <c r="AK73" s="48">
        <v>14</v>
      </c>
      <c r="AL73" s="48">
        <v>66</v>
      </c>
      <c r="AM73" s="48">
        <v>103.5</v>
      </c>
      <c r="AN73" s="48">
        <v>20</v>
      </c>
      <c r="AO73" s="48">
        <v>92</v>
      </c>
      <c r="AP73" s="48">
        <v>72</v>
      </c>
      <c r="AQ73" s="48">
        <v>22</v>
      </c>
      <c r="AR73" s="48">
        <v>89</v>
      </c>
      <c r="AS73" s="48">
        <v>79</v>
      </c>
      <c r="AT73" s="48">
        <v>5</v>
      </c>
      <c r="AU73" s="48">
        <v>35</v>
      </c>
      <c r="AV73" s="48">
        <v>50</v>
      </c>
      <c r="AW73" s="48">
        <v>16</v>
      </c>
      <c r="AX73" s="48">
        <v>76</v>
      </c>
      <c r="AY73" s="48">
        <v>486.5</v>
      </c>
      <c r="AZ73" s="48">
        <v>13</v>
      </c>
      <c r="BA73" s="48">
        <v>70</v>
      </c>
    </row>
    <row r="74" spans="1:53" ht="15" hidden="1" customHeight="1">
      <c r="A74" s="48" t="s">
        <v>236</v>
      </c>
      <c r="B74" s="48" t="s">
        <v>236</v>
      </c>
      <c r="C74" s="48" t="s">
        <v>237</v>
      </c>
      <c r="D74" s="48" t="s">
        <v>50</v>
      </c>
      <c r="E74" s="48" t="s">
        <v>210</v>
      </c>
      <c r="F74" s="48">
        <v>123</v>
      </c>
      <c r="G74" s="48">
        <v>1</v>
      </c>
      <c r="H74" s="48">
        <v>20</v>
      </c>
      <c r="I74" s="48">
        <v>115</v>
      </c>
      <c r="J74" s="48">
        <v>9</v>
      </c>
      <c r="K74" s="48">
        <v>195</v>
      </c>
      <c r="L74" s="48">
        <v>125</v>
      </c>
      <c r="M74" s="48">
        <v>4</v>
      </c>
      <c r="N74" s="48">
        <v>96</v>
      </c>
      <c r="O74" s="48">
        <v>86</v>
      </c>
      <c r="P74" s="48">
        <v>6</v>
      </c>
      <c r="Q74" s="48">
        <v>101</v>
      </c>
      <c r="R74" s="48">
        <v>85</v>
      </c>
      <c r="S74" s="48">
        <v>25</v>
      </c>
      <c r="T74" s="48">
        <v>339</v>
      </c>
      <c r="U74" s="48">
        <v>78</v>
      </c>
      <c r="V74" s="48">
        <v>7</v>
      </c>
      <c r="W74" s="48">
        <v>133</v>
      </c>
      <c r="X74" s="48">
        <v>612</v>
      </c>
      <c r="Y74" s="48">
        <v>2</v>
      </c>
      <c r="Z74" s="48">
        <v>70</v>
      </c>
      <c r="AB74" s="48" t="s">
        <v>2138</v>
      </c>
      <c r="AC74" s="48" t="s">
        <v>2138</v>
      </c>
      <c r="AD74" s="48" t="s">
        <v>2139</v>
      </c>
      <c r="AE74" s="48" t="s">
        <v>51</v>
      </c>
      <c r="AF74" s="48" t="s">
        <v>2039</v>
      </c>
      <c r="AG74" s="48">
        <v>115</v>
      </c>
      <c r="AH74" s="48">
        <v>7</v>
      </c>
      <c r="AI74" s="48">
        <v>38</v>
      </c>
      <c r="AJ74" s="48">
        <v>46</v>
      </c>
      <c r="AK74" s="48">
        <v>23</v>
      </c>
      <c r="AL74" s="48">
        <v>103</v>
      </c>
      <c r="AM74" s="48">
        <v>128.5</v>
      </c>
      <c r="AN74" s="48">
        <v>2</v>
      </c>
      <c r="AO74" s="48">
        <v>14</v>
      </c>
      <c r="AP74" s="48">
        <v>72</v>
      </c>
      <c r="AQ74" s="48">
        <v>22</v>
      </c>
      <c r="AR74" s="48">
        <v>89</v>
      </c>
      <c r="AS74" s="48">
        <v>76</v>
      </c>
      <c r="AT74" s="48">
        <v>9</v>
      </c>
      <c r="AU74" s="48">
        <v>54</v>
      </c>
      <c r="AV74" s="48">
        <v>48</v>
      </c>
      <c r="AW74" s="48">
        <v>20</v>
      </c>
      <c r="AX74" s="48">
        <v>87</v>
      </c>
      <c r="AY74" s="48">
        <v>485.5</v>
      </c>
      <c r="AZ74" s="48">
        <v>14</v>
      </c>
      <c r="BA74" s="48">
        <v>71</v>
      </c>
    </row>
    <row r="75" spans="1:53" ht="15" hidden="1" customHeight="1">
      <c r="A75" s="48" t="s">
        <v>238</v>
      </c>
      <c r="B75" s="48" t="s">
        <v>238</v>
      </c>
      <c r="C75" s="48" t="s">
        <v>239</v>
      </c>
      <c r="D75" s="48" t="s">
        <v>50</v>
      </c>
      <c r="E75" s="48" t="s">
        <v>240</v>
      </c>
      <c r="F75" s="48">
        <v>103</v>
      </c>
      <c r="G75" s="48">
        <v>36</v>
      </c>
      <c r="H75" s="48">
        <v>606</v>
      </c>
      <c r="I75" s="48">
        <v>144</v>
      </c>
      <c r="J75" s="48">
        <v>1</v>
      </c>
      <c r="K75" s="48">
        <v>4</v>
      </c>
      <c r="L75" s="48">
        <v>99.5</v>
      </c>
      <c r="M75" s="48">
        <v>47</v>
      </c>
      <c r="N75" s="48">
        <v>694</v>
      </c>
      <c r="O75" s="48">
        <v>98</v>
      </c>
      <c r="P75" s="48">
        <v>3</v>
      </c>
      <c r="Q75" s="48">
        <v>18</v>
      </c>
      <c r="R75" s="48">
        <v>87</v>
      </c>
      <c r="S75" s="48">
        <v>12</v>
      </c>
      <c r="T75" s="48">
        <v>268</v>
      </c>
      <c r="U75" s="48">
        <v>79</v>
      </c>
      <c r="V75" s="48">
        <v>7</v>
      </c>
      <c r="W75" s="48">
        <v>103</v>
      </c>
      <c r="X75" s="48">
        <v>610.5</v>
      </c>
      <c r="Y75" s="48">
        <v>1</v>
      </c>
      <c r="Z75" s="48">
        <v>72</v>
      </c>
      <c r="AB75" s="48" t="s">
        <v>2140</v>
      </c>
      <c r="AC75" s="48" t="s">
        <v>2140</v>
      </c>
      <c r="AD75" s="48" t="s">
        <v>2141</v>
      </c>
      <c r="AE75" s="48" t="s">
        <v>51</v>
      </c>
      <c r="AF75" s="48" t="s">
        <v>2039</v>
      </c>
      <c r="AG75" s="48">
        <v>109</v>
      </c>
      <c r="AH75" s="48">
        <v>16</v>
      </c>
      <c r="AI75" s="48">
        <v>74</v>
      </c>
      <c r="AJ75" s="48">
        <v>68</v>
      </c>
      <c r="AK75" s="48">
        <v>15</v>
      </c>
      <c r="AL75" s="48">
        <v>74</v>
      </c>
      <c r="AM75" s="48">
        <v>106</v>
      </c>
      <c r="AN75" s="48">
        <v>14</v>
      </c>
      <c r="AO75" s="48">
        <v>82</v>
      </c>
      <c r="AP75" s="48">
        <v>73</v>
      </c>
      <c r="AQ75" s="48">
        <v>20</v>
      </c>
      <c r="AR75" s="48">
        <v>83</v>
      </c>
      <c r="AS75" s="48">
        <v>76</v>
      </c>
      <c r="AT75" s="48">
        <v>9</v>
      </c>
      <c r="AU75" s="48">
        <v>54</v>
      </c>
      <c r="AV75" s="48">
        <v>53</v>
      </c>
      <c r="AW75" s="48">
        <v>12</v>
      </c>
      <c r="AX75" s="48">
        <v>59</v>
      </c>
      <c r="AY75" s="48">
        <v>485</v>
      </c>
      <c r="AZ75" s="48">
        <v>15</v>
      </c>
      <c r="BA75" s="48">
        <v>72</v>
      </c>
    </row>
    <row r="76" spans="1:53" ht="15" hidden="1" customHeight="1">
      <c r="A76" s="48" t="s">
        <v>241</v>
      </c>
      <c r="B76" s="48" t="s">
        <v>241</v>
      </c>
      <c r="C76" s="48" t="s">
        <v>242</v>
      </c>
      <c r="D76" s="48" t="s">
        <v>50</v>
      </c>
      <c r="E76" s="48" t="s">
        <v>111</v>
      </c>
      <c r="F76" s="48">
        <v>107</v>
      </c>
      <c r="G76" s="48">
        <v>23</v>
      </c>
      <c r="H76" s="48">
        <v>429</v>
      </c>
      <c r="I76" s="48">
        <v>104</v>
      </c>
      <c r="J76" s="48">
        <v>16</v>
      </c>
      <c r="K76" s="48">
        <v>358</v>
      </c>
      <c r="L76" s="48">
        <v>133</v>
      </c>
      <c r="M76" s="48">
        <v>2</v>
      </c>
      <c r="N76" s="48">
        <v>17</v>
      </c>
      <c r="O76" s="48">
        <v>90</v>
      </c>
      <c r="P76" s="48">
        <v>2</v>
      </c>
      <c r="Q76" s="48">
        <v>63</v>
      </c>
      <c r="R76" s="48">
        <v>97</v>
      </c>
      <c r="S76" s="48">
        <v>2</v>
      </c>
      <c r="T76" s="48">
        <v>30</v>
      </c>
      <c r="U76" s="48">
        <v>79</v>
      </c>
      <c r="V76" s="48">
        <v>3</v>
      </c>
      <c r="W76" s="48">
        <v>103</v>
      </c>
      <c r="X76" s="48">
        <v>610</v>
      </c>
      <c r="Y76" s="48">
        <v>3</v>
      </c>
      <c r="Z76" s="48">
        <v>73</v>
      </c>
      <c r="AB76" s="48" t="s">
        <v>2142</v>
      </c>
      <c r="AC76" s="48" t="s">
        <v>2142</v>
      </c>
      <c r="AD76" s="48" t="s">
        <v>2143</v>
      </c>
      <c r="AE76" s="48" t="s">
        <v>51</v>
      </c>
      <c r="AF76" s="48" t="s">
        <v>2010</v>
      </c>
      <c r="AG76" s="48">
        <v>98</v>
      </c>
      <c r="AH76" s="48">
        <v>31</v>
      </c>
      <c r="AI76" s="48">
        <v>109</v>
      </c>
      <c r="AJ76" s="48">
        <v>75</v>
      </c>
      <c r="AK76" s="48">
        <v>13</v>
      </c>
      <c r="AL76" s="48">
        <v>64</v>
      </c>
      <c r="AM76" s="48">
        <v>108.5</v>
      </c>
      <c r="AN76" s="48">
        <v>19</v>
      </c>
      <c r="AO76" s="48">
        <v>71</v>
      </c>
      <c r="AP76" s="48">
        <v>74</v>
      </c>
      <c r="AQ76" s="48">
        <v>20</v>
      </c>
      <c r="AR76" s="48">
        <v>77</v>
      </c>
      <c r="AS76" s="48">
        <v>69</v>
      </c>
      <c r="AT76" s="48">
        <v>21</v>
      </c>
      <c r="AU76" s="48">
        <v>85</v>
      </c>
      <c r="AV76" s="48">
        <v>60</v>
      </c>
      <c r="AW76" s="48">
        <v>3</v>
      </c>
      <c r="AX76" s="48">
        <v>26</v>
      </c>
      <c r="AY76" s="48">
        <v>484.5</v>
      </c>
      <c r="AZ76" s="48">
        <v>12</v>
      </c>
      <c r="BA76" s="48">
        <v>73</v>
      </c>
    </row>
    <row r="77" spans="1:53" ht="15" hidden="1" customHeight="1">
      <c r="A77" s="48" t="s">
        <v>243</v>
      </c>
      <c r="B77" s="48" t="s">
        <v>243</v>
      </c>
      <c r="C77" s="48" t="s">
        <v>244</v>
      </c>
      <c r="D77" s="48" t="s">
        <v>50</v>
      </c>
      <c r="E77" s="48" t="s">
        <v>169</v>
      </c>
      <c r="F77" s="48">
        <v>110</v>
      </c>
      <c r="G77" s="48">
        <v>15</v>
      </c>
      <c r="H77" s="48">
        <v>310</v>
      </c>
      <c r="I77" s="48">
        <v>114</v>
      </c>
      <c r="J77" s="48">
        <v>10</v>
      </c>
      <c r="K77" s="48">
        <v>215</v>
      </c>
      <c r="L77" s="48">
        <v>119.5</v>
      </c>
      <c r="M77" s="48">
        <v>12</v>
      </c>
      <c r="N77" s="48">
        <v>229</v>
      </c>
      <c r="O77" s="48">
        <v>94</v>
      </c>
      <c r="P77" s="48">
        <v>4</v>
      </c>
      <c r="Q77" s="48">
        <v>35</v>
      </c>
      <c r="R77" s="48">
        <v>91</v>
      </c>
      <c r="S77" s="48">
        <v>5</v>
      </c>
      <c r="T77" s="48">
        <v>151</v>
      </c>
      <c r="U77" s="48">
        <v>81</v>
      </c>
      <c r="V77" s="48">
        <v>3</v>
      </c>
      <c r="W77" s="48">
        <v>66</v>
      </c>
      <c r="X77" s="48">
        <v>609.5</v>
      </c>
      <c r="Y77" s="48">
        <v>5</v>
      </c>
      <c r="Z77" s="48">
        <v>74</v>
      </c>
      <c r="AB77" s="48" t="s">
        <v>2144</v>
      </c>
      <c r="AC77" s="48" t="s">
        <v>2144</v>
      </c>
      <c r="AD77" s="48" t="s">
        <v>2145</v>
      </c>
      <c r="AE77" s="48" t="s">
        <v>51</v>
      </c>
      <c r="AF77" s="48" t="s">
        <v>1998</v>
      </c>
      <c r="AG77" s="48">
        <v>108</v>
      </c>
      <c r="AH77" s="48">
        <v>43</v>
      </c>
      <c r="AI77" s="48">
        <v>78</v>
      </c>
      <c r="AJ77" s="48">
        <v>53</v>
      </c>
      <c r="AK77" s="48">
        <v>52</v>
      </c>
      <c r="AL77" s="48">
        <v>98</v>
      </c>
      <c r="AM77" s="48">
        <v>128</v>
      </c>
      <c r="AN77" s="48">
        <v>13</v>
      </c>
      <c r="AO77" s="48">
        <v>18</v>
      </c>
      <c r="AP77" s="48">
        <v>70</v>
      </c>
      <c r="AQ77" s="48">
        <v>46</v>
      </c>
      <c r="AR77" s="48">
        <v>96</v>
      </c>
      <c r="AS77" s="48">
        <v>73</v>
      </c>
      <c r="AT77" s="48">
        <v>39</v>
      </c>
      <c r="AU77" s="48">
        <v>66</v>
      </c>
      <c r="AV77" s="48">
        <v>52</v>
      </c>
      <c r="AW77" s="48">
        <v>44</v>
      </c>
      <c r="AX77" s="48">
        <v>68</v>
      </c>
      <c r="AY77" s="48">
        <v>484</v>
      </c>
      <c r="AZ77" s="48">
        <v>47</v>
      </c>
      <c r="BA77" s="48">
        <v>74</v>
      </c>
    </row>
    <row r="78" spans="1:53" ht="15" hidden="1" customHeight="1">
      <c r="A78" s="48" t="s">
        <v>245</v>
      </c>
      <c r="B78" s="48" t="s">
        <v>245</v>
      </c>
      <c r="C78" s="48" t="s">
        <v>246</v>
      </c>
      <c r="D78" s="48" t="s">
        <v>50</v>
      </c>
      <c r="E78" s="48" t="s">
        <v>203</v>
      </c>
      <c r="F78" s="48">
        <v>110</v>
      </c>
      <c r="G78" s="48">
        <v>17</v>
      </c>
      <c r="H78" s="48">
        <v>310</v>
      </c>
      <c r="I78" s="48">
        <v>140</v>
      </c>
      <c r="J78" s="48">
        <v>1</v>
      </c>
      <c r="K78" s="48">
        <v>15</v>
      </c>
      <c r="L78" s="48">
        <v>134.5</v>
      </c>
      <c r="M78" s="48">
        <v>1</v>
      </c>
      <c r="N78" s="48">
        <v>10</v>
      </c>
      <c r="O78" s="48">
        <v>79</v>
      </c>
      <c r="P78" s="48">
        <v>11</v>
      </c>
      <c r="Q78" s="48">
        <v>236</v>
      </c>
      <c r="R78" s="48">
        <v>81</v>
      </c>
      <c r="S78" s="48">
        <v>26</v>
      </c>
      <c r="T78" s="48">
        <v>474</v>
      </c>
      <c r="U78" s="48">
        <v>65</v>
      </c>
      <c r="V78" s="48">
        <v>30</v>
      </c>
      <c r="W78" s="48">
        <v>554</v>
      </c>
      <c r="X78" s="48">
        <v>609.5</v>
      </c>
      <c r="Y78" s="48">
        <v>3</v>
      </c>
      <c r="Z78" s="48">
        <v>74</v>
      </c>
      <c r="AB78" s="48" t="s">
        <v>2146</v>
      </c>
      <c r="AC78" s="48" t="s">
        <v>2146</v>
      </c>
      <c r="AD78" s="48" t="s">
        <v>2147</v>
      </c>
      <c r="AE78" s="48" t="s">
        <v>51</v>
      </c>
      <c r="AF78" s="48" t="s">
        <v>2039</v>
      </c>
      <c r="AG78" s="48">
        <v>113</v>
      </c>
      <c r="AH78" s="48">
        <v>9</v>
      </c>
      <c r="AI78" s="48">
        <v>46</v>
      </c>
      <c r="AJ78" s="48">
        <v>43</v>
      </c>
      <c r="AK78" s="48">
        <v>27</v>
      </c>
      <c r="AL78" s="48">
        <v>109</v>
      </c>
      <c r="AM78" s="48">
        <v>124.5</v>
      </c>
      <c r="AN78" s="48">
        <v>5</v>
      </c>
      <c r="AO78" s="48">
        <v>33</v>
      </c>
      <c r="AP78" s="48">
        <v>77</v>
      </c>
      <c r="AQ78" s="48">
        <v>10</v>
      </c>
      <c r="AR78" s="48">
        <v>52</v>
      </c>
      <c r="AS78" s="48">
        <v>66</v>
      </c>
      <c r="AT78" s="48">
        <v>23</v>
      </c>
      <c r="AU78" s="48">
        <v>99</v>
      </c>
      <c r="AV78" s="48">
        <v>60</v>
      </c>
      <c r="AW78" s="48">
        <v>5</v>
      </c>
      <c r="AX78" s="48">
        <v>26</v>
      </c>
      <c r="AY78" s="48">
        <v>483.5</v>
      </c>
      <c r="AZ78" s="48">
        <v>16</v>
      </c>
      <c r="BA78" s="48">
        <v>75</v>
      </c>
    </row>
    <row r="79" spans="1:53" ht="15" hidden="1" customHeight="1">
      <c r="A79" s="48" t="s">
        <v>247</v>
      </c>
      <c r="B79" s="48" t="s">
        <v>247</v>
      </c>
      <c r="C79" s="48" t="s">
        <v>248</v>
      </c>
      <c r="D79" s="48" t="s">
        <v>50</v>
      </c>
      <c r="E79" s="48" t="s">
        <v>249</v>
      </c>
      <c r="F79" s="48">
        <v>107</v>
      </c>
      <c r="G79" s="48">
        <v>35</v>
      </c>
      <c r="H79" s="48">
        <v>429</v>
      </c>
      <c r="I79" s="48">
        <v>122</v>
      </c>
      <c r="J79" s="48">
        <v>4</v>
      </c>
      <c r="K79" s="48">
        <v>116</v>
      </c>
      <c r="L79" s="48">
        <v>119.5</v>
      </c>
      <c r="M79" s="48">
        <v>11</v>
      </c>
      <c r="N79" s="48">
        <v>229</v>
      </c>
      <c r="O79" s="48">
        <v>92</v>
      </c>
      <c r="P79" s="48">
        <v>3</v>
      </c>
      <c r="Q79" s="48">
        <v>48</v>
      </c>
      <c r="R79" s="48">
        <v>95</v>
      </c>
      <c r="S79" s="48">
        <v>1</v>
      </c>
      <c r="T79" s="48">
        <v>60</v>
      </c>
      <c r="U79" s="48">
        <v>74</v>
      </c>
      <c r="V79" s="48">
        <v>11</v>
      </c>
      <c r="W79" s="48">
        <v>247</v>
      </c>
      <c r="X79" s="48">
        <v>609.5</v>
      </c>
      <c r="Y79" s="48">
        <v>1</v>
      </c>
      <c r="Z79" s="48">
        <v>74</v>
      </c>
      <c r="AB79" s="48" t="s">
        <v>2148</v>
      </c>
      <c r="AC79" s="48" t="s">
        <v>2148</v>
      </c>
      <c r="AD79" s="48" t="s">
        <v>2149</v>
      </c>
      <c r="AE79" s="48" t="s">
        <v>51</v>
      </c>
      <c r="AF79" s="48" t="s">
        <v>2010</v>
      </c>
      <c r="AG79" s="48">
        <v>106</v>
      </c>
      <c r="AH79" s="48">
        <v>19</v>
      </c>
      <c r="AI79" s="48">
        <v>86</v>
      </c>
      <c r="AJ79" s="48">
        <v>48</v>
      </c>
      <c r="AK79" s="48">
        <v>28</v>
      </c>
      <c r="AL79" s="48">
        <v>102</v>
      </c>
      <c r="AM79" s="48">
        <v>123</v>
      </c>
      <c r="AN79" s="48">
        <v>7</v>
      </c>
      <c r="AO79" s="48">
        <v>37</v>
      </c>
      <c r="AP79" s="48">
        <v>81</v>
      </c>
      <c r="AQ79" s="48">
        <v>1</v>
      </c>
      <c r="AR79" s="48">
        <v>23</v>
      </c>
      <c r="AS79" s="48">
        <v>79</v>
      </c>
      <c r="AT79" s="48">
        <v>7</v>
      </c>
      <c r="AU79" s="48">
        <v>35</v>
      </c>
      <c r="AV79" s="48">
        <v>46</v>
      </c>
      <c r="AW79" s="48">
        <v>21</v>
      </c>
      <c r="AX79" s="48">
        <v>94</v>
      </c>
      <c r="AY79" s="48">
        <v>483</v>
      </c>
      <c r="AZ79" s="48">
        <v>13</v>
      </c>
      <c r="BA79" s="48">
        <v>76</v>
      </c>
    </row>
    <row r="80" spans="1:53" ht="15" hidden="1" customHeight="1">
      <c r="A80" s="48" t="s">
        <v>250</v>
      </c>
      <c r="B80" s="48" t="s">
        <v>250</v>
      </c>
      <c r="C80" s="48" t="s">
        <v>251</v>
      </c>
      <c r="D80" s="48" t="s">
        <v>50</v>
      </c>
      <c r="E80" s="48" t="s">
        <v>97</v>
      </c>
      <c r="F80" s="48">
        <v>117</v>
      </c>
      <c r="G80" s="48">
        <v>6</v>
      </c>
      <c r="H80" s="48">
        <v>86</v>
      </c>
      <c r="I80" s="48">
        <v>134</v>
      </c>
      <c r="J80" s="48">
        <v>4</v>
      </c>
      <c r="K80" s="48">
        <v>35</v>
      </c>
      <c r="L80" s="48">
        <v>108.5</v>
      </c>
      <c r="M80" s="48">
        <v>28</v>
      </c>
      <c r="N80" s="48">
        <v>508</v>
      </c>
      <c r="O80" s="48">
        <v>79</v>
      </c>
      <c r="P80" s="48">
        <v>11</v>
      </c>
      <c r="Q80" s="48">
        <v>236</v>
      </c>
      <c r="R80" s="48">
        <v>88</v>
      </c>
      <c r="S80" s="48">
        <v>12</v>
      </c>
      <c r="T80" s="48">
        <v>240</v>
      </c>
      <c r="U80" s="48">
        <v>83</v>
      </c>
      <c r="V80" s="48">
        <v>5</v>
      </c>
      <c r="W80" s="48">
        <v>30</v>
      </c>
      <c r="X80" s="48">
        <v>609.5</v>
      </c>
      <c r="Y80" s="48">
        <v>5</v>
      </c>
      <c r="Z80" s="48">
        <v>74</v>
      </c>
      <c r="AB80" s="48" t="s">
        <v>2150</v>
      </c>
      <c r="AC80" s="48" t="s">
        <v>2150</v>
      </c>
      <c r="AD80" s="48" t="s">
        <v>2151</v>
      </c>
      <c r="AE80" s="48" t="s">
        <v>51</v>
      </c>
      <c r="AF80" s="48" t="s">
        <v>1998</v>
      </c>
      <c r="AG80" s="48">
        <v>107</v>
      </c>
      <c r="AH80" s="48">
        <v>47</v>
      </c>
      <c r="AI80" s="48">
        <v>83</v>
      </c>
      <c r="AJ80" s="48">
        <v>63</v>
      </c>
      <c r="AK80" s="48">
        <v>47</v>
      </c>
      <c r="AL80" s="48">
        <v>83</v>
      </c>
      <c r="AM80" s="48">
        <v>111.5</v>
      </c>
      <c r="AN80" s="48">
        <v>39</v>
      </c>
      <c r="AO80" s="48">
        <v>66</v>
      </c>
      <c r="AP80" s="48">
        <v>70</v>
      </c>
      <c r="AQ80" s="48">
        <v>46</v>
      </c>
      <c r="AR80" s="48">
        <v>96</v>
      </c>
      <c r="AS80" s="48">
        <v>74</v>
      </c>
      <c r="AT80" s="48">
        <v>36</v>
      </c>
      <c r="AU80" s="48">
        <v>62</v>
      </c>
      <c r="AV80" s="48">
        <v>55</v>
      </c>
      <c r="AW80" s="48">
        <v>35</v>
      </c>
      <c r="AX80" s="48">
        <v>49</v>
      </c>
      <c r="AY80" s="48">
        <v>480.5</v>
      </c>
      <c r="AZ80" s="48">
        <v>48</v>
      </c>
      <c r="BA80" s="48">
        <v>77</v>
      </c>
    </row>
    <row r="81" spans="1:53" ht="15" hidden="1" customHeight="1">
      <c r="A81" s="48" t="s">
        <v>252</v>
      </c>
      <c r="B81" s="48" t="s">
        <v>252</v>
      </c>
      <c r="C81" s="48" t="s">
        <v>253</v>
      </c>
      <c r="D81" s="48" t="s">
        <v>50</v>
      </c>
      <c r="E81" s="48" t="s">
        <v>240</v>
      </c>
      <c r="F81" s="48">
        <v>107</v>
      </c>
      <c r="G81" s="48">
        <v>21</v>
      </c>
      <c r="H81" s="48">
        <v>429</v>
      </c>
      <c r="I81" s="48">
        <v>108</v>
      </c>
      <c r="J81" s="48">
        <v>17</v>
      </c>
      <c r="K81" s="48">
        <v>296</v>
      </c>
      <c r="L81" s="48">
        <v>120</v>
      </c>
      <c r="M81" s="48">
        <v>10</v>
      </c>
      <c r="N81" s="48">
        <v>211</v>
      </c>
      <c r="O81" s="48">
        <v>96</v>
      </c>
      <c r="P81" s="48">
        <v>4</v>
      </c>
      <c r="Q81" s="48">
        <v>25</v>
      </c>
      <c r="R81" s="48">
        <v>96</v>
      </c>
      <c r="S81" s="48">
        <v>1</v>
      </c>
      <c r="T81" s="48">
        <v>45</v>
      </c>
      <c r="U81" s="48">
        <v>82</v>
      </c>
      <c r="V81" s="48">
        <v>3</v>
      </c>
      <c r="W81" s="48">
        <v>46</v>
      </c>
      <c r="X81" s="48">
        <v>609</v>
      </c>
      <c r="Y81" s="48">
        <v>2</v>
      </c>
      <c r="Z81" s="48">
        <v>78</v>
      </c>
      <c r="AB81" s="48" t="s">
        <v>2152</v>
      </c>
      <c r="AC81" s="48" t="s">
        <v>2152</v>
      </c>
      <c r="AD81" s="48" t="s">
        <v>2153</v>
      </c>
      <c r="AE81" s="48" t="s">
        <v>51</v>
      </c>
      <c r="AF81" s="48" t="s">
        <v>2010</v>
      </c>
      <c r="AG81" s="48">
        <v>100</v>
      </c>
      <c r="AH81" s="48">
        <v>28</v>
      </c>
      <c r="AI81" s="48">
        <v>102</v>
      </c>
      <c r="AJ81" s="48">
        <v>85</v>
      </c>
      <c r="AK81" s="48">
        <v>6</v>
      </c>
      <c r="AL81" s="48">
        <v>42</v>
      </c>
      <c r="AM81" s="48">
        <v>96.5</v>
      </c>
      <c r="AN81" s="48">
        <v>29</v>
      </c>
      <c r="AO81" s="48">
        <v>107</v>
      </c>
      <c r="AP81" s="48">
        <v>81</v>
      </c>
      <c r="AQ81" s="48">
        <v>1</v>
      </c>
      <c r="AR81" s="48">
        <v>23</v>
      </c>
      <c r="AS81" s="48">
        <v>67</v>
      </c>
      <c r="AT81" s="48">
        <v>27</v>
      </c>
      <c r="AU81" s="48">
        <v>97</v>
      </c>
      <c r="AV81" s="48">
        <v>49</v>
      </c>
      <c r="AW81" s="48">
        <v>15</v>
      </c>
      <c r="AX81" s="48">
        <v>81</v>
      </c>
      <c r="AY81" s="48">
        <v>478.5</v>
      </c>
      <c r="AZ81" s="48">
        <v>14</v>
      </c>
      <c r="BA81" s="48">
        <v>78</v>
      </c>
    </row>
    <row r="82" spans="1:53" ht="15" hidden="1" customHeight="1">
      <c r="A82" s="48" t="s">
        <v>254</v>
      </c>
      <c r="B82" s="48" t="s">
        <v>254</v>
      </c>
      <c r="C82" s="48" t="s">
        <v>255</v>
      </c>
      <c r="D82" s="48" t="s">
        <v>50</v>
      </c>
      <c r="E82" s="48" t="s">
        <v>97</v>
      </c>
      <c r="F82" s="48">
        <v>105</v>
      </c>
      <c r="G82" s="48">
        <v>30</v>
      </c>
      <c r="H82" s="48">
        <v>515</v>
      </c>
      <c r="I82" s="48">
        <v>121</v>
      </c>
      <c r="J82" s="48">
        <v>8</v>
      </c>
      <c r="K82" s="48">
        <v>131</v>
      </c>
      <c r="L82" s="48">
        <v>116.5</v>
      </c>
      <c r="M82" s="48">
        <v>13</v>
      </c>
      <c r="N82" s="48">
        <v>298</v>
      </c>
      <c r="O82" s="48">
        <v>90</v>
      </c>
      <c r="P82" s="48">
        <v>5</v>
      </c>
      <c r="Q82" s="48">
        <v>63</v>
      </c>
      <c r="R82" s="48">
        <v>95</v>
      </c>
      <c r="S82" s="48">
        <v>3</v>
      </c>
      <c r="T82" s="48">
        <v>60</v>
      </c>
      <c r="U82" s="48">
        <v>81</v>
      </c>
      <c r="V82" s="48">
        <v>9</v>
      </c>
      <c r="W82" s="48">
        <v>66</v>
      </c>
      <c r="X82" s="48">
        <v>608.5</v>
      </c>
      <c r="Y82" s="48">
        <v>6</v>
      </c>
      <c r="Z82" s="48">
        <v>79</v>
      </c>
      <c r="AB82" s="48" t="s">
        <v>2154</v>
      </c>
      <c r="AC82" s="48" t="s">
        <v>2154</v>
      </c>
      <c r="AD82" s="48" t="s">
        <v>2155</v>
      </c>
      <c r="AE82" s="48" t="s">
        <v>51</v>
      </c>
      <c r="AF82" s="48" t="s">
        <v>2010</v>
      </c>
      <c r="AG82" s="48">
        <v>112</v>
      </c>
      <c r="AH82" s="48">
        <v>9</v>
      </c>
      <c r="AI82" s="48">
        <v>51</v>
      </c>
      <c r="AJ82" s="48">
        <v>61</v>
      </c>
      <c r="AK82" s="48">
        <v>21</v>
      </c>
      <c r="AL82" s="48">
        <v>85</v>
      </c>
      <c r="AM82" s="48">
        <v>120</v>
      </c>
      <c r="AN82" s="48">
        <v>9</v>
      </c>
      <c r="AO82" s="48">
        <v>43</v>
      </c>
      <c r="AP82" s="48">
        <v>74</v>
      </c>
      <c r="AQ82" s="48">
        <v>20</v>
      </c>
      <c r="AR82" s="48">
        <v>77</v>
      </c>
      <c r="AS82" s="48">
        <v>67</v>
      </c>
      <c r="AT82" s="48">
        <v>27</v>
      </c>
      <c r="AU82" s="48">
        <v>97</v>
      </c>
      <c r="AV82" s="48">
        <v>43</v>
      </c>
      <c r="AW82" s="48">
        <v>27</v>
      </c>
      <c r="AX82" s="48">
        <v>104</v>
      </c>
      <c r="AY82" s="48">
        <v>477</v>
      </c>
      <c r="AZ82" s="48">
        <v>15</v>
      </c>
      <c r="BA82" s="48">
        <v>79</v>
      </c>
    </row>
    <row r="83" spans="1:53" ht="15" hidden="1" customHeight="1">
      <c r="A83" s="48" t="s">
        <v>256</v>
      </c>
      <c r="B83" s="48" t="s">
        <v>256</v>
      </c>
      <c r="C83" s="48" t="s">
        <v>257</v>
      </c>
      <c r="D83" s="48" t="s">
        <v>50</v>
      </c>
      <c r="E83" s="48" t="s">
        <v>217</v>
      </c>
      <c r="F83" s="48">
        <v>123</v>
      </c>
      <c r="G83" s="48">
        <v>2</v>
      </c>
      <c r="H83" s="48">
        <v>20</v>
      </c>
      <c r="I83" s="48">
        <v>121</v>
      </c>
      <c r="J83" s="48">
        <v>6</v>
      </c>
      <c r="K83" s="48">
        <v>131</v>
      </c>
      <c r="L83" s="48">
        <v>119.5</v>
      </c>
      <c r="M83" s="48">
        <v>9</v>
      </c>
      <c r="N83" s="48">
        <v>229</v>
      </c>
      <c r="O83" s="48">
        <v>88</v>
      </c>
      <c r="P83" s="48">
        <v>6</v>
      </c>
      <c r="Q83" s="48">
        <v>87</v>
      </c>
      <c r="R83" s="48">
        <v>82</v>
      </c>
      <c r="S83" s="48">
        <v>21</v>
      </c>
      <c r="T83" s="48">
        <v>452</v>
      </c>
      <c r="U83" s="48">
        <v>75</v>
      </c>
      <c r="V83" s="48">
        <v>9</v>
      </c>
      <c r="W83" s="48">
        <v>219</v>
      </c>
      <c r="X83" s="48">
        <v>608.5</v>
      </c>
      <c r="Y83" s="48">
        <v>3</v>
      </c>
      <c r="Z83" s="48">
        <v>79</v>
      </c>
      <c r="AB83" s="48" t="s">
        <v>2156</v>
      </c>
      <c r="AC83" s="48" t="s">
        <v>2156</v>
      </c>
      <c r="AD83" s="48" t="s">
        <v>2157</v>
      </c>
      <c r="AE83" s="48" t="s">
        <v>51</v>
      </c>
      <c r="AF83" s="48" t="s">
        <v>1998</v>
      </c>
      <c r="AG83" s="48">
        <v>103</v>
      </c>
      <c r="AH83" s="48">
        <v>48</v>
      </c>
      <c r="AI83" s="48">
        <v>96</v>
      </c>
      <c r="AJ83" s="48">
        <v>87</v>
      </c>
      <c r="AK83" s="48">
        <v>30</v>
      </c>
      <c r="AL83" s="48">
        <v>39</v>
      </c>
      <c r="AM83" s="48">
        <v>110</v>
      </c>
      <c r="AN83" s="48">
        <v>41</v>
      </c>
      <c r="AO83" s="48">
        <v>69</v>
      </c>
      <c r="AP83" s="48">
        <v>68</v>
      </c>
      <c r="AQ83" s="48">
        <v>49</v>
      </c>
      <c r="AR83" s="48">
        <v>102</v>
      </c>
      <c r="AS83" s="48">
        <v>56</v>
      </c>
      <c r="AT83" s="48">
        <v>52</v>
      </c>
      <c r="AU83" s="48">
        <v>115</v>
      </c>
      <c r="AV83" s="48">
        <v>53</v>
      </c>
      <c r="AW83" s="48">
        <v>41</v>
      </c>
      <c r="AX83" s="48">
        <v>59</v>
      </c>
      <c r="AY83" s="48">
        <v>477</v>
      </c>
      <c r="AZ83" s="48">
        <v>49</v>
      </c>
      <c r="BA83" s="48">
        <v>79</v>
      </c>
    </row>
    <row r="84" spans="1:53" ht="15" customHeight="1">
      <c r="A84" s="48" t="s">
        <v>258</v>
      </c>
      <c r="B84" s="48" t="s">
        <v>258</v>
      </c>
      <c r="C84" s="48" t="s">
        <v>259</v>
      </c>
      <c r="D84" s="48" t="s">
        <v>50</v>
      </c>
      <c r="E84" s="48" t="s">
        <v>87</v>
      </c>
      <c r="F84" s="48">
        <v>121</v>
      </c>
      <c r="G84" s="48">
        <v>10</v>
      </c>
      <c r="H84" s="48">
        <v>30</v>
      </c>
      <c r="I84" s="48">
        <v>122</v>
      </c>
      <c r="J84" s="48">
        <v>25</v>
      </c>
      <c r="K84" s="48">
        <v>116</v>
      </c>
      <c r="L84" s="48">
        <v>129</v>
      </c>
      <c r="M84" s="48">
        <v>18</v>
      </c>
      <c r="N84" s="48">
        <v>50</v>
      </c>
      <c r="O84" s="48">
        <v>74</v>
      </c>
      <c r="P84" s="48">
        <v>47</v>
      </c>
      <c r="Q84" s="48">
        <v>345</v>
      </c>
      <c r="R84" s="48">
        <v>90</v>
      </c>
      <c r="S84" s="48">
        <v>40</v>
      </c>
      <c r="T84" s="48">
        <v>177</v>
      </c>
      <c r="U84" s="48">
        <v>72</v>
      </c>
      <c r="V84" s="48">
        <v>37</v>
      </c>
      <c r="W84" s="48">
        <v>312</v>
      </c>
      <c r="X84" s="48">
        <v>608</v>
      </c>
      <c r="Y84" s="48">
        <v>30</v>
      </c>
      <c r="Z84" s="48">
        <v>81</v>
      </c>
      <c r="AB84" s="48" t="s">
        <v>2158</v>
      </c>
      <c r="AC84" s="48" t="s">
        <v>2158</v>
      </c>
      <c r="AD84" s="48" t="s">
        <v>2159</v>
      </c>
      <c r="AE84" s="48" t="s">
        <v>51</v>
      </c>
      <c r="AF84" s="48" t="s">
        <v>2010</v>
      </c>
      <c r="AG84" s="48">
        <v>106</v>
      </c>
      <c r="AH84" s="48">
        <v>19</v>
      </c>
      <c r="AI84" s="48">
        <v>86</v>
      </c>
      <c r="AJ84" s="48">
        <v>60</v>
      </c>
      <c r="AK84" s="48">
        <v>23</v>
      </c>
      <c r="AL84" s="48">
        <v>88</v>
      </c>
      <c r="AM84" s="48">
        <v>119.5</v>
      </c>
      <c r="AN84" s="48">
        <v>10</v>
      </c>
      <c r="AO84" s="48">
        <v>46</v>
      </c>
      <c r="AP84" s="48">
        <v>79</v>
      </c>
      <c r="AQ84" s="48">
        <v>5</v>
      </c>
      <c r="AR84" s="48">
        <v>35</v>
      </c>
      <c r="AS84" s="48">
        <v>63</v>
      </c>
      <c r="AT84" s="48">
        <v>31</v>
      </c>
      <c r="AU84" s="48">
        <v>106</v>
      </c>
      <c r="AV84" s="48">
        <v>49</v>
      </c>
      <c r="AW84" s="48">
        <v>15</v>
      </c>
      <c r="AX84" s="48">
        <v>81</v>
      </c>
      <c r="AY84" s="48">
        <v>476.5</v>
      </c>
      <c r="AZ84" s="48">
        <v>16</v>
      </c>
      <c r="BA84" s="48">
        <v>81</v>
      </c>
    </row>
    <row r="85" spans="1:53" ht="15" hidden="1" customHeight="1">
      <c r="A85" s="48" t="s">
        <v>260</v>
      </c>
      <c r="B85" s="48" t="s">
        <v>260</v>
      </c>
      <c r="C85" s="48" t="s">
        <v>261</v>
      </c>
      <c r="D85" s="48" t="s">
        <v>50</v>
      </c>
      <c r="E85" s="48" t="s">
        <v>240</v>
      </c>
      <c r="F85" s="48">
        <v>92</v>
      </c>
      <c r="G85" s="48">
        <v>53</v>
      </c>
      <c r="H85" s="48">
        <v>882</v>
      </c>
      <c r="I85" s="48">
        <v>123</v>
      </c>
      <c r="J85" s="48">
        <v>6</v>
      </c>
      <c r="K85" s="48">
        <v>113</v>
      </c>
      <c r="L85" s="48">
        <v>114</v>
      </c>
      <c r="M85" s="48">
        <v>19</v>
      </c>
      <c r="N85" s="48">
        <v>356</v>
      </c>
      <c r="O85" s="48">
        <v>104</v>
      </c>
      <c r="P85" s="48">
        <v>1</v>
      </c>
      <c r="Q85" s="48">
        <v>3</v>
      </c>
      <c r="R85" s="48">
        <v>93</v>
      </c>
      <c r="S85" s="48">
        <v>3</v>
      </c>
      <c r="T85" s="48">
        <v>93</v>
      </c>
      <c r="U85" s="48">
        <v>82</v>
      </c>
      <c r="V85" s="48">
        <v>3</v>
      </c>
      <c r="W85" s="48">
        <v>46</v>
      </c>
      <c r="X85" s="48">
        <v>608</v>
      </c>
      <c r="Y85" s="48">
        <v>3</v>
      </c>
      <c r="Z85" s="48">
        <v>81</v>
      </c>
      <c r="AB85" s="48" t="s">
        <v>2160</v>
      </c>
      <c r="AC85" s="48" t="s">
        <v>2160</v>
      </c>
      <c r="AD85" s="48" t="s">
        <v>2161</v>
      </c>
      <c r="AE85" s="48" t="s">
        <v>51</v>
      </c>
      <c r="AF85" s="48" t="s">
        <v>1998</v>
      </c>
      <c r="AG85" s="48">
        <v>97</v>
      </c>
      <c r="AH85" s="48">
        <v>51</v>
      </c>
      <c r="AI85" s="48">
        <v>111</v>
      </c>
      <c r="AJ85" s="48">
        <v>71</v>
      </c>
      <c r="AK85" s="48">
        <v>42</v>
      </c>
      <c r="AL85" s="48">
        <v>70</v>
      </c>
      <c r="AM85" s="48">
        <v>114.5</v>
      </c>
      <c r="AN85" s="48">
        <v>36</v>
      </c>
      <c r="AO85" s="48">
        <v>57</v>
      </c>
      <c r="AP85" s="48">
        <v>68</v>
      </c>
      <c r="AQ85" s="48">
        <v>49</v>
      </c>
      <c r="AR85" s="48">
        <v>102</v>
      </c>
      <c r="AS85" s="48">
        <v>73</v>
      </c>
      <c r="AT85" s="48">
        <v>39</v>
      </c>
      <c r="AU85" s="48">
        <v>66</v>
      </c>
      <c r="AV85" s="48">
        <v>52</v>
      </c>
      <c r="AW85" s="48">
        <v>44</v>
      </c>
      <c r="AX85" s="48">
        <v>68</v>
      </c>
      <c r="AY85" s="48">
        <v>475.5</v>
      </c>
      <c r="AZ85" s="48">
        <v>50</v>
      </c>
      <c r="BA85" s="48">
        <v>82</v>
      </c>
    </row>
    <row r="86" spans="1:53" ht="15" hidden="1" customHeight="1">
      <c r="A86" s="48" t="s">
        <v>262</v>
      </c>
      <c r="B86" s="48" t="s">
        <v>262</v>
      </c>
      <c r="C86" s="48" t="s">
        <v>263</v>
      </c>
      <c r="D86" s="48" t="s">
        <v>50</v>
      </c>
      <c r="E86" s="48" t="s">
        <v>203</v>
      </c>
      <c r="F86" s="48">
        <v>117</v>
      </c>
      <c r="G86" s="48">
        <v>7</v>
      </c>
      <c r="H86" s="48">
        <v>86</v>
      </c>
      <c r="I86" s="48">
        <v>127</v>
      </c>
      <c r="J86" s="48">
        <v>4</v>
      </c>
      <c r="K86" s="48">
        <v>78</v>
      </c>
      <c r="L86" s="48">
        <v>112</v>
      </c>
      <c r="M86" s="48">
        <v>22</v>
      </c>
      <c r="N86" s="48">
        <v>413</v>
      </c>
      <c r="O86" s="48">
        <v>77</v>
      </c>
      <c r="P86" s="48">
        <v>16</v>
      </c>
      <c r="Q86" s="48">
        <v>278</v>
      </c>
      <c r="R86" s="48">
        <v>97</v>
      </c>
      <c r="S86" s="48">
        <v>2</v>
      </c>
      <c r="T86" s="48">
        <v>30</v>
      </c>
      <c r="U86" s="48">
        <v>78</v>
      </c>
      <c r="V86" s="48">
        <v>5</v>
      </c>
      <c r="W86" s="48">
        <v>133</v>
      </c>
      <c r="X86" s="48">
        <v>608</v>
      </c>
      <c r="Y86" s="48">
        <v>4</v>
      </c>
      <c r="Z86" s="48">
        <v>81</v>
      </c>
      <c r="AB86" s="48" t="s">
        <v>2162</v>
      </c>
      <c r="AC86" s="48" t="s">
        <v>2162</v>
      </c>
      <c r="AD86" s="48" t="s">
        <v>2163</v>
      </c>
      <c r="AE86" s="48" t="s">
        <v>51</v>
      </c>
      <c r="AF86" s="48" t="s">
        <v>2039</v>
      </c>
      <c r="AG86" s="48">
        <v>105</v>
      </c>
      <c r="AH86" s="48">
        <v>22</v>
      </c>
      <c r="AI86" s="48">
        <v>92</v>
      </c>
      <c r="AJ86" s="48">
        <v>84</v>
      </c>
      <c r="AK86" s="48">
        <v>7</v>
      </c>
      <c r="AL86" s="48">
        <v>45</v>
      </c>
      <c r="AM86" s="48">
        <v>95</v>
      </c>
      <c r="AN86" s="48">
        <v>32</v>
      </c>
      <c r="AO86" s="48">
        <v>112</v>
      </c>
      <c r="AP86" s="48">
        <v>70</v>
      </c>
      <c r="AQ86" s="48">
        <v>25</v>
      </c>
      <c r="AR86" s="48">
        <v>96</v>
      </c>
      <c r="AS86" s="48">
        <v>59</v>
      </c>
      <c r="AT86" s="48">
        <v>30</v>
      </c>
      <c r="AU86" s="48">
        <v>113</v>
      </c>
      <c r="AV86" s="48">
        <v>62</v>
      </c>
      <c r="AW86" s="48">
        <v>4</v>
      </c>
      <c r="AX86" s="48">
        <v>22</v>
      </c>
      <c r="AY86" s="48">
        <v>475</v>
      </c>
      <c r="AZ86" s="48">
        <v>17</v>
      </c>
      <c r="BA86" s="48">
        <v>83</v>
      </c>
    </row>
    <row r="87" spans="1:53" ht="15" hidden="1" customHeight="1">
      <c r="A87" s="48" t="s">
        <v>264</v>
      </c>
      <c r="B87" s="48" t="s">
        <v>264</v>
      </c>
      <c r="C87" s="48" t="s">
        <v>265</v>
      </c>
      <c r="D87" s="48" t="s">
        <v>50</v>
      </c>
      <c r="E87" s="48" t="s">
        <v>203</v>
      </c>
      <c r="F87" s="48">
        <v>121</v>
      </c>
      <c r="G87" s="48">
        <v>2</v>
      </c>
      <c r="H87" s="48">
        <v>30</v>
      </c>
      <c r="I87" s="48">
        <v>122</v>
      </c>
      <c r="J87" s="48">
        <v>7</v>
      </c>
      <c r="K87" s="48">
        <v>116</v>
      </c>
      <c r="L87" s="48">
        <v>116.5</v>
      </c>
      <c r="M87" s="48">
        <v>15</v>
      </c>
      <c r="N87" s="48">
        <v>298</v>
      </c>
      <c r="O87" s="48">
        <v>86</v>
      </c>
      <c r="P87" s="48">
        <v>4</v>
      </c>
      <c r="Q87" s="48">
        <v>101</v>
      </c>
      <c r="R87" s="48">
        <v>89</v>
      </c>
      <c r="S87" s="48">
        <v>14</v>
      </c>
      <c r="T87" s="48">
        <v>200</v>
      </c>
      <c r="U87" s="48">
        <v>73</v>
      </c>
      <c r="V87" s="48">
        <v>13</v>
      </c>
      <c r="W87" s="48">
        <v>275</v>
      </c>
      <c r="X87" s="48">
        <v>607.5</v>
      </c>
      <c r="Y87" s="48">
        <v>5</v>
      </c>
      <c r="Z87" s="48">
        <v>84</v>
      </c>
      <c r="AB87" s="48" t="s">
        <v>2164</v>
      </c>
      <c r="AC87" s="48" t="s">
        <v>2164</v>
      </c>
      <c r="AD87" s="48" t="s">
        <v>2165</v>
      </c>
      <c r="AE87" s="48" t="s">
        <v>51</v>
      </c>
      <c r="AF87" s="48" t="s">
        <v>2010</v>
      </c>
      <c r="AG87" s="48">
        <v>116</v>
      </c>
      <c r="AH87" s="48">
        <v>5</v>
      </c>
      <c r="AI87" s="48">
        <v>32</v>
      </c>
      <c r="AJ87" s="48">
        <v>54</v>
      </c>
      <c r="AK87" s="48">
        <v>25</v>
      </c>
      <c r="AL87" s="48">
        <v>97</v>
      </c>
      <c r="AM87" s="48">
        <v>102.5</v>
      </c>
      <c r="AN87" s="48">
        <v>25</v>
      </c>
      <c r="AO87" s="48">
        <v>95</v>
      </c>
      <c r="AP87" s="48">
        <v>72</v>
      </c>
      <c r="AQ87" s="48">
        <v>23</v>
      </c>
      <c r="AR87" s="48">
        <v>89</v>
      </c>
      <c r="AS87" s="48">
        <v>79</v>
      </c>
      <c r="AT87" s="48">
        <v>7</v>
      </c>
      <c r="AU87" s="48">
        <v>35</v>
      </c>
      <c r="AV87" s="48">
        <v>49</v>
      </c>
      <c r="AW87" s="48">
        <v>15</v>
      </c>
      <c r="AX87" s="48">
        <v>81</v>
      </c>
      <c r="AY87" s="48">
        <v>472.5</v>
      </c>
      <c r="AZ87" s="48">
        <v>17</v>
      </c>
      <c r="BA87" s="48">
        <v>84</v>
      </c>
    </row>
    <row r="88" spans="1:53" ht="15" customHeight="1">
      <c r="A88" s="48" t="s">
        <v>266</v>
      </c>
      <c r="B88" s="48" t="s">
        <v>266</v>
      </c>
      <c r="C88" s="48" t="s">
        <v>267</v>
      </c>
      <c r="D88" s="48" t="s">
        <v>50</v>
      </c>
      <c r="E88" s="48" t="s">
        <v>87</v>
      </c>
      <c r="F88" s="48">
        <v>105</v>
      </c>
      <c r="G88" s="48">
        <v>42</v>
      </c>
      <c r="H88" s="48">
        <v>515</v>
      </c>
      <c r="I88" s="48">
        <v>125</v>
      </c>
      <c r="J88" s="48">
        <v>22</v>
      </c>
      <c r="K88" s="48">
        <v>94</v>
      </c>
      <c r="L88" s="48">
        <v>130</v>
      </c>
      <c r="M88" s="48">
        <v>10</v>
      </c>
      <c r="N88" s="48">
        <v>34</v>
      </c>
      <c r="O88" s="48">
        <v>94</v>
      </c>
      <c r="P88" s="48">
        <v>11</v>
      </c>
      <c r="Q88" s="48">
        <v>35</v>
      </c>
      <c r="R88" s="48">
        <v>88</v>
      </c>
      <c r="S88" s="48">
        <v>45</v>
      </c>
      <c r="T88" s="48">
        <v>240</v>
      </c>
      <c r="U88" s="48">
        <v>65</v>
      </c>
      <c r="V88" s="48">
        <v>46</v>
      </c>
      <c r="W88" s="48">
        <v>554</v>
      </c>
      <c r="X88" s="48">
        <v>607</v>
      </c>
      <c r="Y88" s="48">
        <v>31</v>
      </c>
      <c r="Z88" s="48">
        <v>85</v>
      </c>
      <c r="AB88" s="48" t="s">
        <v>2166</v>
      </c>
      <c r="AC88" s="48" t="s">
        <v>2166</v>
      </c>
      <c r="AD88" s="48" t="s">
        <v>2167</v>
      </c>
      <c r="AE88" s="48" t="s">
        <v>51</v>
      </c>
      <c r="AF88" s="48" t="s">
        <v>2010</v>
      </c>
      <c r="AG88" s="48">
        <v>100</v>
      </c>
      <c r="AH88" s="48">
        <v>28</v>
      </c>
      <c r="AI88" s="48">
        <v>102</v>
      </c>
      <c r="AJ88" s="48">
        <v>69</v>
      </c>
      <c r="AK88" s="48">
        <v>15</v>
      </c>
      <c r="AL88" s="48">
        <v>72</v>
      </c>
      <c r="AM88" s="48">
        <v>107</v>
      </c>
      <c r="AN88" s="48">
        <v>21</v>
      </c>
      <c r="AO88" s="48">
        <v>79</v>
      </c>
      <c r="AP88" s="48">
        <v>79</v>
      </c>
      <c r="AQ88" s="48">
        <v>5</v>
      </c>
      <c r="AR88" s="48">
        <v>35</v>
      </c>
      <c r="AS88" s="48">
        <v>66</v>
      </c>
      <c r="AT88" s="48">
        <v>29</v>
      </c>
      <c r="AU88" s="48">
        <v>99</v>
      </c>
      <c r="AV88" s="48">
        <v>49</v>
      </c>
      <c r="AW88" s="48">
        <v>15</v>
      </c>
      <c r="AX88" s="48">
        <v>81</v>
      </c>
      <c r="AY88" s="48">
        <v>470</v>
      </c>
      <c r="AZ88" s="48">
        <v>18</v>
      </c>
      <c r="BA88" s="48">
        <v>85</v>
      </c>
    </row>
    <row r="89" spans="1:53" ht="15" hidden="1" customHeight="1">
      <c r="A89" s="48" t="s">
        <v>268</v>
      </c>
      <c r="B89" s="48" t="s">
        <v>268</v>
      </c>
      <c r="C89" s="48" t="s">
        <v>269</v>
      </c>
      <c r="D89" s="48" t="s">
        <v>50</v>
      </c>
      <c r="E89" s="48" t="s">
        <v>133</v>
      </c>
      <c r="F89" s="48">
        <v>124</v>
      </c>
      <c r="G89" s="48">
        <v>2</v>
      </c>
      <c r="H89" s="48">
        <v>17</v>
      </c>
      <c r="I89" s="48">
        <v>130</v>
      </c>
      <c r="J89" s="48">
        <v>3</v>
      </c>
      <c r="K89" s="48">
        <v>54</v>
      </c>
      <c r="L89" s="48">
        <v>123</v>
      </c>
      <c r="M89" s="48">
        <v>8</v>
      </c>
      <c r="N89" s="48">
        <v>132</v>
      </c>
      <c r="O89" s="48">
        <v>94</v>
      </c>
      <c r="P89" s="48">
        <v>3</v>
      </c>
      <c r="Q89" s="48">
        <v>35</v>
      </c>
      <c r="R89" s="48">
        <v>70</v>
      </c>
      <c r="S89" s="48">
        <v>54</v>
      </c>
      <c r="T89" s="48">
        <v>787</v>
      </c>
      <c r="U89" s="48">
        <v>66</v>
      </c>
      <c r="V89" s="48">
        <v>37</v>
      </c>
      <c r="W89" s="48">
        <v>519</v>
      </c>
      <c r="X89" s="48">
        <v>607</v>
      </c>
      <c r="Y89" s="48">
        <v>4</v>
      </c>
      <c r="Z89" s="48">
        <v>85</v>
      </c>
      <c r="AB89" s="48" t="s">
        <v>2168</v>
      </c>
      <c r="AC89" s="48" t="s">
        <v>2168</v>
      </c>
      <c r="AD89" s="48" t="s">
        <v>2169</v>
      </c>
      <c r="AE89" s="48" t="s">
        <v>51</v>
      </c>
      <c r="AF89" s="48" t="s">
        <v>2010</v>
      </c>
      <c r="AG89" s="48">
        <v>96</v>
      </c>
      <c r="AH89" s="48">
        <v>33</v>
      </c>
      <c r="AI89" s="48">
        <v>113</v>
      </c>
      <c r="AJ89" s="48">
        <v>81</v>
      </c>
      <c r="AK89" s="48">
        <v>10</v>
      </c>
      <c r="AL89" s="48">
        <v>53</v>
      </c>
      <c r="AM89" s="48">
        <v>105.5</v>
      </c>
      <c r="AN89" s="48">
        <v>23</v>
      </c>
      <c r="AO89" s="48">
        <v>84</v>
      </c>
      <c r="AP89" s="48">
        <v>68</v>
      </c>
      <c r="AQ89" s="48">
        <v>27</v>
      </c>
      <c r="AR89" s="48">
        <v>102</v>
      </c>
      <c r="AS89" s="48">
        <v>69</v>
      </c>
      <c r="AT89" s="48">
        <v>21</v>
      </c>
      <c r="AU89" s="48">
        <v>85</v>
      </c>
      <c r="AV89" s="48">
        <v>50</v>
      </c>
      <c r="AW89" s="48">
        <v>14</v>
      </c>
      <c r="AX89" s="48">
        <v>76</v>
      </c>
      <c r="AY89" s="48">
        <v>469.5</v>
      </c>
      <c r="AZ89" s="48">
        <v>19</v>
      </c>
      <c r="BA89" s="48">
        <v>86</v>
      </c>
    </row>
    <row r="90" spans="1:53" ht="15" hidden="1" customHeight="1">
      <c r="A90" s="48" t="s">
        <v>270</v>
      </c>
      <c r="B90" s="48" t="s">
        <v>270</v>
      </c>
      <c r="C90" s="48" t="s">
        <v>271</v>
      </c>
      <c r="D90" s="48" t="s">
        <v>50</v>
      </c>
      <c r="E90" s="48" t="s">
        <v>240</v>
      </c>
      <c r="F90" s="48">
        <v>107</v>
      </c>
      <c r="G90" s="48">
        <v>21</v>
      </c>
      <c r="H90" s="48">
        <v>429</v>
      </c>
      <c r="I90" s="48">
        <v>135</v>
      </c>
      <c r="J90" s="48">
        <v>3</v>
      </c>
      <c r="K90" s="48">
        <v>34</v>
      </c>
      <c r="L90" s="48">
        <v>123.5</v>
      </c>
      <c r="M90" s="48">
        <v>5</v>
      </c>
      <c r="N90" s="48">
        <v>124</v>
      </c>
      <c r="O90" s="48">
        <v>79</v>
      </c>
      <c r="P90" s="48">
        <v>13</v>
      </c>
      <c r="Q90" s="48">
        <v>236</v>
      </c>
      <c r="R90" s="48">
        <v>92</v>
      </c>
      <c r="S90" s="48">
        <v>6</v>
      </c>
      <c r="T90" s="48">
        <v>116</v>
      </c>
      <c r="U90" s="48">
        <v>70</v>
      </c>
      <c r="V90" s="48">
        <v>23</v>
      </c>
      <c r="W90" s="48">
        <v>380</v>
      </c>
      <c r="X90" s="48">
        <v>606.5</v>
      </c>
      <c r="Y90" s="48">
        <v>4</v>
      </c>
      <c r="Z90" s="48">
        <v>87</v>
      </c>
      <c r="AB90" s="48" t="s">
        <v>2170</v>
      </c>
      <c r="AC90" s="48" t="s">
        <v>2170</v>
      </c>
      <c r="AD90" s="48" t="s">
        <v>2171</v>
      </c>
      <c r="AE90" s="48" t="s">
        <v>51</v>
      </c>
      <c r="AF90" s="48" t="s">
        <v>2010</v>
      </c>
      <c r="AG90" s="48">
        <v>106</v>
      </c>
      <c r="AH90" s="48">
        <v>19</v>
      </c>
      <c r="AI90" s="48">
        <v>86</v>
      </c>
      <c r="AJ90" s="48">
        <v>92</v>
      </c>
      <c r="AK90" s="48">
        <v>3</v>
      </c>
      <c r="AL90" s="48">
        <v>32</v>
      </c>
      <c r="AM90" s="48">
        <v>88.5</v>
      </c>
      <c r="AN90" s="48">
        <v>33</v>
      </c>
      <c r="AO90" s="48">
        <v>116</v>
      </c>
      <c r="AP90" s="48">
        <v>71</v>
      </c>
      <c r="AQ90" s="48">
        <v>26</v>
      </c>
      <c r="AR90" s="48">
        <v>94</v>
      </c>
      <c r="AS90" s="48">
        <v>63</v>
      </c>
      <c r="AT90" s="48">
        <v>31</v>
      </c>
      <c r="AU90" s="48">
        <v>106</v>
      </c>
      <c r="AV90" s="48">
        <v>49</v>
      </c>
      <c r="AW90" s="48">
        <v>15</v>
      </c>
      <c r="AX90" s="48">
        <v>81</v>
      </c>
      <c r="AY90" s="48">
        <v>469.5</v>
      </c>
      <c r="AZ90" s="48">
        <v>19</v>
      </c>
      <c r="BA90" s="48">
        <v>86</v>
      </c>
    </row>
    <row r="91" spans="1:53" ht="15" hidden="1" customHeight="1">
      <c r="A91" s="48" t="s">
        <v>272</v>
      </c>
      <c r="B91" s="48" t="s">
        <v>272</v>
      </c>
      <c r="C91" s="48" t="s">
        <v>273</v>
      </c>
      <c r="D91" s="48" t="s">
        <v>50</v>
      </c>
      <c r="E91" s="48" t="s">
        <v>97</v>
      </c>
      <c r="F91" s="48">
        <v>110</v>
      </c>
      <c r="G91" s="48">
        <v>19</v>
      </c>
      <c r="H91" s="48">
        <v>310</v>
      </c>
      <c r="I91" s="48">
        <v>109</v>
      </c>
      <c r="J91" s="48">
        <v>13</v>
      </c>
      <c r="K91" s="48">
        <v>278</v>
      </c>
      <c r="L91" s="48">
        <v>124.5</v>
      </c>
      <c r="M91" s="48">
        <v>7</v>
      </c>
      <c r="N91" s="48">
        <v>103</v>
      </c>
      <c r="O91" s="48">
        <v>84</v>
      </c>
      <c r="P91" s="48">
        <v>8</v>
      </c>
      <c r="Q91" s="48">
        <v>131</v>
      </c>
      <c r="R91" s="48">
        <v>94</v>
      </c>
      <c r="S91" s="48">
        <v>4</v>
      </c>
      <c r="T91" s="48">
        <v>78</v>
      </c>
      <c r="U91" s="48">
        <v>84</v>
      </c>
      <c r="V91" s="48">
        <v>4</v>
      </c>
      <c r="W91" s="48">
        <v>21</v>
      </c>
      <c r="X91" s="48">
        <v>605.5</v>
      </c>
      <c r="Y91" s="48">
        <v>7</v>
      </c>
      <c r="Z91" s="48">
        <v>88</v>
      </c>
      <c r="AB91" s="48" t="s">
        <v>2172</v>
      </c>
      <c r="AC91" s="48" t="s">
        <v>2172</v>
      </c>
      <c r="AD91" s="48" t="s">
        <v>2173</v>
      </c>
      <c r="AE91" s="48" t="s">
        <v>51</v>
      </c>
      <c r="AF91" s="48" t="s">
        <v>2010</v>
      </c>
      <c r="AG91" s="48">
        <v>102</v>
      </c>
      <c r="AH91" s="48">
        <v>27</v>
      </c>
      <c r="AI91" s="48">
        <v>99</v>
      </c>
      <c r="AJ91" s="48">
        <v>38</v>
      </c>
      <c r="AK91" s="48">
        <v>33</v>
      </c>
      <c r="AL91" s="48">
        <v>114</v>
      </c>
      <c r="AM91" s="48">
        <v>131.5</v>
      </c>
      <c r="AN91" s="48">
        <v>2</v>
      </c>
      <c r="AO91" s="48">
        <v>7</v>
      </c>
      <c r="AP91" s="48">
        <v>75</v>
      </c>
      <c r="AQ91" s="48">
        <v>14</v>
      </c>
      <c r="AR91" s="48">
        <v>66</v>
      </c>
      <c r="AS91" s="48">
        <v>81</v>
      </c>
      <c r="AT91" s="48">
        <v>4</v>
      </c>
      <c r="AU91" s="48">
        <v>22</v>
      </c>
      <c r="AV91" s="48">
        <v>42</v>
      </c>
      <c r="AW91" s="48">
        <v>28</v>
      </c>
      <c r="AX91" s="48">
        <v>106</v>
      </c>
      <c r="AY91" s="48">
        <v>469.5</v>
      </c>
      <c r="AZ91" s="48">
        <v>19</v>
      </c>
      <c r="BA91" s="48">
        <v>86</v>
      </c>
    </row>
    <row r="92" spans="1:53" ht="15" hidden="1" customHeight="1">
      <c r="A92" s="48" t="s">
        <v>274</v>
      </c>
      <c r="B92" s="48" t="s">
        <v>274</v>
      </c>
      <c r="C92" s="48" t="s">
        <v>275</v>
      </c>
      <c r="D92" s="48" t="s">
        <v>50</v>
      </c>
      <c r="E92" s="48" t="s">
        <v>122</v>
      </c>
      <c r="F92" s="48">
        <v>121</v>
      </c>
      <c r="G92" s="48">
        <v>5</v>
      </c>
      <c r="H92" s="48">
        <v>30</v>
      </c>
      <c r="I92" s="48">
        <v>102</v>
      </c>
      <c r="J92" s="48">
        <v>31</v>
      </c>
      <c r="K92" s="48">
        <v>386</v>
      </c>
      <c r="L92" s="48">
        <v>131.5</v>
      </c>
      <c r="M92" s="48">
        <v>2</v>
      </c>
      <c r="N92" s="48">
        <v>25</v>
      </c>
      <c r="O92" s="48">
        <v>76</v>
      </c>
      <c r="P92" s="48">
        <v>22</v>
      </c>
      <c r="Q92" s="48">
        <v>302</v>
      </c>
      <c r="R92" s="48">
        <v>97</v>
      </c>
      <c r="S92" s="48">
        <v>3</v>
      </c>
      <c r="T92" s="48">
        <v>30</v>
      </c>
      <c r="U92" s="48">
        <v>78</v>
      </c>
      <c r="V92" s="48">
        <v>10</v>
      </c>
      <c r="W92" s="48">
        <v>133</v>
      </c>
      <c r="X92" s="48">
        <v>605.5</v>
      </c>
      <c r="Y92" s="48">
        <v>8</v>
      </c>
      <c r="Z92" s="48">
        <v>88</v>
      </c>
      <c r="AB92" s="48" t="s">
        <v>2174</v>
      </c>
      <c r="AC92" s="48" t="s">
        <v>2174</v>
      </c>
      <c r="AD92" s="48" t="s">
        <v>2175</v>
      </c>
      <c r="AE92" s="48" t="s">
        <v>51</v>
      </c>
      <c r="AF92" s="48" t="s">
        <v>2039</v>
      </c>
      <c r="AG92" s="48">
        <v>113</v>
      </c>
      <c r="AH92" s="48">
        <v>9</v>
      </c>
      <c r="AI92" s="48">
        <v>46</v>
      </c>
      <c r="AJ92" s="48">
        <v>43</v>
      </c>
      <c r="AK92" s="48">
        <v>27</v>
      </c>
      <c r="AL92" s="48">
        <v>109</v>
      </c>
      <c r="AM92" s="48">
        <v>124.5</v>
      </c>
      <c r="AN92" s="48">
        <v>5</v>
      </c>
      <c r="AO92" s="48">
        <v>33</v>
      </c>
      <c r="AP92" s="48">
        <v>80</v>
      </c>
      <c r="AQ92" s="48">
        <v>6</v>
      </c>
      <c r="AR92" s="48">
        <v>31</v>
      </c>
      <c r="AS92" s="48">
        <v>64</v>
      </c>
      <c r="AT92" s="48">
        <v>25</v>
      </c>
      <c r="AU92" s="48">
        <v>104</v>
      </c>
      <c r="AV92" s="48">
        <v>42</v>
      </c>
      <c r="AW92" s="48">
        <v>27</v>
      </c>
      <c r="AX92" s="48">
        <v>106</v>
      </c>
      <c r="AY92" s="48">
        <v>466.5</v>
      </c>
      <c r="AZ92" s="48">
        <v>18</v>
      </c>
      <c r="BA92" s="48">
        <v>89</v>
      </c>
    </row>
    <row r="93" spans="1:53" ht="15" hidden="1" customHeight="1">
      <c r="A93" s="48" t="s">
        <v>276</v>
      </c>
      <c r="B93" s="48" t="s">
        <v>276</v>
      </c>
      <c r="C93" s="48" t="s">
        <v>277</v>
      </c>
      <c r="D93" s="48" t="s">
        <v>50</v>
      </c>
      <c r="E93" s="48" t="s">
        <v>249</v>
      </c>
      <c r="F93" s="48">
        <v>109</v>
      </c>
      <c r="G93" s="48">
        <v>29</v>
      </c>
      <c r="H93" s="48">
        <v>353</v>
      </c>
      <c r="I93" s="48">
        <v>118</v>
      </c>
      <c r="J93" s="48">
        <v>7</v>
      </c>
      <c r="K93" s="48">
        <v>162</v>
      </c>
      <c r="L93" s="48">
        <v>124</v>
      </c>
      <c r="M93" s="48">
        <v>5</v>
      </c>
      <c r="N93" s="48">
        <v>115</v>
      </c>
      <c r="O93" s="48">
        <v>82</v>
      </c>
      <c r="P93" s="48">
        <v>6</v>
      </c>
      <c r="Q93" s="48">
        <v>171</v>
      </c>
      <c r="R93" s="48">
        <v>94</v>
      </c>
      <c r="S93" s="48">
        <v>2</v>
      </c>
      <c r="T93" s="48">
        <v>78</v>
      </c>
      <c r="U93" s="48">
        <v>78</v>
      </c>
      <c r="V93" s="48">
        <v>3</v>
      </c>
      <c r="W93" s="48">
        <v>133</v>
      </c>
      <c r="X93" s="48">
        <v>605</v>
      </c>
      <c r="Y93" s="48">
        <v>2</v>
      </c>
      <c r="Z93" s="48">
        <v>90</v>
      </c>
      <c r="AB93" s="48" t="s">
        <v>2176</v>
      </c>
      <c r="AC93" s="48" t="s">
        <v>2176</v>
      </c>
      <c r="AD93" s="48" t="s">
        <v>2177</v>
      </c>
      <c r="AE93" s="48" t="s">
        <v>51</v>
      </c>
      <c r="AF93" s="48" t="s">
        <v>2039</v>
      </c>
      <c r="AG93" s="48">
        <v>112</v>
      </c>
      <c r="AH93" s="48">
        <v>11</v>
      </c>
      <c r="AI93" s="48">
        <v>51</v>
      </c>
      <c r="AJ93" s="48">
        <v>85</v>
      </c>
      <c r="AK93" s="48">
        <v>6</v>
      </c>
      <c r="AL93" s="48">
        <v>42</v>
      </c>
      <c r="AM93" s="48">
        <v>99</v>
      </c>
      <c r="AN93" s="48">
        <v>25</v>
      </c>
      <c r="AO93" s="48">
        <v>102</v>
      </c>
      <c r="AP93" s="48">
        <v>74</v>
      </c>
      <c r="AQ93" s="48">
        <v>18</v>
      </c>
      <c r="AR93" s="48">
        <v>77</v>
      </c>
      <c r="AS93" s="48">
        <v>53</v>
      </c>
      <c r="AT93" s="48">
        <v>33</v>
      </c>
      <c r="AU93" s="48">
        <v>118</v>
      </c>
      <c r="AV93" s="48">
        <v>42</v>
      </c>
      <c r="AW93" s="48">
        <v>27</v>
      </c>
      <c r="AX93" s="48">
        <v>106</v>
      </c>
      <c r="AY93" s="48">
        <v>465</v>
      </c>
      <c r="AZ93" s="48">
        <v>19</v>
      </c>
      <c r="BA93" s="48">
        <v>90</v>
      </c>
    </row>
    <row r="94" spans="1:53" ht="15" hidden="1" customHeight="1">
      <c r="A94" s="48" t="s">
        <v>278</v>
      </c>
      <c r="B94" s="48" t="s">
        <v>278</v>
      </c>
      <c r="C94" s="48" t="s">
        <v>279</v>
      </c>
      <c r="D94" s="48" t="s">
        <v>50</v>
      </c>
      <c r="E94" s="48" t="s">
        <v>172</v>
      </c>
      <c r="F94" s="48">
        <v>108</v>
      </c>
      <c r="G94" s="48">
        <v>19</v>
      </c>
      <c r="H94" s="48">
        <v>391</v>
      </c>
      <c r="I94" s="48">
        <v>136</v>
      </c>
      <c r="J94" s="48">
        <v>3</v>
      </c>
      <c r="K94" s="48">
        <v>31</v>
      </c>
      <c r="L94" s="48">
        <v>105.5</v>
      </c>
      <c r="M94" s="48">
        <v>30</v>
      </c>
      <c r="N94" s="48">
        <v>568</v>
      </c>
      <c r="O94" s="48">
        <v>96</v>
      </c>
      <c r="P94" s="48">
        <v>3</v>
      </c>
      <c r="Q94" s="48">
        <v>25</v>
      </c>
      <c r="R94" s="48">
        <v>86</v>
      </c>
      <c r="S94" s="48">
        <v>14</v>
      </c>
      <c r="T94" s="48">
        <v>304</v>
      </c>
      <c r="U94" s="48">
        <v>73</v>
      </c>
      <c r="V94" s="48">
        <v>14</v>
      </c>
      <c r="W94" s="48">
        <v>275</v>
      </c>
      <c r="X94" s="48">
        <v>604.5</v>
      </c>
      <c r="Y94" s="48">
        <v>4</v>
      </c>
      <c r="Z94" s="48">
        <v>91</v>
      </c>
      <c r="AB94" s="48" t="s">
        <v>2178</v>
      </c>
      <c r="AC94" s="48" t="s">
        <v>2178</v>
      </c>
      <c r="AD94" s="48" t="s">
        <v>2179</v>
      </c>
      <c r="AE94" s="48" t="s">
        <v>51</v>
      </c>
      <c r="AF94" s="48" t="s">
        <v>2039</v>
      </c>
      <c r="AG94" s="48">
        <v>109</v>
      </c>
      <c r="AH94" s="48">
        <v>16</v>
      </c>
      <c r="AI94" s="48">
        <v>74</v>
      </c>
      <c r="AJ94" s="48">
        <v>56</v>
      </c>
      <c r="AK94" s="48">
        <v>20</v>
      </c>
      <c r="AL94" s="48">
        <v>95</v>
      </c>
      <c r="AM94" s="48">
        <v>105.5</v>
      </c>
      <c r="AN94" s="48">
        <v>16</v>
      </c>
      <c r="AO94" s="48">
        <v>84</v>
      </c>
      <c r="AP94" s="48">
        <v>76</v>
      </c>
      <c r="AQ94" s="48">
        <v>13</v>
      </c>
      <c r="AR94" s="48">
        <v>59</v>
      </c>
      <c r="AS94" s="48">
        <v>70</v>
      </c>
      <c r="AT94" s="48">
        <v>18</v>
      </c>
      <c r="AU94" s="48">
        <v>80</v>
      </c>
      <c r="AV94" s="48">
        <v>48</v>
      </c>
      <c r="AW94" s="48">
        <v>20</v>
      </c>
      <c r="AX94" s="48">
        <v>87</v>
      </c>
      <c r="AY94" s="48">
        <v>464.5</v>
      </c>
      <c r="AZ94" s="48">
        <v>20</v>
      </c>
      <c r="BA94" s="48">
        <v>91</v>
      </c>
    </row>
    <row r="95" spans="1:53" ht="15" hidden="1" customHeight="1">
      <c r="A95" s="48" t="s">
        <v>280</v>
      </c>
      <c r="B95" s="48" t="s">
        <v>280</v>
      </c>
      <c r="C95" s="48" t="s">
        <v>281</v>
      </c>
      <c r="D95" s="48" t="s">
        <v>50</v>
      </c>
      <c r="E95" s="48" t="s">
        <v>240</v>
      </c>
      <c r="F95" s="48">
        <v>111</v>
      </c>
      <c r="G95" s="48">
        <v>12</v>
      </c>
      <c r="H95" s="48">
        <v>271</v>
      </c>
      <c r="I95" s="48">
        <v>109</v>
      </c>
      <c r="J95" s="48">
        <v>15</v>
      </c>
      <c r="K95" s="48">
        <v>278</v>
      </c>
      <c r="L95" s="48">
        <v>121</v>
      </c>
      <c r="M95" s="48">
        <v>9</v>
      </c>
      <c r="N95" s="48">
        <v>173</v>
      </c>
      <c r="O95" s="48">
        <v>100</v>
      </c>
      <c r="P95" s="48">
        <v>2</v>
      </c>
      <c r="Q95" s="48">
        <v>13</v>
      </c>
      <c r="R95" s="48">
        <v>84</v>
      </c>
      <c r="S95" s="48">
        <v>17</v>
      </c>
      <c r="T95" s="48">
        <v>379</v>
      </c>
      <c r="U95" s="48">
        <v>79</v>
      </c>
      <c r="V95" s="48">
        <v>7</v>
      </c>
      <c r="W95" s="48">
        <v>103</v>
      </c>
      <c r="X95" s="48">
        <v>604</v>
      </c>
      <c r="Y95" s="48">
        <v>5</v>
      </c>
      <c r="Z95" s="48">
        <v>92</v>
      </c>
      <c r="AB95" s="48" t="s">
        <v>2180</v>
      </c>
      <c r="AC95" s="48" t="s">
        <v>2180</v>
      </c>
      <c r="AD95" s="48" t="s">
        <v>2181</v>
      </c>
      <c r="AE95" s="48" t="s">
        <v>51</v>
      </c>
      <c r="AF95" s="48" t="s">
        <v>2010</v>
      </c>
      <c r="AG95" s="48">
        <v>106</v>
      </c>
      <c r="AH95" s="48">
        <v>19</v>
      </c>
      <c r="AI95" s="48">
        <v>86</v>
      </c>
      <c r="AJ95" s="48">
        <v>76</v>
      </c>
      <c r="AK95" s="48">
        <v>12</v>
      </c>
      <c r="AL95" s="48">
        <v>63</v>
      </c>
      <c r="AM95" s="48">
        <v>102.5</v>
      </c>
      <c r="AN95" s="48">
        <v>25</v>
      </c>
      <c r="AO95" s="48">
        <v>95</v>
      </c>
      <c r="AP95" s="48">
        <v>66</v>
      </c>
      <c r="AQ95" s="48">
        <v>28</v>
      </c>
      <c r="AR95" s="48">
        <v>108</v>
      </c>
      <c r="AS95" s="48">
        <v>69</v>
      </c>
      <c r="AT95" s="48">
        <v>21</v>
      </c>
      <c r="AU95" s="48">
        <v>85</v>
      </c>
      <c r="AV95" s="48">
        <v>44</v>
      </c>
      <c r="AW95" s="48">
        <v>26</v>
      </c>
      <c r="AX95" s="48">
        <v>101</v>
      </c>
      <c r="AY95" s="48">
        <v>463.5</v>
      </c>
      <c r="AZ95" s="48">
        <v>22</v>
      </c>
      <c r="BA95" s="48">
        <v>92</v>
      </c>
    </row>
    <row r="96" spans="1:53" ht="15" customHeight="1">
      <c r="A96" s="48" t="s">
        <v>282</v>
      </c>
      <c r="B96" s="48" t="s">
        <v>282</v>
      </c>
      <c r="C96" s="48" t="s">
        <v>283</v>
      </c>
      <c r="D96" s="48" t="s">
        <v>50</v>
      </c>
      <c r="E96" s="48" t="s">
        <v>87</v>
      </c>
      <c r="F96" s="48">
        <v>110</v>
      </c>
      <c r="G96" s="48">
        <v>37</v>
      </c>
      <c r="H96" s="48">
        <v>310</v>
      </c>
      <c r="I96" s="48">
        <v>113</v>
      </c>
      <c r="J96" s="48">
        <v>38</v>
      </c>
      <c r="K96" s="48">
        <v>224</v>
      </c>
      <c r="L96" s="48">
        <v>132.5</v>
      </c>
      <c r="M96" s="48">
        <v>5</v>
      </c>
      <c r="N96" s="48">
        <v>20</v>
      </c>
      <c r="O96" s="48">
        <v>72</v>
      </c>
      <c r="P96" s="48">
        <v>48</v>
      </c>
      <c r="Q96" s="48">
        <v>392</v>
      </c>
      <c r="R96" s="48">
        <v>97</v>
      </c>
      <c r="S96" s="48">
        <v>19</v>
      </c>
      <c r="T96" s="48">
        <v>30</v>
      </c>
      <c r="U96" s="48">
        <v>79</v>
      </c>
      <c r="V96" s="48">
        <v>20</v>
      </c>
      <c r="W96" s="48">
        <v>103</v>
      </c>
      <c r="X96" s="48">
        <v>603.5</v>
      </c>
      <c r="Y96" s="48">
        <v>32</v>
      </c>
      <c r="Z96" s="48">
        <v>93</v>
      </c>
      <c r="AB96" s="48" t="s">
        <v>2182</v>
      </c>
      <c r="AC96" s="48" t="s">
        <v>2182</v>
      </c>
      <c r="AD96" s="48" t="s">
        <v>2183</v>
      </c>
      <c r="AE96" s="48" t="s">
        <v>51</v>
      </c>
      <c r="AF96" s="48" t="s">
        <v>1998</v>
      </c>
      <c r="AG96" s="48">
        <v>93</v>
      </c>
      <c r="AH96" s="48">
        <v>52</v>
      </c>
      <c r="AI96" s="48">
        <v>116</v>
      </c>
      <c r="AJ96" s="48">
        <v>69</v>
      </c>
      <c r="AK96" s="48">
        <v>44</v>
      </c>
      <c r="AL96" s="48">
        <v>72</v>
      </c>
      <c r="AM96" s="48">
        <v>108</v>
      </c>
      <c r="AN96" s="48">
        <v>44</v>
      </c>
      <c r="AO96" s="48">
        <v>74</v>
      </c>
      <c r="AP96" s="48">
        <v>68</v>
      </c>
      <c r="AQ96" s="48">
        <v>49</v>
      </c>
      <c r="AR96" s="48">
        <v>102</v>
      </c>
      <c r="AS96" s="48">
        <v>69</v>
      </c>
      <c r="AT96" s="48">
        <v>46</v>
      </c>
      <c r="AU96" s="48">
        <v>85</v>
      </c>
      <c r="AV96" s="48">
        <v>53</v>
      </c>
      <c r="AW96" s="48">
        <v>41</v>
      </c>
      <c r="AX96" s="48">
        <v>59</v>
      </c>
      <c r="AY96" s="48">
        <v>460</v>
      </c>
      <c r="AZ96" s="48">
        <v>51</v>
      </c>
      <c r="BA96" s="48">
        <v>93</v>
      </c>
    </row>
    <row r="97" spans="1:53" ht="15" hidden="1" customHeight="1">
      <c r="A97" s="48" t="s">
        <v>284</v>
      </c>
      <c r="B97" s="48" t="s">
        <v>284</v>
      </c>
      <c r="C97" s="48" t="s">
        <v>285</v>
      </c>
      <c r="D97" s="48" t="s">
        <v>50</v>
      </c>
      <c r="E97" s="48" t="s">
        <v>249</v>
      </c>
      <c r="F97" s="48">
        <v>113</v>
      </c>
      <c r="G97" s="48">
        <v>15</v>
      </c>
      <c r="H97" s="48">
        <v>196</v>
      </c>
      <c r="I97" s="48">
        <v>115</v>
      </c>
      <c r="J97" s="48">
        <v>9</v>
      </c>
      <c r="K97" s="48">
        <v>195</v>
      </c>
      <c r="L97" s="48">
        <v>127.5</v>
      </c>
      <c r="M97" s="48">
        <v>3</v>
      </c>
      <c r="N97" s="48">
        <v>63</v>
      </c>
      <c r="O97" s="48">
        <v>74</v>
      </c>
      <c r="P97" s="48">
        <v>18</v>
      </c>
      <c r="Q97" s="48">
        <v>345</v>
      </c>
      <c r="R97" s="48">
        <v>93</v>
      </c>
      <c r="S97" s="48">
        <v>3</v>
      </c>
      <c r="T97" s="48">
        <v>93</v>
      </c>
      <c r="U97" s="48">
        <v>81</v>
      </c>
      <c r="V97" s="48">
        <v>1</v>
      </c>
      <c r="W97" s="48">
        <v>66</v>
      </c>
      <c r="X97" s="48">
        <v>603.5</v>
      </c>
      <c r="Y97" s="48">
        <v>3</v>
      </c>
      <c r="Z97" s="48">
        <v>93</v>
      </c>
      <c r="AB97" s="48" t="s">
        <v>2184</v>
      </c>
      <c r="AC97" s="48" t="s">
        <v>2184</v>
      </c>
      <c r="AD97" s="48" t="s">
        <v>2185</v>
      </c>
      <c r="AE97" s="48" t="s">
        <v>51</v>
      </c>
      <c r="AF97" s="48" t="s">
        <v>1998</v>
      </c>
      <c r="AG97" s="48">
        <v>112</v>
      </c>
      <c r="AH97" s="48">
        <v>33</v>
      </c>
      <c r="AI97" s="48">
        <v>51</v>
      </c>
      <c r="AJ97" s="48">
        <v>58</v>
      </c>
      <c r="AK97" s="48">
        <v>51</v>
      </c>
      <c r="AL97" s="48">
        <v>92</v>
      </c>
      <c r="AM97" s="48">
        <v>88.5</v>
      </c>
      <c r="AN97" s="48">
        <v>51</v>
      </c>
      <c r="AO97" s="48">
        <v>116</v>
      </c>
      <c r="AP97" s="48">
        <v>73</v>
      </c>
      <c r="AQ97" s="48">
        <v>42</v>
      </c>
      <c r="AR97" s="48">
        <v>83</v>
      </c>
      <c r="AS97" s="48">
        <v>72</v>
      </c>
      <c r="AT97" s="48">
        <v>42</v>
      </c>
      <c r="AU97" s="48">
        <v>71</v>
      </c>
      <c r="AV97" s="48">
        <v>54</v>
      </c>
      <c r="AW97" s="48">
        <v>40</v>
      </c>
      <c r="AX97" s="48">
        <v>58</v>
      </c>
      <c r="AY97" s="48">
        <v>457.5</v>
      </c>
      <c r="AZ97" s="48">
        <v>52</v>
      </c>
      <c r="BA97" s="48">
        <v>94</v>
      </c>
    </row>
    <row r="98" spans="1:53" ht="15" hidden="1" customHeight="1">
      <c r="A98" s="48" t="s">
        <v>286</v>
      </c>
      <c r="B98" s="48" t="s">
        <v>286</v>
      </c>
      <c r="C98" s="48" t="s">
        <v>287</v>
      </c>
      <c r="D98" s="48" t="s">
        <v>50</v>
      </c>
      <c r="E98" s="48" t="s">
        <v>203</v>
      </c>
      <c r="F98" s="48">
        <v>119</v>
      </c>
      <c r="G98" s="48">
        <v>5</v>
      </c>
      <c r="H98" s="48">
        <v>51</v>
      </c>
      <c r="I98" s="48">
        <v>115</v>
      </c>
      <c r="J98" s="48">
        <v>10</v>
      </c>
      <c r="K98" s="48">
        <v>195</v>
      </c>
      <c r="L98" s="48">
        <v>121.5</v>
      </c>
      <c r="M98" s="48">
        <v>7</v>
      </c>
      <c r="N98" s="48">
        <v>160</v>
      </c>
      <c r="O98" s="48">
        <v>75</v>
      </c>
      <c r="P98" s="48">
        <v>18</v>
      </c>
      <c r="Q98" s="48">
        <v>324</v>
      </c>
      <c r="R98" s="48">
        <v>93</v>
      </c>
      <c r="S98" s="48">
        <v>7</v>
      </c>
      <c r="T98" s="48">
        <v>93</v>
      </c>
      <c r="U98" s="48">
        <v>80</v>
      </c>
      <c r="V98" s="48">
        <v>4</v>
      </c>
      <c r="W98" s="48">
        <v>85</v>
      </c>
      <c r="X98" s="48">
        <v>603.5</v>
      </c>
      <c r="Y98" s="48">
        <v>6</v>
      </c>
      <c r="Z98" s="48">
        <v>93</v>
      </c>
      <c r="AB98" s="48" t="s">
        <v>2186</v>
      </c>
      <c r="AC98" s="48" t="s">
        <v>2186</v>
      </c>
      <c r="AD98" s="48" t="s">
        <v>2187</v>
      </c>
      <c r="AE98" s="48" t="s">
        <v>51</v>
      </c>
      <c r="AF98" s="48" t="s">
        <v>2039</v>
      </c>
      <c r="AG98" s="48">
        <v>111</v>
      </c>
      <c r="AH98" s="48">
        <v>14</v>
      </c>
      <c r="AI98" s="48">
        <v>61</v>
      </c>
      <c r="AJ98" s="48">
        <v>57</v>
      </c>
      <c r="AK98" s="48">
        <v>19</v>
      </c>
      <c r="AL98" s="48">
        <v>93</v>
      </c>
      <c r="AM98" s="48">
        <v>98.5</v>
      </c>
      <c r="AN98" s="48">
        <v>27</v>
      </c>
      <c r="AO98" s="48">
        <v>104</v>
      </c>
      <c r="AP98" s="48">
        <v>76</v>
      </c>
      <c r="AQ98" s="48">
        <v>13</v>
      </c>
      <c r="AR98" s="48">
        <v>59</v>
      </c>
      <c r="AS98" s="48">
        <v>62</v>
      </c>
      <c r="AT98" s="48">
        <v>27</v>
      </c>
      <c r="AU98" s="48">
        <v>109</v>
      </c>
      <c r="AV98" s="48">
        <v>53</v>
      </c>
      <c r="AW98" s="48">
        <v>12</v>
      </c>
      <c r="AX98" s="48">
        <v>59</v>
      </c>
      <c r="AY98" s="48">
        <v>457.5</v>
      </c>
      <c r="AZ98" s="48">
        <v>21</v>
      </c>
      <c r="BA98" s="48">
        <v>94</v>
      </c>
    </row>
    <row r="99" spans="1:53" ht="15" customHeight="1">
      <c r="A99" s="48" t="s">
        <v>288</v>
      </c>
      <c r="B99" s="48" t="s">
        <v>288</v>
      </c>
      <c r="C99" s="48" t="s">
        <v>289</v>
      </c>
      <c r="D99" s="48" t="s">
        <v>50</v>
      </c>
      <c r="E99" s="48" t="s">
        <v>87</v>
      </c>
      <c r="F99" s="48">
        <v>118</v>
      </c>
      <c r="G99" s="48">
        <v>19</v>
      </c>
      <c r="H99" s="48">
        <v>69</v>
      </c>
      <c r="I99" s="48">
        <v>117</v>
      </c>
      <c r="J99" s="48">
        <v>33</v>
      </c>
      <c r="K99" s="48">
        <v>174</v>
      </c>
      <c r="L99" s="48">
        <v>130</v>
      </c>
      <c r="M99" s="48">
        <v>10</v>
      </c>
      <c r="N99" s="48">
        <v>34</v>
      </c>
      <c r="O99" s="48">
        <v>84</v>
      </c>
      <c r="P99" s="48">
        <v>27</v>
      </c>
      <c r="Q99" s="48">
        <v>131</v>
      </c>
      <c r="R99" s="48">
        <v>89</v>
      </c>
      <c r="S99" s="48">
        <v>42</v>
      </c>
      <c r="T99" s="48">
        <v>200</v>
      </c>
      <c r="U99" s="48">
        <v>65</v>
      </c>
      <c r="V99" s="48">
        <v>46</v>
      </c>
      <c r="W99" s="48">
        <v>554</v>
      </c>
      <c r="X99" s="48">
        <v>603</v>
      </c>
      <c r="Y99" s="48">
        <v>33</v>
      </c>
      <c r="Z99" s="48">
        <v>96</v>
      </c>
      <c r="AB99" s="48" t="s">
        <v>2188</v>
      </c>
      <c r="AC99" s="48" t="s">
        <v>2188</v>
      </c>
      <c r="AD99" s="48" t="s">
        <v>2189</v>
      </c>
      <c r="AE99" s="48" t="s">
        <v>51</v>
      </c>
      <c r="AF99" s="48" t="s">
        <v>2010</v>
      </c>
      <c r="AG99" s="48">
        <v>111</v>
      </c>
      <c r="AH99" s="48">
        <v>12</v>
      </c>
      <c r="AI99" s="48">
        <v>61</v>
      </c>
      <c r="AJ99" s="48">
        <v>74</v>
      </c>
      <c r="AK99" s="48">
        <v>14</v>
      </c>
      <c r="AL99" s="48">
        <v>66</v>
      </c>
      <c r="AM99" s="48">
        <v>112</v>
      </c>
      <c r="AN99" s="48">
        <v>16</v>
      </c>
      <c r="AO99" s="48">
        <v>64</v>
      </c>
      <c r="AP99" s="48">
        <v>55</v>
      </c>
      <c r="AQ99" s="48">
        <v>33</v>
      </c>
      <c r="AR99" s="48">
        <v>119</v>
      </c>
      <c r="AS99" s="48">
        <v>51</v>
      </c>
      <c r="AT99" s="48">
        <v>34</v>
      </c>
      <c r="AU99" s="48">
        <v>120</v>
      </c>
      <c r="AV99" s="48">
        <v>53</v>
      </c>
      <c r="AW99" s="48">
        <v>8</v>
      </c>
      <c r="AX99" s="48">
        <v>59</v>
      </c>
      <c r="AY99" s="48">
        <v>456</v>
      </c>
      <c r="AZ99" s="48">
        <v>23</v>
      </c>
      <c r="BA99" s="48">
        <v>96</v>
      </c>
    </row>
    <row r="100" spans="1:53" ht="15" hidden="1" customHeight="1">
      <c r="A100" s="48" t="s">
        <v>290</v>
      </c>
      <c r="B100" s="48" t="s">
        <v>290</v>
      </c>
      <c r="C100" s="48" t="s">
        <v>291</v>
      </c>
      <c r="D100" s="48" t="s">
        <v>50</v>
      </c>
      <c r="E100" s="48" t="s">
        <v>249</v>
      </c>
      <c r="F100" s="48">
        <v>120</v>
      </c>
      <c r="G100" s="48">
        <v>2</v>
      </c>
      <c r="H100" s="48">
        <v>43</v>
      </c>
      <c r="I100" s="48">
        <v>120</v>
      </c>
      <c r="J100" s="48">
        <v>5</v>
      </c>
      <c r="K100" s="48">
        <v>146</v>
      </c>
      <c r="L100" s="48">
        <v>124</v>
      </c>
      <c r="M100" s="48">
        <v>5</v>
      </c>
      <c r="N100" s="48">
        <v>115</v>
      </c>
      <c r="O100" s="48">
        <v>77</v>
      </c>
      <c r="P100" s="48">
        <v>15</v>
      </c>
      <c r="Q100" s="48">
        <v>278</v>
      </c>
      <c r="R100" s="48">
        <v>84</v>
      </c>
      <c r="S100" s="48">
        <v>13</v>
      </c>
      <c r="T100" s="48">
        <v>379</v>
      </c>
      <c r="U100" s="48">
        <v>77</v>
      </c>
      <c r="V100" s="48">
        <v>4</v>
      </c>
      <c r="W100" s="48">
        <v>162</v>
      </c>
      <c r="X100" s="48">
        <v>602</v>
      </c>
      <c r="Y100" s="48">
        <v>4</v>
      </c>
      <c r="Z100" s="48">
        <v>97</v>
      </c>
      <c r="AB100" s="48" t="s">
        <v>2190</v>
      </c>
      <c r="AC100" s="48" t="s">
        <v>2190</v>
      </c>
      <c r="AD100" s="48" t="s">
        <v>2191</v>
      </c>
      <c r="AE100" s="48" t="s">
        <v>51</v>
      </c>
      <c r="AF100" s="48" t="s">
        <v>2010</v>
      </c>
      <c r="AG100" s="48">
        <v>122</v>
      </c>
      <c r="AH100" s="48">
        <v>2</v>
      </c>
      <c r="AI100" s="48">
        <v>7</v>
      </c>
      <c r="AJ100" s="48">
        <v>61</v>
      </c>
      <c r="AK100" s="48">
        <v>21</v>
      </c>
      <c r="AL100" s="48">
        <v>85</v>
      </c>
      <c r="AM100" s="48">
        <v>115</v>
      </c>
      <c r="AN100" s="48">
        <v>12</v>
      </c>
      <c r="AO100" s="48">
        <v>54</v>
      </c>
      <c r="AP100" s="48">
        <v>62</v>
      </c>
      <c r="AQ100" s="48">
        <v>31</v>
      </c>
      <c r="AR100" s="48">
        <v>114</v>
      </c>
      <c r="AS100" s="48">
        <v>54</v>
      </c>
      <c r="AT100" s="48">
        <v>33</v>
      </c>
      <c r="AU100" s="48">
        <v>117</v>
      </c>
      <c r="AV100" s="48">
        <v>41</v>
      </c>
      <c r="AW100" s="48">
        <v>30</v>
      </c>
      <c r="AX100" s="48">
        <v>110</v>
      </c>
      <c r="AY100" s="48">
        <v>455</v>
      </c>
      <c r="AZ100" s="48">
        <v>24</v>
      </c>
      <c r="BA100" s="48">
        <v>97</v>
      </c>
    </row>
    <row r="101" spans="1:53" ht="15" hidden="1" customHeight="1">
      <c r="A101" s="48" t="s">
        <v>292</v>
      </c>
      <c r="B101" s="48" t="s">
        <v>292</v>
      </c>
      <c r="C101" s="48" t="s">
        <v>293</v>
      </c>
      <c r="D101" s="48" t="s">
        <v>50</v>
      </c>
      <c r="E101" s="48" t="s">
        <v>111</v>
      </c>
      <c r="F101" s="48">
        <v>117</v>
      </c>
      <c r="G101" s="48">
        <v>3</v>
      </c>
      <c r="H101" s="48">
        <v>86</v>
      </c>
      <c r="I101" s="48">
        <v>121</v>
      </c>
      <c r="J101" s="48">
        <v>5</v>
      </c>
      <c r="K101" s="48">
        <v>131</v>
      </c>
      <c r="L101" s="48">
        <v>120</v>
      </c>
      <c r="M101" s="48">
        <v>14</v>
      </c>
      <c r="N101" s="48">
        <v>211</v>
      </c>
      <c r="O101" s="48">
        <v>76</v>
      </c>
      <c r="P101" s="48">
        <v>16</v>
      </c>
      <c r="Q101" s="48">
        <v>302</v>
      </c>
      <c r="R101" s="48">
        <v>92</v>
      </c>
      <c r="S101" s="48">
        <v>5</v>
      </c>
      <c r="T101" s="48">
        <v>116</v>
      </c>
      <c r="U101" s="48">
        <v>76</v>
      </c>
      <c r="V101" s="48">
        <v>8</v>
      </c>
      <c r="W101" s="48">
        <v>194</v>
      </c>
      <c r="X101" s="48">
        <v>602</v>
      </c>
      <c r="Y101" s="48">
        <v>4</v>
      </c>
      <c r="Z101" s="48">
        <v>97</v>
      </c>
      <c r="AB101" s="48" t="s">
        <v>2192</v>
      </c>
      <c r="AC101" s="48" t="s">
        <v>2192</v>
      </c>
      <c r="AD101" s="48" t="s">
        <v>2193</v>
      </c>
      <c r="AE101" s="48" t="s">
        <v>51</v>
      </c>
      <c r="AF101" s="48" t="s">
        <v>2010</v>
      </c>
      <c r="AG101" s="48">
        <v>104</v>
      </c>
      <c r="AH101" s="48">
        <v>24</v>
      </c>
      <c r="AI101" s="48">
        <v>94</v>
      </c>
      <c r="AJ101" s="48">
        <v>50</v>
      </c>
      <c r="AK101" s="48">
        <v>27</v>
      </c>
      <c r="AL101" s="48">
        <v>100</v>
      </c>
      <c r="AM101" s="48">
        <v>112</v>
      </c>
      <c r="AN101" s="48">
        <v>16</v>
      </c>
      <c r="AO101" s="48">
        <v>64</v>
      </c>
      <c r="AP101" s="48">
        <v>72</v>
      </c>
      <c r="AQ101" s="48">
        <v>23</v>
      </c>
      <c r="AR101" s="48">
        <v>89</v>
      </c>
      <c r="AS101" s="48">
        <v>70</v>
      </c>
      <c r="AT101" s="48">
        <v>18</v>
      </c>
      <c r="AU101" s="48">
        <v>80</v>
      </c>
      <c r="AV101" s="48">
        <v>46</v>
      </c>
      <c r="AW101" s="48">
        <v>21</v>
      </c>
      <c r="AX101" s="48">
        <v>94</v>
      </c>
      <c r="AY101" s="48">
        <v>454</v>
      </c>
      <c r="AZ101" s="48">
        <v>25</v>
      </c>
      <c r="BA101" s="48">
        <v>98</v>
      </c>
    </row>
    <row r="102" spans="1:53" ht="15" hidden="1" customHeight="1">
      <c r="A102" s="48" t="s">
        <v>294</v>
      </c>
      <c r="B102" s="48" t="s">
        <v>294</v>
      </c>
      <c r="C102" s="48" t="s">
        <v>295</v>
      </c>
      <c r="D102" s="48" t="s">
        <v>50</v>
      </c>
      <c r="E102" s="48" t="s">
        <v>296</v>
      </c>
      <c r="F102" s="48">
        <v>115</v>
      </c>
      <c r="G102" s="48">
        <v>3</v>
      </c>
      <c r="H102" s="48">
        <v>140</v>
      </c>
      <c r="I102" s="48">
        <v>127</v>
      </c>
      <c r="J102" s="48">
        <v>4</v>
      </c>
      <c r="K102" s="48">
        <v>78</v>
      </c>
      <c r="L102" s="48">
        <v>120</v>
      </c>
      <c r="M102" s="48">
        <v>12</v>
      </c>
      <c r="N102" s="48">
        <v>211</v>
      </c>
      <c r="O102" s="48">
        <v>92</v>
      </c>
      <c r="P102" s="48">
        <v>3</v>
      </c>
      <c r="Q102" s="48">
        <v>48</v>
      </c>
      <c r="R102" s="48">
        <v>83</v>
      </c>
      <c r="S102" s="48">
        <v>20</v>
      </c>
      <c r="T102" s="48">
        <v>407</v>
      </c>
      <c r="U102" s="48">
        <v>65</v>
      </c>
      <c r="V102" s="48">
        <v>24</v>
      </c>
      <c r="W102" s="48">
        <v>554</v>
      </c>
      <c r="X102" s="48">
        <v>602</v>
      </c>
      <c r="Y102" s="48">
        <v>1</v>
      </c>
      <c r="Z102" s="48">
        <v>97</v>
      </c>
      <c r="AB102" s="48" t="s">
        <v>2194</v>
      </c>
      <c r="AC102" s="48" t="s">
        <v>2194</v>
      </c>
      <c r="AD102" s="48" t="s">
        <v>2195</v>
      </c>
      <c r="AE102" s="48" t="s">
        <v>51</v>
      </c>
      <c r="AF102" s="48" t="s">
        <v>2039</v>
      </c>
      <c r="AG102" s="48">
        <v>106</v>
      </c>
      <c r="AH102" s="48">
        <v>21</v>
      </c>
      <c r="AI102" s="48">
        <v>86</v>
      </c>
      <c r="AJ102" s="48">
        <v>38</v>
      </c>
      <c r="AK102" s="48">
        <v>30</v>
      </c>
      <c r="AL102" s="48">
        <v>114</v>
      </c>
      <c r="AM102" s="48">
        <v>108.5</v>
      </c>
      <c r="AN102" s="48">
        <v>11</v>
      </c>
      <c r="AO102" s="48">
        <v>71</v>
      </c>
      <c r="AP102" s="48">
        <v>71</v>
      </c>
      <c r="AQ102" s="48">
        <v>24</v>
      </c>
      <c r="AR102" s="48">
        <v>94</v>
      </c>
      <c r="AS102" s="48">
        <v>80</v>
      </c>
      <c r="AT102" s="48">
        <v>2</v>
      </c>
      <c r="AU102" s="48">
        <v>30</v>
      </c>
      <c r="AV102" s="48">
        <v>50</v>
      </c>
      <c r="AW102" s="48">
        <v>16</v>
      </c>
      <c r="AX102" s="48">
        <v>76</v>
      </c>
      <c r="AY102" s="48">
        <v>453.5</v>
      </c>
      <c r="AZ102" s="48">
        <v>22</v>
      </c>
      <c r="BA102" s="48">
        <v>99</v>
      </c>
    </row>
    <row r="103" spans="1:53" ht="15" hidden="1" customHeight="1">
      <c r="A103" s="48" t="s">
        <v>297</v>
      </c>
      <c r="B103" s="48" t="s">
        <v>297</v>
      </c>
      <c r="C103" s="48" t="s">
        <v>298</v>
      </c>
      <c r="D103" s="48" t="s">
        <v>50</v>
      </c>
      <c r="E103" s="48" t="s">
        <v>133</v>
      </c>
      <c r="F103" s="48">
        <v>115</v>
      </c>
      <c r="G103" s="48">
        <v>10</v>
      </c>
      <c r="H103" s="48">
        <v>140</v>
      </c>
      <c r="I103" s="48">
        <v>106</v>
      </c>
      <c r="J103" s="48">
        <v>23</v>
      </c>
      <c r="K103" s="48">
        <v>322</v>
      </c>
      <c r="L103" s="48">
        <v>126.5</v>
      </c>
      <c r="M103" s="48">
        <v>5</v>
      </c>
      <c r="N103" s="48">
        <v>76</v>
      </c>
      <c r="O103" s="48">
        <v>81</v>
      </c>
      <c r="P103" s="48">
        <v>16</v>
      </c>
      <c r="Q103" s="48">
        <v>195</v>
      </c>
      <c r="R103" s="48">
        <v>89</v>
      </c>
      <c r="S103" s="48">
        <v>10</v>
      </c>
      <c r="T103" s="48">
        <v>200</v>
      </c>
      <c r="U103" s="48">
        <v>84</v>
      </c>
      <c r="V103" s="48">
        <v>4</v>
      </c>
      <c r="W103" s="48">
        <v>21</v>
      </c>
      <c r="X103" s="48">
        <v>601.5</v>
      </c>
      <c r="Y103" s="48">
        <v>5</v>
      </c>
      <c r="Z103" s="48">
        <v>100</v>
      </c>
      <c r="AB103" s="48" t="s">
        <v>2196</v>
      </c>
      <c r="AC103" s="48" t="s">
        <v>2196</v>
      </c>
      <c r="AD103" s="48" t="s">
        <v>2197</v>
      </c>
      <c r="AE103" s="48" t="s">
        <v>51</v>
      </c>
      <c r="AF103" s="48" t="s">
        <v>2010</v>
      </c>
      <c r="AG103" s="48">
        <v>111</v>
      </c>
      <c r="AH103" s="48">
        <v>12</v>
      </c>
      <c r="AI103" s="48">
        <v>61</v>
      </c>
      <c r="AJ103" s="48">
        <v>39</v>
      </c>
      <c r="AK103" s="48">
        <v>32</v>
      </c>
      <c r="AL103" s="48">
        <v>113</v>
      </c>
      <c r="AM103" s="48">
        <v>107.5</v>
      </c>
      <c r="AN103" s="48">
        <v>20</v>
      </c>
      <c r="AO103" s="48">
        <v>76</v>
      </c>
      <c r="AP103" s="48">
        <v>75</v>
      </c>
      <c r="AQ103" s="48">
        <v>14</v>
      </c>
      <c r="AR103" s="48">
        <v>66</v>
      </c>
      <c r="AS103" s="48">
        <v>75</v>
      </c>
      <c r="AT103" s="48">
        <v>14</v>
      </c>
      <c r="AU103" s="48">
        <v>59</v>
      </c>
      <c r="AV103" s="48">
        <v>45</v>
      </c>
      <c r="AW103" s="48">
        <v>23</v>
      </c>
      <c r="AX103" s="48">
        <v>96</v>
      </c>
      <c r="AY103" s="48">
        <v>452.5</v>
      </c>
      <c r="AZ103" s="48">
        <v>26</v>
      </c>
      <c r="BA103" s="48">
        <v>100</v>
      </c>
    </row>
    <row r="104" spans="1:53" ht="15" customHeight="1">
      <c r="A104" s="48" t="s">
        <v>299</v>
      </c>
      <c r="B104" s="48" t="s">
        <v>299</v>
      </c>
      <c r="C104" s="48" t="s">
        <v>300</v>
      </c>
      <c r="D104" s="48" t="s">
        <v>50</v>
      </c>
      <c r="E104" s="48" t="s">
        <v>87</v>
      </c>
      <c r="F104" s="48">
        <v>119</v>
      </c>
      <c r="G104" s="48">
        <v>15</v>
      </c>
      <c r="H104" s="48">
        <v>51</v>
      </c>
      <c r="I104" s="48">
        <v>96</v>
      </c>
      <c r="J104" s="48">
        <v>47</v>
      </c>
      <c r="K104" s="48">
        <v>483</v>
      </c>
      <c r="L104" s="48">
        <v>127</v>
      </c>
      <c r="M104" s="48">
        <v>23</v>
      </c>
      <c r="N104" s="48">
        <v>72</v>
      </c>
      <c r="O104" s="48">
        <v>87</v>
      </c>
      <c r="P104" s="48">
        <v>25</v>
      </c>
      <c r="Q104" s="48">
        <v>92</v>
      </c>
      <c r="R104" s="48">
        <v>90</v>
      </c>
      <c r="S104" s="48">
        <v>40</v>
      </c>
      <c r="T104" s="48">
        <v>177</v>
      </c>
      <c r="U104" s="48">
        <v>81</v>
      </c>
      <c r="V104" s="48">
        <v>13</v>
      </c>
      <c r="W104" s="48">
        <v>66</v>
      </c>
      <c r="X104" s="48">
        <v>600</v>
      </c>
      <c r="Y104" s="48">
        <v>34</v>
      </c>
      <c r="Z104" s="48">
        <v>101</v>
      </c>
      <c r="AB104" s="48" t="s">
        <v>2198</v>
      </c>
      <c r="AC104" s="48" t="s">
        <v>2198</v>
      </c>
      <c r="AD104" s="48" t="s">
        <v>2199</v>
      </c>
      <c r="AE104" s="48" t="s">
        <v>51</v>
      </c>
      <c r="AF104" s="48" t="s">
        <v>2010</v>
      </c>
      <c r="AG104" s="48">
        <v>111</v>
      </c>
      <c r="AH104" s="48">
        <v>12</v>
      </c>
      <c r="AI104" s="48">
        <v>61</v>
      </c>
      <c r="AJ104" s="48">
        <v>64</v>
      </c>
      <c r="AK104" s="48">
        <v>20</v>
      </c>
      <c r="AL104" s="48">
        <v>81</v>
      </c>
      <c r="AM104" s="48">
        <v>90</v>
      </c>
      <c r="AN104" s="48">
        <v>32</v>
      </c>
      <c r="AO104" s="48">
        <v>115</v>
      </c>
      <c r="AP104" s="48">
        <v>79</v>
      </c>
      <c r="AQ104" s="48">
        <v>5</v>
      </c>
      <c r="AR104" s="48">
        <v>35</v>
      </c>
      <c r="AS104" s="48">
        <v>68</v>
      </c>
      <c r="AT104" s="48">
        <v>25</v>
      </c>
      <c r="AU104" s="48">
        <v>93</v>
      </c>
      <c r="AV104" s="48">
        <v>40</v>
      </c>
      <c r="AW104" s="48">
        <v>32</v>
      </c>
      <c r="AX104" s="48">
        <v>113</v>
      </c>
      <c r="AY104" s="48">
        <v>452</v>
      </c>
      <c r="AZ104" s="48">
        <v>27</v>
      </c>
      <c r="BA104" s="48">
        <v>101</v>
      </c>
    </row>
    <row r="105" spans="1:53" ht="15" hidden="1" customHeight="1">
      <c r="A105" s="48" t="s">
        <v>301</v>
      </c>
      <c r="B105" s="48" t="s">
        <v>301</v>
      </c>
      <c r="C105" s="48" t="s">
        <v>302</v>
      </c>
      <c r="D105" s="48" t="s">
        <v>50</v>
      </c>
      <c r="E105" s="48" t="s">
        <v>122</v>
      </c>
      <c r="F105" s="48">
        <v>111</v>
      </c>
      <c r="G105" s="48">
        <v>29</v>
      </c>
      <c r="H105" s="48">
        <v>271</v>
      </c>
      <c r="I105" s="48">
        <v>132</v>
      </c>
      <c r="J105" s="48">
        <v>6</v>
      </c>
      <c r="K105" s="48">
        <v>46</v>
      </c>
      <c r="L105" s="48">
        <v>115</v>
      </c>
      <c r="M105" s="48">
        <v>31</v>
      </c>
      <c r="N105" s="48">
        <v>330</v>
      </c>
      <c r="O105" s="48">
        <v>84</v>
      </c>
      <c r="P105" s="48">
        <v>12</v>
      </c>
      <c r="Q105" s="48">
        <v>131</v>
      </c>
      <c r="R105" s="48">
        <v>93</v>
      </c>
      <c r="S105" s="48">
        <v>14</v>
      </c>
      <c r="T105" s="48">
        <v>93</v>
      </c>
      <c r="U105" s="48">
        <v>65</v>
      </c>
      <c r="V105" s="48">
        <v>37</v>
      </c>
      <c r="W105" s="48">
        <v>554</v>
      </c>
      <c r="X105" s="48">
        <v>600</v>
      </c>
      <c r="Y105" s="48">
        <v>9</v>
      </c>
      <c r="Z105" s="48">
        <v>101</v>
      </c>
      <c r="AB105" s="48" t="s">
        <v>2200</v>
      </c>
      <c r="AC105" s="48" t="s">
        <v>2200</v>
      </c>
      <c r="AD105" s="48" t="s">
        <v>2201</v>
      </c>
      <c r="AE105" s="48" t="s">
        <v>51</v>
      </c>
      <c r="AF105" s="48" t="s">
        <v>2010</v>
      </c>
      <c r="AG105" s="48">
        <v>106</v>
      </c>
      <c r="AH105" s="48">
        <v>19</v>
      </c>
      <c r="AI105" s="48">
        <v>86</v>
      </c>
      <c r="AJ105" s="48">
        <v>65</v>
      </c>
      <c r="AK105" s="48">
        <v>19</v>
      </c>
      <c r="AL105" s="48">
        <v>79</v>
      </c>
      <c r="AM105" s="48">
        <v>105.5</v>
      </c>
      <c r="AN105" s="48">
        <v>23</v>
      </c>
      <c r="AO105" s="48">
        <v>84</v>
      </c>
      <c r="AP105" s="48">
        <v>50</v>
      </c>
      <c r="AQ105" s="48">
        <v>34</v>
      </c>
      <c r="AR105" s="48">
        <v>120</v>
      </c>
      <c r="AS105" s="48">
        <v>69</v>
      </c>
      <c r="AT105" s="48">
        <v>21</v>
      </c>
      <c r="AU105" s="48">
        <v>85</v>
      </c>
      <c r="AV105" s="48">
        <v>53</v>
      </c>
      <c r="AW105" s="48">
        <v>8</v>
      </c>
      <c r="AX105" s="48">
        <v>59</v>
      </c>
      <c r="AY105" s="48">
        <v>448.5</v>
      </c>
      <c r="AZ105" s="48">
        <v>28</v>
      </c>
      <c r="BA105" s="48">
        <v>102</v>
      </c>
    </row>
    <row r="106" spans="1:53" ht="15" hidden="1" customHeight="1">
      <c r="A106" s="48" t="s">
        <v>303</v>
      </c>
      <c r="B106" s="48" t="s">
        <v>303</v>
      </c>
      <c r="C106" s="48" t="s">
        <v>304</v>
      </c>
      <c r="D106" s="48" t="s">
        <v>50</v>
      </c>
      <c r="E106" s="48" t="s">
        <v>296</v>
      </c>
      <c r="F106" s="48">
        <v>108</v>
      </c>
      <c r="G106" s="48">
        <v>14</v>
      </c>
      <c r="H106" s="48">
        <v>391</v>
      </c>
      <c r="I106" s="48">
        <v>121</v>
      </c>
      <c r="J106" s="48">
        <v>11</v>
      </c>
      <c r="K106" s="48">
        <v>131</v>
      </c>
      <c r="L106" s="48">
        <v>124</v>
      </c>
      <c r="M106" s="48">
        <v>9</v>
      </c>
      <c r="N106" s="48">
        <v>115</v>
      </c>
      <c r="O106" s="48">
        <v>78</v>
      </c>
      <c r="P106" s="48">
        <v>15</v>
      </c>
      <c r="Q106" s="48">
        <v>256</v>
      </c>
      <c r="R106" s="48">
        <v>92</v>
      </c>
      <c r="S106" s="48">
        <v>4</v>
      </c>
      <c r="T106" s="48">
        <v>116</v>
      </c>
      <c r="U106" s="48">
        <v>77</v>
      </c>
      <c r="V106" s="48">
        <v>3</v>
      </c>
      <c r="W106" s="48">
        <v>162</v>
      </c>
      <c r="X106" s="48">
        <v>600</v>
      </c>
      <c r="Y106" s="48">
        <v>2</v>
      </c>
      <c r="Z106" s="48">
        <v>101</v>
      </c>
      <c r="AB106" s="48" t="s">
        <v>2202</v>
      </c>
      <c r="AC106" s="48" t="s">
        <v>2202</v>
      </c>
      <c r="AD106" s="48" t="s">
        <v>2203</v>
      </c>
      <c r="AE106" s="48" t="s">
        <v>51</v>
      </c>
      <c r="AF106" s="48" t="s">
        <v>2010</v>
      </c>
      <c r="AG106" s="48">
        <v>103</v>
      </c>
      <c r="AH106" s="48">
        <v>25</v>
      </c>
      <c r="AI106" s="48">
        <v>96</v>
      </c>
      <c r="AJ106" s="48">
        <v>46</v>
      </c>
      <c r="AK106" s="48">
        <v>29</v>
      </c>
      <c r="AL106" s="48">
        <v>103</v>
      </c>
      <c r="AM106" s="48">
        <v>127</v>
      </c>
      <c r="AN106" s="48">
        <v>3</v>
      </c>
      <c r="AO106" s="48">
        <v>22</v>
      </c>
      <c r="AP106" s="48">
        <v>72</v>
      </c>
      <c r="AQ106" s="48">
        <v>23</v>
      </c>
      <c r="AR106" s="48">
        <v>89</v>
      </c>
      <c r="AS106" s="48">
        <v>66</v>
      </c>
      <c r="AT106" s="48">
        <v>29</v>
      </c>
      <c r="AU106" s="48">
        <v>99</v>
      </c>
      <c r="AV106" s="48">
        <v>33</v>
      </c>
      <c r="AW106" s="48">
        <v>33</v>
      </c>
      <c r="AX106" s="48">
        <v>119</v>
      </c>
      <c r="AY106" s="48">
        <v>447</v>
      </c>
      <c r="AZ106" s="48">
        <v>29</v>
      </c>
      <c r="BA106" s="48">
        <v>103</v>
      </c>
    </row>
    <row r="107" spans="1:53" ht="15" hidden="1" customHeight="1">
      <c r="A107" s="48" t="s">
        <v>305</v>
      </c>
      <c r="B107" s="48" t="s">
        <v>305</v>
      </c>
      <c r="C107" s="48" t="s">
        <v>306</v>
      </c>
      <c r="D107" s="48" t="s">
        <v>50</v>
      </c>
      <c r="E107" s="48" t="s">
        <v>217</v>
      </c>
      <c r="F107" s="48">
        <v>111</v>
      </c>
      <c r="G107" s="48">
        <v>17</v>
      </c>
      <c r="H107" s="48">
        <v>271</v>
      </c>
      <c r="I107" s="48">
        <v>133</v>
      </c>
      <c r="J107" s="48">
        <v>1</v>
      </c>
      <c r="K107" s="48">
        <v>41</v>
      </c>
      <c r="L107" s="48">
        <v>120.5</v>
      </c>
      <c r="M107" s="48">
        <v>5</v>
      </c>
      <c r="N107" s="48">
        <v>192</v>
      </c>
      <c r="O107" s="48">
        <v>77</v>
      </c>
      <c r="P107" s="48">
        <v>16</v>
      </c>
      <c r="Q107" s="48">
        <v>278</v>
      </c>
      <c r="R107" s="48">
        <v>83</v>
      </c>
      <c r="S107" s="48">
        <v>17</v>
      </c>
      <c r="T107" s="48">
        <v>407</v>
      </c>
      <c r="U107" s="48">
        <v>75</v>
      </c>
      <c r="V107" s="48">
        <v>9</v>
      </c>
      <c r="W107" s="48">
        <v>219</v>
      </c>
      <c r="X107" s="48">
        <v>599.5</v>
      </c>
      <c r="Y107" s="48">
        <v>4</v>
      </c>
      <c r="Z107" s="48">
        <v>104</v>
      </c>
      <c r="AB107" s="48" t="s">
        <v>2204</v>
      </c>
      <c r="AC107" s="48" t="s">
        <v>2204</v>
      </c>
      <c r="AD107" s="48" t="s">
        <v>2205</v>
      </c>
      <c r="AE107" s="48" t="s">
        <v>51</v>
      </c>
      <c r="AF107" s="48" t="s">
        <v>2039</v>
      </c>
      <c r="AG107" s="48">
        <v>115</v>
      </c>
      <c r="AH107" s="48">
        <v>7</v>
      </c>
      <c r="AI107" s="48">
        <v>38</v>
      </c>
      <c r="AJ107" s="48">
        <v>45</v>
      </c>
      <c r="AK107" s="48">
        <v>26</v>
      </c>
      <c r="AL107" s="48">
        <v>107</v>
      </c>
      <c r="AM107" s="48">
        <v>105</v>
      </c>
      <c r="AN107" s="48">
        <v>17</v>
      </c>
      <c r="AO107" s="48">
        <v>89</v>
      </c>
      <c r="AP107" s="48">
        <v>74</v>
      </c>
      <c r="AQ107" s="48">
        <v>18</v>
      </c>
      <c r="AR107" s="48">
        <v>77</v>
      </c>
      <c r="AS107" s="48">
        <v>72</v>
      </c>
      <c r="AT107" s="48">
        <v>16</v>
      </c>
      <c r="AU107" s="48">
        <v>71</v>
      </c>
      <c r="AV107" s="48">
        <v>35</v>
      </c>
      <c r="AW107" s="48">
        <v>34</v>
      </c>
      <c r="AX107" s="48">
        <v>118</v>
      </c>
      <c r="AY107" s="48">
        <v>446</v>
      </c>
      <c r="AZ107" s="48">
        <v>23</v>
      </c>
      <c r="BA107" s="48">
        <v>104</v>
      </c>
    </row>
    <row r="108" spans="1:53" ht="15" hidden="1" customHeight="1">
      <c r="A108" s="48" t="s">
        <v>307</v>
      </c>
      <c r="B108" s="48" t="s">
        <v>307</v>
      </c>
      <c r="C108" s="48" t="s">
        <v>308</v>
      </c>
      <c r="D108" s="48" t="s">
        <v>50</v>
      </c>
      <c r="E108" s="48" t="s">
        <v>217</v>
      </c>
      <c r="F108" s="48">
        <v>117</v>
      </c>
      <c r="G108" s="48">
        <v>6</v>
      </c>
      <c r="H108" s="48">
        <v>86</v>
      </c>
      <c r="I108" s="48">
        <v>117</v>
      </c>
      <c r="J108" s="48">
        <v>8</v>
      </c>
      <c r="K108" s="48">
        <v>174</v>
      </c>
      <c r="L108" s="48">
        <v>114</v>
      </c>
      <c r="M108" s="48">
        <v>14</v>
      </c>
      <c r="N108" s="48">
        <v>356</v>
      </c>
      <c r="O108" s="48">
        <v>90</v>
      </c>
      <c r="P108" s="48">
        <v>1</v>
      </c>
      <c r="Q108" s="48">
        <v>63</v>
      </c>
      <c r="R108" s="48">
        <v>82</v>
      </c>
      <c r="S108" s="48">
        <v>21</v>
      </c>
      <c r="T108" s="48">
        <v>452</v>
      </c>
      <c r="U108" s="48">
        <v>79</v>
      </c>
      <c r="V108" s="48">
        <v>2</v>
      </c>
      <c r="W108" s="48">
        <v>103</v>
      </c>
      <c r="X108" s="48">
        <v>599</v>
      </c>
      <c r="Y108" s="48">
        <v>5</v>
      </c>
      <c r="Z108" s="48">
        <v>105</v>
      </c>
      <c r="AB108" s="48" t="s">
        <v>2206</v>
      </c>
      <c r="AC108" s="48" t="s">
        <v>2206</v>
      </c>
      <c r="AD108" s="48" t="s">
        <v>2207</v>
      </c>
      <c r="AE108" s="48" t="s">
        <v>51</v>
      </c>
      <c r="AF108" s="48" t="s">
        <v>2039</v>
      </c>
      <c r="AG108" s="48">
        <v>100</v>
      </c>
      <c r="AH108" s="48">
        <v>26</v>
      </c>
      <c r="AI108" s="48">
        <v>102</v>
      </c>
      <c r="AJ108" s="48">
        <v>55</v>
      </c>
      <c r="AK108" s="48">
        <v>21</v>
      </c>
      <c r="AL108" s="48">
        <v>96</v>
      </c>
      <c r="AM108" s="48">
        <v>104.5</v>
      </c>
      <c r="AN108" s="48">
        <v>18</v>
      </c>
      <c r="AO108" s="48">
        <v>90</v>
      </c>
      <c r="AP108" s="48">
        <v>69</v>
      </c>
      <c r="AQ108" s="48">
        <v>27</v>
      </c>
      <c r="AR108" s="48">
        <v>100</v>
      </c>
      <c r="AS108" s="48">
        <v>75</v>
      </c>
      <c r="AT108" s="48">
        <v>11</v>
      </c>
      <c r="AU108" s="48">
        <v>59</v>
      </c>
      <c r="AV108" s="48">
        <v>40</v>
      </c>
      <c r="AW108" s="48">
        <v>30</v>
      </c>
      <c r="AX108" s="48">
        <v>113</v>
      </c>
      <c r="AY108" s="48">
        <v>443.5</v>
      </c>
      <c r="AZ108" s="48">
        <v>24</v>
      </c>
      <c r="BA108" s="48">
        <v>105</v>
      </c>
    </row>
    <row r="109" spans="1:53" ht="15" customHeight="1">
      <c r="A109" s="48" t="s">
        <v>309</v>
      </c>
      <c r="B109" s="48" t="s">
        <v>309</v>
      </c>
      <c r="C109" s="48" t="s">
        <v>310</v>
      </c>
      <c r="D109" s="48" t="s">
        <v>50</v>
      </c>
      <c r="E109" s="48" t="s">
        <v>87</v>
      </c>
      <c r="F109" s="48">
        <v>102</v>
      </c>
      <c r="G109" s="48">
        <v>45</v>
      </c>
      <c r="H109" s="48">
        <v>655</v>
      </c>
      <c r="I109" s="48">
        <v>127</v>
      </c>
      <c r="J109" s="48">
        <v>20</v>
      </c>
      <c r="K109" s="48">
        <v>78</v>
      </c>
      <c r="L109" s="48">
        <v>114</v>
      </c>
      <c r="M109" s="48">
        <v>47</v>
      </c>
      <c r="N109" s="48">
        <v>356</v>
      </c>
      <c r="O109" s="48">
        <v>93</v>
      </c>
      <c r="P109" s="48">
        <v>12</v>
      </c>
      <c r="Q109" s="48">
        <v>39</v>
      </c>
      <c r="R109" s="48">
        <v>87</v>
      </c>
      <c r="S109" s="48">
        <v>46</v>
      </c>
      <c r="T109" s="48">
        <v>268</v>
      </c>
      <c r="U109" s="48">
        <v>76</v>
      </c>
      <c r="V109" s="48">
        <v>28</v>
      </c>
      <c r="W109" s="48">
        <v>194</v>
      </c>
      <c r="X109" s="48">
        <v>599</v>
      </c>
      <c r="Y109" s="48">
        <v>35</v>
      </c>
      <c r="Z109" s="48">
        <v>105</v>
      </c>
      <c r="AB109" s="48" t="s">
        <v>2208</v>
      </c>
      <c r="AC109" s="48" t="s">
        <v>2208</v>
      </c>
      <c r="AD109" s="48" t="s">
        <v>2209</v>
      </c>
      <c r="AE109" s="48" t="s">
        <v>51</v>
      </c>
      <c r="AF109" s="48" t="s">
        <v>2039</v>
      </c>
      <c r="AG109" s="48">
        <v>87</v>
      </c>
      <c r="AH109" s="48">
        <v>34</v>
      </c>
      <c r="AI109" s="48">
        <v>119</v>
      </c>
      <c r="AJ109" s="48">
        <v>34</v>
      </c>
      <c r="AK109" s="48">
        <v>33</v>
      </c>
      <c r="AL109" s="48">
        <v>118</v>
      </c>
      <c r="AM109" s="48">
        <v>126.5</v>
      </c>
      <c r="AN109" s="48">
        <v>4</v>
      </c>
      <c r="AO109" s="48">
        <v>24</v>
      </c>
      <c r="AP109" s="48">
        <v>66</v>
      </c>
      <c r="AQ109" s="48">
        <v>30</v>
      </c>
      <c r="AR109" s="48">
        <v>108</v>
      </c>
      <c r="AS109" s="48">
        <v>73</v>
      </c>
      <c r="AT109" s="48">
        <v>14</v>
      </c>
      <c r="AU109" s="48">
        <v>66</v>
      </c>
      <c r="AV109" s="48">
        <v>55</v>
      </c>
      <c r="AW109" s="48">
        <v>10</v>
      </c>
      <c r="AX109" s="48">
        <v>49</v>
      </c>
      <c r="AY109" s="48">
        <v>441.5</v>
      </c>
      <c r="AZ109" s="48">
        <v>25</v>
      </c>
      <c r="BA109" s="48">
        <v>106</v>
      </c>
    </row>
    <row r="110" spans="1:53" ht="15" hidden="1" customHeight="1">
      <c r="A110" s="48" t="s">
        <v>311</v>
      </c>
      <c r="B110" s="48" t="s">
        <v>311</v>
      </c>
      <c r="C110" s="48" t="s">
        <v>312</v>
      </c>
      <c r="D110" s="48" t="s">
        <v>50</v>
      </c>
      <c r="E110" s="48" t="s">
        <v>133</v>
      </c>
      <c r="F110" s="48">
        <v>118</v>
      </c>
      <c r="G110" s="48">
        <v>3</v>
      </c>
      <c r="H110" s="48">
        <v>69</v>
      </c>
      <c r="I110" s="48">
        <v>115</v>
      </c>
      <c r="J110" s="48">
        <v>12</v>
      </c>
      <c r="K110" s="48">
        <v>195</v>
      </c>
      <c r="L110" s="48">
        <v>110</v>
      </c>
      <c r="M110" s="48">
        <v>28</v>
      </c>
      <c r="N110" s="48">
        <v>478</v>
      </c>
      <c r="O110" s="48">
        <v>89</v>
      </c>
      <c r="P110" s="48">
        <v>4</v>
      </c>
      <c r="Q110" s="48">
        <v>79</v>
      </c>
      <c r="R110" s="48">
        <v>91</v>
      </c>
      <c r="S110" s="48">
        <v>5</v>
      </c>
      <c r="T110" s="48">
        <v>151</v>
      </c>
      <c r="U110" s="48">
        <v>76</v>
      </c>
      <c r="V110" s="48">
        <v>18</v>
      </c>
      <c r="W110" s="48">
        <v>194</v>
      </c>
      <c r="X110" s="48">
        <v>599</v>
      </c>
      <c r="Y110" s="48">
        <v>6</v>
      </c>
      <c r="Z110" s="48">
        <v>105</v>
      </c>
      <c r="AB110" s="48" t="s">
        <v>2210</v>
      </c>
      <c r="AC110" s="48" t="s">
        <v>2210</v>
      </c>
      <c r="AD110" s="48" t="s">
        <v>2211</v>
      </c>
      <c r="AE110" s="48" t="s">
        <v>51</v>
      </c>
      <c r="AF110" s="48" t="s">
        <v>2039</v>
      </c>
      <c r="AG110" s="48">
        <v>104</v>
      </c>
      <c r="AH110" s="48">
        <v>24</v>
      </c>
      <c r="AI110" s="48">
        <v>94</v>
      </c>
      <c r="AJ110" s="48">
        <v>34</v>
      </c>
      <c r="AK110" s="48">
        <v>33</v>
      </c>
      <c r="AL110" s="48">
        <v>118</v>
      </c>
      <c r="AM110" s="48">
        <v>102</v>
      </c>
      <c r="AN110" s="48">
        <v>24</v>
      </c>
      <c r="AO110" s="48">
        <v>98</v>
      </c>
      <c r="AP110" s="48">
        <v>62</v>
      </c>
      <c r="AQ110" s="48">
        <v>32</v>
      </c>
      <c r="AR110" s="48">
        <v>114</v>
      </c>
      <c r="AS110" s="48">
        <v>83</v>
      </c>
      <c r="AT110" s="48">
        <v>1</v>
      </c>
      <c r="AU110" s="48">
        <v>13</v>
      </c>
      <c r="AV110" s="48">
        <v>55</v>
      </c>
      <c r="AW110" s="48">
        <v>10</v>
      </c>
      <c r="AX110" s="48">
        <v>49</v>
      </c>
      <c r="AY110" s="48">
        <v>440</v>
      </c>
      <c r="AZ110" s="48">
        <v>26</v>
      </c>
      <c r="BA110" s="48">
        <v>107</v>
      </c>
    </row>
    <row r="111" spans="1:53" ht="15" hidden="1" customHeight="1">
      <c r="A111" s="48" t="s">
        <v>313</v>
      </c>
      <c r="B111" s="48" t="s">
        <v>313</v>
      </c>
      <c r="C111" s="48" t="s">
        <v>314</v>
      </c>
      <c r="D111" s="48" t="s">
        <v>50</v>
      </c>
      <c r="E111" s="48" t="s">
        <v>122</v>
      </c>
      <c r="F111" s="48">
        <v>112</v>
      </c>
      <c r="G111" s="48">
        <v>23</v>
      </c>
      <c r="H111" s="48">
        <v>226</v>
      </c>
      <c r="I111" s="48">
        <v>125</v>
      </c>
      <c r="J111" s="48">
        <v>8</v>
      </c>
      <c r="K111" s="48">
        <v>94</v>
      </c>
      <c r="L111" s="48">
        <v>112</v>
      </c>
      <c r="M111" s="48">
        <v>35</v>
      </c>
      <c r="N111" s="48">
        <v>413</v>
      </c>
      <c r="O111" s="48">
        <v>84</v>
      </c>
      <c r="P111" s="48">
        <v>12</v>
      </c>
      <c r="Q111" s="48">
        <v>131</v>
      </c>
      <c r="R111" s="48">
        <v>94</v>
      </c>
      <c r="S111" s="48">
        <v>12</v>
      </c>
      <c r="T111" s="48">
        <v>78</v>
      </c>
      <c r="U111" s="48">
        <v>71</v>
      </c>
      <c r="V111" s="48">
        <v>25</v>
      </c>
      <c r="W111" s="48">
        <v>342</v>
      </c>
      <c r="X111" s="48">
        <v>598</v>
      </c>
      <c r="Y111" s="48">
        <v>10</v>
      </c>
      <c r="Z111" s="48">
        <v>108</v>
      </c>
      <c r="AB111" s="48" t="s">
        <v>2212</v>
      </c>
      <c r="AC111" s="48" t="s">
        <v>2212</v>
      </c>
      <c r="AD111" s="48" t="s">
        <v>2213</v>
      </c>
      <c r="AE111" s="48" t="s">
        <v>51</v>
      </c>
      <c r="AF111" s="48" t="s">
        <v>2010</v>
      </c>
      <c r="AG111" s="48">
        <v>110</v>
      </c>
      <c r="AH111" s="48">
        <v>16</v>
      </c>
      <c r="AI111" s="48">
        <v>68</v>
      </c>
      <c r="AJ111" s="48">
        <v>52</v>
      </c>
      <c r="AK111" s="48">
        <v>26</v>
      </c>
      <c r="AL111" s="48">
        <v>99</v>
      </c>
      <c r="AM111" s="48">
        <v>92.5</v>
      </c>
      <c r="AN111" s="48">
        <v>31</v>
      </c>
      <c r="AO111" s="48">
        <v>114</v>
      </c>
      <c r="AP111" s="48">
        <v>81</v>
      </c>
      <c r="AQ111" s="48">
        <v>1</v>
      </c>
      <c r="AR111" s="48">
        <v>23</v>
      </c>
      <c r="AS111" s="48">
        <v>71</v>
      </c>
      <c r="AT111" s="48">
        <v>17</v>
      </c>
      <c r="AU111" s="48">
        <v>77</v>
      </c>
      <c r="AV111" s="48">
        <v>33</v>
      </c>
      <c r="AW111" s="48">
        <v>33</v>
      </c>
      <c r="AX111" s="48">
        <v>119</v>
      </c>
      <c r="AY111" s="48">
        <v>439.5</v>
      </c>
      <c r="AZ111" s="48">
        <v>30</v>
      </c>
      <c r="BA111" s="48">
        <v>108</v>
      </c>
    </row>
    <row r="112" spans="1:53" ht="15" hidden="1" customHeight="1">
      <c r="A112" s="48" t="s">
        <v>315</v>
      </c>
      <c r="B112" s="48" t="s">
        <v>315</v>
      </c>
      <c r="C112" s="48" t="s">
        <v>316</v>
      </c>
      <c r="D112" s="48" t="s">
        <v>50</v>
      </c>
      <c r="E112" s="48" t="s">
        <v>122</v>
      </c>
      <c r="F112" s="48">
        <v>103</v>
      </c>
      <c r="G112" s="48">
        <v>43</v>
      </c>
      <c r="H112" s="48">
        <v>606</v>
      </c>
      <c r="I112" s="48">
        <v>134</v>
      </c>
      <c r="J112" s="48">
        <v>4</v>
      </c>
      <c r="K112" s="48">
        <v>35</v>
      </c>
      <c r="L112" s="48">
        <v>109</v>
      </c>
      <c r="M112" s="48">
        <v>43</v>
      </c>
      <c r="N112" s="48">
        <v>500</v>
      </c>
      <c r="O112" s="48">
        <v>74</v>
      </c>
      <c r="P112" s="48">
        <v>24</v>
      </c>
      <c r="Q112" s="48">
        <v>345</v>
      </c>
      <c r="R112" s="48">
        <v>97</v>
      </c>
      <c r="S112" s="48">
        <v>3</v>
      </c>
      <c r="T112" s="48">
        <v>30</v>
      </c>
      <c r="U112" s="48">
        <v>81</v>
      </c>
      <c r="V112" s="48">
        <v>4</v>
      </c>
      <c r="W112" s="48">
        <v>66</v>
      </c>
      <c r="X112" s="48">
        <v>598</v>
      </c>
      <c r="Y112" s="48">
        <v>10</v>
      </c>
      <c r="Z112" s="48">
        <v>108</v>
      </c>
      <c r="AB112" s="48" t="s">
        <v>2214</v>
      </c>
      <c r="AC112" s="48" t="s">
        <v>2214</v>
      </c>
      <c r="AD112" s="48" t="s">
        <v>2215</v>
      </c>
      <c r="AE112" s="48" t="s">
        <v>51</v>
      </c>
      <c r="AF112" s="48" t="s">
        <v>2039</v>
      </c>
      <c r="AG112" s="48">
        <v>101</v>
      </c>
      <c r="AH112" s="48">
        <v>25</v>
      </c>
      <c r="AI112" s="48">
        <v>101</v>
      </c>
      <c r="AJ112" s="48">
        <v>50</v>
      </c>
      <c r="AK112" s="48">
        <v>22</v>
      </c>
      <c r="AL112" s="48">
        <v>100</v>
      </c>
      <c r="AM112" s="48">
        <v>106</v>
      </c>
      <c r="AN112" s="48">
        <v>14</v>
      </c>
      <c r="AO112" s="48">
        <v>82</v>
      </c>
      <c r="AP112" s="48">
        <v>77</v>
      </c>
      <c r="AQ112" s="48">
        <v>10</v>
      </c>
      <c r="AR112" s="48">
        <v>52</v>
      </c>
      <c r="AS112" s="48">
        <v>64</v>
      </c>
      <c r="AT112" s="48">
        <v>25</v>
      </c>
      <c r="AU112" s="48">
        <v>104</v>
      </c>
      <c r="AV112" s="48">
        <v>41</v>
      </c>
      <c r="AW112" s="48">
        <v>29</v>
      </c>
      <c r="AX112" s="48">
        <v>110</v>
      </c>
      <c r="AY112" s="48">
        <v>439</v>
      </c>
      <c r="AZ112" s="48">
        <v>27</v>
      </c>
      <c r="BA112" s="48">
        <v>109</v>
      </c>
    </row>
    <row r="113" spans="1:53" ht="15" customHeight="1">
      <c r="A113" s="48" t="s">
        <v>317</v>
      </c>
      <c r="B113" s="48" t="s">
        <v>317</v>
      </c>
      <c r="C113" s="48" t="s">
        <v>318</v>
      </c>
      <c r="D113" s="48" t="s">
        <v>50</v>
      </c>
      <c r="E113" s="48" t="s">
        <v>87</v>
      </c>
      <c r="F113" s="48">
        <v>117</v>
      </c>
      <c r="G113" s="48">
        <v>21</v>
      </c>
      <c r="H113" s="48">
        <v>86</v>
      </c>
      <c r="I113" s="48">
        <v>117</v>
      </c>
      <c r="J113" s="48">
        <v>33</v>
      </c>
      <c r="K113" s="48">
        <v>174</v>
      </c>
      <c r="L113" s="48">
        <v>121</v>
      </c>
      <c r="M113" s="48">
        <v>36</v>
      </c>
      <c r="N113" s="48">
        <v>173</v>
      </c>
      <c r="O113" s="48">
        <v>77</v>
      </c>
      <c r="P113" s="48">
        <v>42</v>
      </c>
      <c r="Q113" s="48">
        <v>278</v>
      </c>
      <c r="R113" s="48">
        <v>91</v>
      </c>
      <c r="S113" s="48">
        <v>38</v>
      </c>
      <c r="T113" s="48">
        <v>151</v>
      </c>
      <c r="U113" s="48">
        <v>75</v>
      </c>
      <c r="V113" s="48">
        <v>31</v>
      </c>
      <c r="W113" s="48">
        <v>219</v>
      </c>
      <c r="X113" s="48">
        <v>598</v>
      </c>
      <c r="Y113" s="48">
        <v>36</v>
      </c>
      <c r="Z113" s="48">
        <v>108</v>
      </c>
      <c r="AB113" s="48" t="s">
        <v>2216</v>
      </c>
      <c r="AC113" s="48" t="s">
        <v>2216</v>
      </c>
      <c r="AD113" s="48" t="s">
        <v>2217</v>
      </c>
      <c r="AE113" s="48" t="s">
        <v>51</v>
      </c>
      <c r="AF113" s="48" t="s">
        <v>2010</v>
      </c>
      <c r="AG113" s="48">
        <v>78</v>
      </c>
      <c r="AH113" s="48">
        <v>34</v>
      </c>
      <c r="AI113" s="48">
        <v>120</v>
      </c>
      <c r="AJ113" s="48">
        <v>57</v>
      </c>
      <c r="AK113" s="48">
        <v>24</v>
      </c>
      <c r="AL113" s="48">
        <v>93</v>
      </c>
      <c r="AM113" s="48">
        <v>113</v>
      </c>
      <c r="AN113" s="48">
        <v>14</v>
      </c>
      <c r="AO113" s="48">
        <v>61</v>
      </c>
      <c r="AP113" s="48">
        <v>66</v>
      </c>
      <c r="AQ113" s="48">
        <v>28</v>
      </c>
      <c r="AR113" s="48">
        <v>108</v>
      </c>
      <c r="AS113" s="48">
        <v>70</v>
      </c>
      <c r="AT113" s="48">
        <v>18</v>
      </c>
      <c r="AU113" s="48">
        <v>80</v>
      </c>
      <c r="AV113" s="48">
        <v>52</v>
      </c>
      <c r="AW113" s="48">
        <v>12</v>
      </c>
      <c r="AX113" s="48">
        <v>68</v>
      </c>
      <c r="AY113" s="48">
        <v>436</v>
      </c>
      <c r="AZ113" s="48">
        <v>31</v>
      </c>
      <c r="BA113" s="48">
        <v>110</v>
      </c>
    </row>
    <row r="114" spans="1:53" ht="15" hidden="1" customHeight="1">
      <c r="A114" s="48" t="s">
        <v>319</v>
      </c>
      <c r="B114" s="48" t="s">
        <v>319</v>
      </c>
      <c r="C114" s="48" t="s">
        <v>320</v>
      </c>
      <c r="D114" s="48" t="s">
        <v>50</v>
      </c>
      <c r="E114" s="48" t="s">
        <v>122</v>
      </c>
      <c r="F114" s="48">
        <v>118</v>
      </c>
      <c r="G114" s="48">
        <v>7</v>
      </c>
      <c r="H114" s="48">
        <v>69</v>
      </c>
      <c r="I114" s="48">
        <v>120</v>
      </c>
      <c r="J114" s="48">
        <v>14</v>
      </c>
      <c r="K114" s="48">
        <v>146</v>
      </c>
      <c r="L114" s="48">
        <v>115.5</v>
      </c>
      <c r="M114" s="48">
        <v>29</v>
      </c>
      <c r="N114" s="48">
        <v>325</v>
      </c>
      <c r="O114" s="48">
        <v>68</v>
      </c>
      <c r="P114" s="48">
        <v>36</v>
      </c>
      <c r="Q114" s="48">
        <v>474</v>
      </c>
      <c r="R114" s="48">
        <v>96</v>
      </c>
      <c r="S114" s="48">
        <v>6</v>
      </c>
      <c r="T114" s="48">
        <v>45</v>
      </c>
      <c r="U114" s="48">
        <v>80</v>
      </c>
      <c r="V114" s="48">
        <v>6</v>
      </c>
      <c r="W114" s="48">
        <v>85</v>
      </c>
      <c r="X114" s="48">
        <v>597.5</v>
      </c>
      <c r="Y114" s="48">
        <v>12</v>
      </c>
      <c r="Z114" s="48">
        <v>111</v>
      </c>
      <c r="AB114" s="48" t="s">
        <v>2218</v>
      </c>
      <c r="AC114" s="48" t="s">
        <v>2218</v>
      </c>
      <c r="AD114" s="48" t="s">
        <v>2219</v>
      </c>
      <c r="AE114" s="48" t="s">
        <v>51</v>
      </c>
      <c r="AF114" s="48" t="s">
        <v>2039</v>
      </c>
      <c r="AG114" s="48">
        <v>98</v>
      </c>
      <c r="AH114" s="48">
        <v>29</v>
      </c>
      <c r="AI114" s="48">
        <v>109</v>
      </c>
      <c r="AJ114" s="48">
        <v>46</v>
      </c>
      <c r="AK114" s="48">
        <v>23</v>
      </c>
      <c r="AL114" s="48">
        <v>103</v>
      </c>
      <c r="AM114" s="48">
        <v>107.5</v>
      </c>
      <c r="AN114" s="48">
        <v>12</v>
      </c>
      <c r="AO114" s="48">
        <v>76</v>
      </c>
      <c r="AP114" s="48">
        <v>73</v>
      </c>
      <c r="AQ114" s="48">
        <v>20</v>
      </c>
      <c r="AR114" s="48">
        <v>83</v>
      </c>
      <c r="AS114" s="48">
        <v>66</v>
      </c>
      <c r="AT114" s="48">
        <v>23</v>
      </c>
      <c r="AU114" s="48">
        <v>99</v>
      </c>
      <c r="AV114" s="48">
        <v>44</v>
      </c>
      <c r="AW114" s="48">
        <v>25</v>
      </c>
      <c r="AX114" s="48">
        <v>101</v>
      </c>
      <c r="AY114" s="48">
        <v>434.5</v>
      </c>
      <c r="AZ114" s="48">
        <v>28</v>
      </c>
      <c r="BA114" s="48">
        <v>111</v>
      </c>
    </row>
    <row r="115" spans="1:53" ht="15" hidden="1" customHeight="1">
      <c r="A115" s="48" t="s">
        <v>321</v>
      </c>
      <c r="B115" s="48" t="s">
        <v>321</v>
      </c>
      <c r="C115" s="48" t="s">
        <v>322</v>
      </c>
      <c r="D115" s="48" t="s">
        <v>50</v>
      </c>
      <c r="E115" s="48" t="s">
        <v>111</v>
      </c>
      <c r="F115" s="48">
        <v>106</v>
      </c>
      <c r="G115" s="48">
        <v>27</v>
      </c>
      <c r="H115" s="48">
        <v>477</v>
      </c>
      <c r="I115" s="48">
        <v>129</v>
      </c>
      <c r="J115" s="48">
        <v>2</v>
      </c>
      <c r="K115" s="48">
        <v>63</v>
      </c>
      <c r="L115" s="48">
        <v>108.5</v>
      </c>
      <c r="M115" s="48">
        <v>29</v>
      </c>
      <c r="N115" s="48">
        <v>508</v>
      </c>
      <c r="O115" s="48">
        <v>83</v>
      </c>
      <c r="P115" s="48">
        <v>6</v>
      </c>
      <c r="Q115" s="48">
        <v>153</v>
      </c>
      <c r="R115" s="48">
        <v>93</v>
      </c>
      <c r="S115" s="48">
        <v>4</v>
      </c>
      <c r="T115" s="48">
        <v>93</v>
      </c>
      <c r="U115" s="48">
        <v>78</v>
      </c>
      <c r="V115" s="48">
        <v>4</v>
      </c>
      <c r="W115" s="48">
        <v>133</v>
      </c>
      <c r="X115" s="48">
        <v>597.5</v>
      </c>
      <c r="Y115" s="48">
        <v>5</v>
      </c>
      <c r="Z115" s="48">
        <v>111</v>
      </c>
      <c r="AB115" s="48" t="s">
        <v>2220</v>
      </c>
      <c r="AC115" s="48" t="s">
        <v>2220</v>
      </c>
      <c r="AD115" s="48" t="s">
        <v>2221</v>
      </c>
      <c r="AE115" s="48" t="s">
        <v>51</v>
      </c>
      <c r="AF115" s="48" t="s">
        <v>2039</v>
      </c>
      <c r="AG115" s="48">
        <v>105</v>
      </c>
      <c r="AH115" s="48">
        <v>22</v>
      </c>
      <c r="AI115" s="48">
        <v>92</v>
      </c>
      <c r="AJ115" s="48">
        <v>46</v>
      </c>
      <c r="AK115" s="48">
        <v>23</v>
      </c>
      <c r="AL115" s="48">
        <v>103</v>
      </c>
      <c r="AM115" s="48">
        <v>96.5</v>
      </c>
      <c r="AN115" s="48">
        <v>29</v>
      </c>
      <c r="AO115" s="48">
        <v>107</v>
      </c>
      <c r="AP115" s="48">
        <v>76</v>
      </c>
      <c r="AQ115" s="48">
        <v>13</v>
      </c>
      <c r="AR115" s="48">
        <v>59</v>
      </c>
      <c r="AS115" s="48">
        <v>72</v>
      </c>
      <c r="AT115" s="48">
        <v>16</v>
      </c>
      <c r="AU115" s="48">
        <v>71</v>
      </c>
      <c r="AV115" s="48">
        <v>38</v>
      </c>
      <c r="AW115" s="48">
        <v>32</v>
      </c>
      <c r="AX115" s="48">
        <v>116</v>
      </c>
      <c r="AY115" s="48">
        <v>433.5</v>
      </c>
      <c r="AZ115" s="48">
        <v>29</v>
      </c>
      <c r="BA115" s="48">
        <v>112</v>
      </c>
    </row>
    <row r="116" spans="1:53" ht="15" hidden="1" customHeight="1">
      <c r="A116" s="48" t="s">
        <v>323</v>
      </c>
      <c r="B116" s="48" t="s">
        <v>323</v>
      </c>
      <c r="C116" s="48" t="s">
        <v>324</v>
      </c>
      <c r="D116" s="48" t="s">
        <v>50</v>
      </c>
      <c r="E116" s="48" t="s">
        <v>249</v>
      </c>
      <c r="F116" s="48">
        <v>105</v>
      </c>
      <c r="G116" s="48">
        <v>40</v>
      </c>
      <c r="H116" s="48">
        <v>515</v>
      </c>
      <c r="I116" s="48">
        <v>133</v>
      </c>
      <c r="J116" s="48">
        <v>1</v>
      </c>
      <c r="K116" s="48">
        <v>41</v>
      </c>
      <c r="L116" s="48">
        <v>95</v>
      </c>
      <c r="M116" s="48">
        <v>42</v>
      </c>
      <c r="N116" s="48">
        <v>775</v>
      </c>
      <c r="O116" s="48">
        <v>102</v>
      </c>
      <c r="P116" s="48">
        <v>1</v>
      </c>
      <c r="Q116" s="48">
        <v>9</v>
      </c>
      <c r="R116" s="48">
        <v>85</v>
      </c>
      <c r="S116" s="48">
        <v>9</v>
      </c>
      <c r="T116" s="48">
        <v>339</v>
      </c>
      <c r="U116" s="48">
        <v>77</v>
      </c>
      <c r="V116" s="48">
        <v>4</v>
      </c>
      <c r="W116" s="48">
        <v>162</v>
      </c>
      <c r="X116" s="48">
        <v>597</v>
      </c>
      <c r="Y116" s="48">
        <v>5</v>
      </c>
      <c r="Z116" s="48">
        <v>113</v>
      </c>
      <c r="AB116" s="48" t="s">
        <v>2222</v>
      </c>
      <c r="AC116" s="48" t="s">
        <v>2222</v>
      </c>
      <c r="AD116" s="48" t="s">
        <v>2223</v>
      </c>
      <c r="AE116" s="48" t="s">
        <v>51</v>
      </c>
      <c r="AF116" s="48" t="s">
        <v>2010</v>
      </c>
      <c r="AG116" s="48">
        <v>103</v>
      </c>
      <c r="AH116" s="48">
        <v>25</v>
      </c>
      <c r="AI116" s="48">
        <v>96</v>
      </c>
      <c r="AJ116" s="48">
        <v>41</v>
      </c>
      <c r="AK116" s="48">
        <v>31</v>
      </c>
      <c r="AL116" s="48">
        <v>112</v>
      </c>
      <c r="AM116" s="48">
        <v>107</v>
      </c>
      <c r="AN116" s="48">
        <v>21</v>
      </c>
      <c r="AO116" s="48">
        <v>79</v>
      </c>
      <c r="AP116" s="48">
        <v>65</v>
      </c>
      <c r="AQ116" s="48">
        <v>30</v>
      </c>
      <c r="AR116" s="48">
        <v>111</v>
      </c>
      <c r="AS116" s="48">
        <v>72</v>
      </c>
      <c r="AT116" s="48">
        <v>15</v>
      </c>
      <c r="AU116" s="48">
        <v>71</v>
      </c>
      <c r="AV116" s="48">
        <v>45</v>
      </c>
      <c r="AW116" s="48">
        <v>23</v>
      </c>
      <c r="AX116" s="48">
        <v>96</v>
      </c>
      <c r="AY116" s="48">
        <v>433</v>
      </c>
      <c r="AZ116" s="48">
        <v>32</v>
      </c>
      <c r="BA116" s="48">
        <v>113</v>
      </c>
    </row>
    <row r="117" spans="1:53" ht="15" hidden="1" customHeight="1">
      <c r="A117" s="48" t="s">
        <v>325</v>
      </c>
      <c r="B117" s="48" t="s">
        <v>325</v>
      </c>
      <c r="C117" s="48" t="s">
        <v>326</v>
      </c>
      <c r="D117" s="48" t="s">
        <v>50</v>
      </c>
      <c r="E117" s="48" t="s">
        <v>133</v>
      </c>
      <c r="F117" s="48">
        <v>117</v>
      </c>
      <c r="G117" s="48">
        <v>5</v>
      </c>
      <c r="H117" s="48">
        <v>86</v>
      </c>
      <c r="I117" s="48">
        <v>105</v>
      </c>
      <c r="J117" s="48">
        <v>26</v>
      </c>
      <c r="K117" s="48">
        <v>340</v>
      </c>
      <c r="L117" s="48">
        <v>124.5</v>
      </c>
      <c r="M117" s="48">
        <v>6</v>
      </c>
      <c r="N117" s="48">
        <v>103</v>
      </c>
      <c r="O117" s="48">
        <v>86</v>
      </c>
      <c r="P117" s="48">
        <v>7</v>
      </c>
      <c r="Q117" s="48">
        <v>101</v>
      </c>
      <c r="R117" s="48">
        <v>87</v>
      </c>
      <c r="S117" s="48">
        <v>21</v>
      </c>
      <c r="T117" s="48">
        <v>268</v>
      </c>
      <c r="U117" s="48">
        <v>77</v>
      </c>
      <c r="V117" s="48">
        <v>16</v>
      </c>
      <c r="W117" s="48">
        <v>162</v>
      </c>
      <c r="X117" s="48">
        <v>596.5</v>
      </c>
      <c r="Y117" s="48">
        <v>7</v>
      </c>
      <c r="Z117" s="48">
        <v>114</v>
      </c>
      <c r="AB117" s="48" t="s">
        <v>2224</v>
      </c>
      <c r="AC117" s="48" t="s">
        <v>2224</v>
      </c>
      <c r="AD117" s="48" t="s">
        <v>2225</v>
      </c>
      <c r="AE117" s="48" t="s">
        <v>51</v>
      </c>
      <c r="AF117" s="48" t="s">
        <v>2010</v>
      </c>
      <c r="AG117" s="48">
        <v>99</v>
      </c>
      <c r="AH117" s="48">
        <v>30</v>
      </c>
      <c r="AI117" s="48">
        <v>107</v>
      </c>
      <c r="AJ117" s="48">
        <v>66</v>
      </c>
      <c r="AK117" s="48">
        <v>18</v>
      </c>
      <c r="AL117" s="48">
        <v>77</v>
      </c>
      <c r="AM117" s="48">
        <v>81.5</v>
      </c>
      <c r="AN117" s="48">
        <v>34</v>
      </c>
      <c r="AO117" s="48">
        <v>119</v>
      </c>
      <c r="AP117" s="48">
        <v>75</v>
      </c>
      <c r="AQ117" s="48">
        <v>14</v>
      </c>
      <c r="AR117" s="48">
        <v>66</v>
      </c>
      <c r="AS117" s="48">
        <v>68</v>
      </c>
      <c r="AT117" s="48">
        <v>25</v>
      </c>
      <c r="AU117" s="48">
        <v>93</v>
      </c>
      <c r="AV117" s="48">
        <v>42</v>
      </c>
      <c r="AW117" s="48">
        <v>28</v>
      </c>
      <c r="AX117" s="48">
        <v>106</v>
      </c>
      <c r="AY117" s="48">
        <v>431.5</v>
      </c>
      <c r="AZ117" s="48">
        <v>33</v>
      </c>
      <c r="BA117" s="48">
        <v>114</v>
      </c>
    </row>
    <row r="118" spans="1:53" ht="15" hidden="1" customHeight="1">
      <c r="A118" s="48" t="s">
        <v>327</v>
      </c>
      <c r="B118" s="48" t="s">
        <v>327</v>
      </c>
      <c r="C118" s="48" t="s">
        <v>328</v>
      </c>
      <c r="D118" s="48" t="s">
        <v>50</v>
      </c>
      <c r="E118" s="48" t="s">
        <v>296</v>
      </c>
      <c r="F118" s="48">
        <v>110</v>
      </c>
      <c r="G118" s="48">
        <v>9</v>
      </c>
      <c r="H118" s="48">
        <v>310</v>
      </c>
      <c r="I118" s="48">
        <v>104</v>
      </c>
      <c r="J118" s="48">
        <v>21</v>
      </c>
      <c r="K118" s="48">
        <v>358</v>
      </c>
      <c r="L118" s="48">
        <v>125.5</v>
      </c>
      <c r="M118" s="48">
        <v>7</v>
      </c>
      <c r="N118" s="48">
        <v>87</v>
      </c>
      <c r="O118" s="48">
        <v>76</v>
      </c>
      <c r="P118" s="48">
        <v>17</v>
      </c>
      <c r="Q118" s="48">
        <v>302</v>
      </c>
      <c r="R118" s="48">
        <v>100</v>
      </c>
      <c r="S118" s="48">
        <v>1</v>
      </c>
      <c r="T118" s="48">
        <v>1</v>
      </c>
      <c r="U118" s="48">
        <v>81</v>
      </c>
      <c r="V118" s="48">
        <v>1</v>
      </c>
      <c r="W118" s="48">
        <v>66</v>
      </c>
      <c r="X118" s="48">
        <v>596.5</v>
      </c>
      <c r="Y118" s="48">
        <v>3</v>
      </c>
      <c r="Z118" s="48">
        <v>114</v>
      </c>
      <c r="AB118" s="48" t="s">
        <v>2226</v>
      </c>
      <c r="AC118" s="48" t="s">
        <v>2226</v>
      </c>
      <c r="AD118" s="48" t="s">
        <v>2227</v>
      </c>
      <c r="AE118" s="48" t="s">
        <v>51</v>
      </c>
      <c r="AF118" s="48" t="s">
        <v>2010</v>
      </c>
      <c r="AG118" s="48">
        <v>111</v>
      </c>
      <c r="AH118" s="48">
        <v>12</v>
      </c>
      <c r="AI118" s="48">
        <v>61</v>
      </c>
      <c r="AJ118" s="48">
        <v>31</v>
      </c>
      <c r="AK118" s="48">
        <v>34</v>
      </c>
      <c r="AL118" s="48">
        <v>120</v>
      </c>
      <c r="AM118" s="48">
        <v>100</v>
      </c>
      <c r="AN118" s="48">
        <v>27</v>
      </c>
      <c r="AO118" s="48">
        <v>101</v>
      </c>
      <c r="AP118" s="48">
        <v>61</v>
      </c>
      <c r="AQ118" s="48">
        <v>32</v>
      </c>
      <c r="AR118" s="48">
        <v>116</v>
      </c>
      <c r="AS118" s="48">
        <v>81</v>
      </c>
      <c r="AT118" s="48">
        <v>4</v>
      </c>
      <c r="AU118" s="48">
        <v>22</v>
      </c>
      <c r="AV118" s="48">
        <v>41</v>
      </c>
      <c r="AW118" s="48">
        <v>30</v>
      </c>
      <c r="AX118" s="48">
        <v>110</v>
      </c>
      <c r="AY118" s="48">
        <v>425</v>
      </c>
      <c r="AZ118" s="48">
        <v>34</v>
      </c>
      <c r="BA118" s="48">
        <v>115</v>
      </c>
    </row>
    <row r="119" spans="1:53" ht="15" hidden="1" customHeight="1">
      <c r="A119" s="48" t="s">
        <v>329</v>
      </c>
      <c r="B119" s="48" t="s">
        <v>329</v>
      </c>
      <c r="C119" s="48" t="s">
        <v>330</v>
      </c>
      <c r="D119" s="48" t="s">
        <v>50</v>
      </c>
      <c r="E119" s="48" t="s">
        <v>296</v>
      </c>
      <c r="F119" s="48">
        <v>111</v>
      </c>
      <c r="G119" s="48">
        <v>6</v>
      </c>
      <c r="H119" s="48">
        <v>271</v>
      </c>
      <c r="I119" s="48">
        <v>115</v>
      </c>
      <c r="J119" s="48">
        <v>13</v>
      </c>
      <c r="K119" s="48">
        <v>195</v>
      </c>
      <c r="L119" s="48">
        <v>126.5</v>
      </c>
      <c r="M119" s="48">
        <v>4</v>
      </c>
      <c r="N119" s="48">
        <v>76</v>
      </c>
      <c r="O119" s="48">
        <v>80</v>
      </c>
      <c r="P119" s="48">
        <v>12</v>
      </c>
      <c r="Q119" s="48">
        <v>211</v>
      </c>
      <c r="R119" s="48">
        <v>91</v>
      </c>
      <c r="S119" s="48">
        <v>10</v>
      </c>
      <c r="T119" s="48">
        <v>151</v>
      </c>
      <c r="U119" s="48">
        <v>73</v>
      </c>
      <c r="V119" s="48">
        <v>9</v>
      </c>
      <c r="W119" s="48">
        <v>275</v>
      </c>
      <c r="X119" s="48">
        <v>596.5</v>
      </c>
      <c r="Y119" s="48">
        <v>3</v>
      </c>
      <c r="Z119" s="48">
        <v>114</v>
      </c>
      <c r="AB119" s="48" t="s">
        <v>2228</v>
      </c>
      <c r="AC119" s="48" t="s">
        <v>2228</v>
      </c>
      <c r="AD119" s="48" t="s">
        <v>2229</v>
      </c>
      <c r="AE119" s="48" t="s">
        <v>51</v>
      </c>
      <c r="AF119" s="48" t="s">
        <v>2039</v>
      </c>
      <c r="AG119" s="48">
        <v>94</v>
      </c>
      <c r="AH119" s="48">
        <v>30</v>
      </c>
      <c r="AI119" s="48">
        <v>114</v>
      </c>
      <c r="AJ119" s="48">
        <v>82</v>
      </c>
      <c r="AK119" s="48">
        <v>8</v>
      </c>
      <c r="AL119" s="48">
        <v>50</v>
      </c>
      <c r="AM119" s="48">
        <v>69.5</v>
      </c>
      <c r="AN119" s="48">
        <v>34</v>
      </c>
      <c r="AO119" s="48">
        <v>120</v>
      </c>
      <c r="AP119" s="48">
        <v>76</v>
      </c>
      <c r="AQ119" s="48">
        <v>13</v>
      </c>
      <c r="AR119" s="48">
        <v>59</v>
      </c>
      <c r="AS119" s="48">
        <v>56</v>
      </c>
      <c r="AT119" s="48">
        <v>32</v>
      </c>
      <c r="AU119" s="48">
        <v>115</v>
      </c>
      <c r="AV119" s="48">
        <v>47</v>
      </c>
      <c r="AW119" s="48">
        <v>22</v>
      </c>
      <c r="AX119" s="48">
        <v>91</v>
      </c>
      <c r="AY119" s="48">
        <v>424.5</v>
      </c>
      <c r="AZ119" s="48">
        <v>30</v>
      </c>
      <c r="BA119" s="48">
        <v>116</v>
      </c>
    </row>
    <row r="120" spans="1:53" ht="15" hidden="1" customHeight="1">
      <c r="A120" s="48" t="s">
        <v>331</v>
      </c>
      <c r="B120" s="48" t="s">
        <v>331</v>
      </c>
      <c r="C120" s="48" t="s">
        <v>332</v>
      </c>
      <c r="D120" s="48" t="s">
        <v>50</v>
      </c>
      <c r="E120" s="48" t="s">
        <v>111</v>
      </c>
      <c r="F120" s="48">
        <v>121</v>
      </c>
      <c r="G120" s="48">
        <v>1</v>
      </c>
      <c r="H120" s="48">
        <v>30</v>
      </c>
      <c r="I120" s="48">
        <v>108</v>
      </c>
      <c r="J120" s="48">
        <v>12</v>
      </c>
      <c r="K120" s="48">
        <v>296</v>
      </c>
      <c r="L120" s="48">
        <v>118</v>
      </c>
      <c r="M120" s="48">
        <v>16</v>
      </c>
      <c r="N120" s="48">
        <v>263</v>
      </c>
      <c r="O120" s="48">
        <v>70</v>
      </c>
      <c r="P120" s="48">
        <v>21</v>
      </c>
      <c r="Q120" s="48">
        <v>429</v>
      </c>
      <c r="R120" s="48">
        <v>92</v>
      </c>
      <c r="S120" s="48">
        <v>5</v>
      </c>
      <c r="T120" s="48">
        <v>116</v>
      </c>
      <c r="U120" s="48">
        <v>87</v>
      </c>
      <c r="V120" s="48">
        <v>1</v>
      </c>
      <c r="W120" s="48">
        <v>2</v>
      </c>
      <c r="X120" s="48">
        <v>596</v>
      </c>
      <c r="Y120" s="48">
        <v>6</v>
      </c>
      <c r="Z120" s="48">
        <v>117</v>
      </c>
      <c r="AB120" s="48" t="s">
        <v>2230</v>
      </c>
      <c r="AC120" s="48" t="s">
        <v>2230</v>
      </c>
      <c r="AD120" s="48" t="s">
        <v>2231</v>
      </c>
      <c r="AE120" s="48" t="s">
        <v>51</v>
      </c>
      <c r="AF120" s="48" t="s">
        <v>2039</v>
      </c>
      <c r="AG120" s="48">
        <v>107</v>
      </c>
      <c r="AH120" s="48">
        <v>20</v>
      </c>
      <c r="AI120" s="48">
        <v>83</v>
      </c>
      <c r="AJ120" s="48">
        <v>35</v>
      </c>
      <c r="AK120" s="48">
        <v>32</v>
      </c>
      <c r="AL120" s="48">
        <v>117</v>
      </c>
      <c r="AM120" s="48">
        <v>96.5</v>
      </c>
      <c r="AN120" s="48">
        <v>29</v>
      </c>
      <c r="AO120" s="48">
        <v>107</v>
      </c>
      <c r="AP120" s="48">
        <v>64</v>
      </c>
      <c r="AQ120" s="48">
        <v>31</v>
      </c>
      <c r="AR120" s="48">
        <v>112</v>
      </c>
      <c r="AS120" s="48">
        <v>80</v>
      </c>
      <c r="AT120" s="48">
        <v>2</v>
      </c>
      <c r="AU120" s="48">
        <v>30</v>
      </c>
      <c r="AV120" s="48">
        <v>36</v>
      </c>
      <c r="AW120" s="48">
        <v>33</v>
      </c>
      <c r="AX120" s="48">
        <v>117</v>
      </c>
      <c r="AY120" s="48">
        <v>418.5</v>
      </c>
      <c r="AZ120" s="48">
        <v>31</v>
      </c>
      <c r="BA120" s="48">
        <v>117</v>
      </c>
    </row>
    <row r="121" spans="1:53" ht="15" hidden="1" customHeight="1">
      <c r="A121" s="48" t="s">
        <v>333</v>
      </c>
      <c r="B121" s="48" t="s">
        <v>333</v>
      </c>
      <c r="C121" s="48" t="s">
        <v>334</v>
      </c>
      <c r="D121" s="48" t="s">
        <v>50</v>
      </c>
      <c r="E121" s="48" t="s">
        <v>133</v>
      </c>
      <c r="F121" s="48">
        <v>94</v>
      </c>
      <c r="G121" s="48">
        <v>51</v>
      </c>
      <c r="H121" s="48">
        <v>856</v>
      </c>
      <c r="I121" s="48">
        <v>112</v>
      </c>
      <c r="J121" s="48">
        <v>15</v>
      </c>
      <c r="K121" s="48">
        <v>235</v>
      </c>
      <c r="L121" s="48">
        <v>131</v>
      </c>
      <c r="M121" s="48">
        <v>2</v>
      </c>
      <c r="N121" s="48">
        <v>27</v>
      </c>
      <c r="O121" s="48">
        <v>82</v>
      </c>
      <c r="P121" s="48">
        <v>15</v>
      </c>
      <c r="Q121" s="48">
        <v>171</v>
      </c>
      <c r="R121" s="48">
        <v>92</v>
      </c>
      <c r="S121" s="48">
        <v>3</v>
      </c>
      <c r="T121" s="48">
        <v>116</v>
      </c>
      <c r="U121" s="48">
        <v>85</v>
      </c>
      <c r="V121" s="48">
        <v>3</v>
      </c>
      <c r="W121" s="48">
        <v>14</v>
      </c>
      <c r="X121" s="48">
        <v>596</v>
      </c>
      <c r="Y121" s="48">
        <v>8</v>
      </c>
      <c r="Z121" s="48">
        <v>117</v>
      </c>
      <c r="AB121" s="48" t="s">
        <v>2232</v>
      </c>
      <c r="AC121" s="48" t="s">
        <v>2232</v>
      </c>
      <c r="AD121" s="48" t="s">
        <v>2233</v>
      </c>
      <c r="AE121" s="48" t="s">
        <v>51</v>
      </c>
      <c r="AF121" s="48" t="s">
        <v>2039</v>
      </c>
      <c r="AG121" s="48">
        <v>94</v>
      </c>
      <c r="AH121" s="48">
        <v>30</v>
      </c>
      <c r="AI121" s="48">
        <v>114</v>
      </c>
      <c r="AJ121" s="48">
        <v>61</v>
      </c>
      <c r="AK121" s="48">
        <v>17</v>
      </c>
      <c r="AL121" s="48">
        <v>85</v>
      </c>
      <c r="AM121" s="48">
        <v>97.5</v>
      </c>
      <c r="AN121" s="48">
        <v>28</v>
      </c>
      <c r="AO121" s="48">
        <v>105</v>
      </c>
      <c r="AP121" s="48">
        <v>61</v>
      </c>
      <c r="AQ121" s="48">
        <v>33</v>
      </c>
      <c r="AR121" s="48">
        <v>116</v>
      </c>
      <c r="AS121" s="48">
        <v>61</v>
      </c>
      <c r="AT121" s="48">
        <v>28</v>
      </c>
      <c r="AU121" s="48">
        <v>110</v>
      </c>
      <c r="AV121" s="48">
        <v>39</v>
      </c>
      <c r="AW121" s="48">
        <v>31</v>
      </c>
      <c r="AX121" s="48">
        <v>115</v>
      </c>
      <c r="AY121" s="48">
        <v>413.5</v>
      </c>
      <c r="AZ121" s="48">
        <v>32</v>
      </c>
      <c r="BA121" s="48">
        <v>118</v>
      </c>
    </row>
    <row r="122" spans="1:53" ht="15" hidden="1" customHeight="1">
      <c r="A122" s="48" t="s">
        <v>335</v>
      </c>
      <c r="B122" s="48" t="s">
        <v>335</v>
      </c>
      <c r="C122" s="48" t="s">
        <v>336</v>
      </c>
      <c r="D122" s="48" t="s">
        <v>50</v>
      </c>
      <c r="E122" s="48" t="s">
        <v>122</v>
      </c>
      <c r="F122" s="48">
        <v>112</v>
      </c>
      <c r="G122" s="48">
        <v>23</v>
      </c>
      <c r="H122" s="48">
        <v>226</v>
      </c>
      <c r="I122" s="48">
        <v>121</v>
      </c>
      <c r="J122" s="48">
        <v>12</v>
      </c>
      <c r="K122" s="48">
        <v>131</v>
      </c>
      <c r="L122" s="48">
        <v>125.5</v>
      </c>
      <c r="M122" s="48">
        <v>6</v>
      </c>
      <c r="N122" s="48">
        <v>87</v>
      </c>
      <c r="O122" s="48">
        <v>82</v>
      </c>
      <c r="P122" s="48">
        <v>14</v>
      </c>
      <c r="Q122" s="48">
        <v>171</v>
      </c>
      <c r="R122" s="48">
        <v>83</v>
      </c>
      <c r="S122" s="48">
        <v>51</v>
      </c>
      <c r="T122" s="48">
        <v>407</v>
      </c>
      <c r="U122" s="48">
        <v>72</v>
      </c>
      <c r="V122" s="48">
        <v>20</v>
      </c>
      <c r="W122" s="48">
        <v>312</v>
      </c>
      <c r="X122" s="48">
        <v>595.5</v>
      </c>
      <c r="Y122" s="48">
        <v>13</v>
      </c>
      <c r="Z122" s="48">
        <v>119</v>
      </c>
      <c r="AB122" s="48" t="s">
        <v>2234</v>
      </c>
      <c r="AC122" s="48" t="s">
        <v>2234</v>
      </c>
      <c r="AD122" s="48" t="s">
        <v>2235</v>
      </c>
      <c r="AE122" s="48" t="s">
        <v>51</v>
      </c>
      <c r="AF122" s="48" t="s">
        <v>2039</v>
      </c>
      <c r="AG122" s="48">
        <v>93</v>
      </c>
      <c r="AH122" s="48">
        <v>32</v>
      </c>
      <c r="AI122" s="48">
        <v>116</v>
      </c>
      <c r="AJ122" s="48">
        <v>37</v>
      </c>
      <c r="AK122" s="48">
        <v>31</v>
      </c>
      <c r="AL122" s="48">
        <v>116</v>
      </c>
      <c r="AM122" s="48">
        <v>95.5</v>
      </c>
      <c r="AN122" s="48">
        <v>31</v>
      </c>
      <c r="AO122" s="48">
        <v>111</v>
      </c>
      <c r="AP122" s="48">
        <v>70</v>
      </c>
      <c r="AQ122" s="48">
        <v>25</v>
      </c>
      <c r="AR122" s="48">
        <v>96</v>
      </c>
      <c r="AS122" s="48">
        <v>68</v>
      </c>
      <c r="AT122" s="48">
        <v>22</v>
      </c>
      <c r="AU122" s="48">
        <v>93</v>
      </c>
      <c r="AV122" s="48">
        <v>45</v>
      </c>
      <c r="AW122" s="48">
        <v>23</v>
      </c>
      <c r="AX122" s="48">
        <v>96</v>
      </c>
      <c r="AY122" s="48">
        <v>408.5</v>
      </c>
      <c r="AZ122" s="48">
        <v>33</v>
      </c>
      <c r="BA122" s="48">
        <v>119</v>
      </c>
    </row>
    <row r="123" spans="1:53" ht="15" hidden="1" customHeight="1">
      <c r="A123" s="48" t="s">
        <v>337</v>
      </c>
      <c r="B123" s="48" t="s">
        <v>337</v>
      </c>
      <c r="C123" s="48" t="s">
        <v>338</v>
      </c>
      <c r="D123" s="48" t="s">
        <v>50</v>
      </c>
      <c r="E123" s="48" t="s">
        <v>122</v>
      </c>
      <c r="F123" s="48">
        <v>110</v>
      </c>
      <c r="G123" s="48">
        <v>31</v>
      </c>
      <c r="H123" s="48">
        <v>310</v>
      </c>
      <c r="I123" s="48">
        <v>106</v>
      </c>
      <c r="J123" s="48">
        <v>26</v>
      </c>
      <c r="K123" s="48">
        <v>322</v>
      </c>
      <c r="L123" s="48">
        <v>120</v>
      </c>
      <c r="M123" s="48">
        <v>19</v>
      </c>
      <c r="N123" s="48">
        <v>211</v>
      </c>
      <c r="O123" s="48">
        <v>85</v>
      </c>
      <c r="P123" s="48">
        <v>11</v>
      </c>
      <c r="Q123" s="48">
        <v>117</v>
      </c>
      <c r="R123" s="48">
        <v>97</v>
      </c>
      <c r="S123" s="48">
        <v>3</v>
      </c>
      <c r="T123" s="48">
        <v>30</v>
      </c>
      <c r="U123" s="48">
        <v>77</v>
      </c>
      <c r="V123" s="48">
        <v>12</v>
      </c>
      <c r="W123" s="48">
        <v>162</v>
      </c>
      <c r="X123" s="48">
        <v>595</v>
      </c>
      <c r="Y123" s="48">
        <v>14</v>
      </c>
      <c r="Z123" s="48">
        <v>120</v>
      </c>
      <c r="AB123" s="48" t="s">
        <v>2236</v>
      </c>
      <c r="AC123" s="48" t="s">
        <v>2236</v>
      </c>
      <c r="AD123" s="48" t="s">
        <v>2237</v>
      </c>
      <c r="AE123" s="48" t="s">
        <v>51</v>
      </c>
      <c r="AF123" s="48" t="s">
        <v>2039</v>
      </c>
      <c r="AG123" s="48">
        <v>92</v>
      </c>
      <c r="AH123" s="48">
        <v>33</v>
      </c>
      <c r="AI123" s="48">
        <v>118</v>
      </c>
      <c r="AJ123" s="48">
        <v>42</v>
      </c>
      <c r="AK123" s="48">
        <v>29</v>
      </c>
      <c r="AL123" s="48">
        <v>111</v>
      </c>
      <c r="AM123" s="48">
        <v>107.5</v>
      </c>
      <c r="AN123" s="48">
        <v>12</v>
      </c>
      <c r="AO123" s="48">
        <v>76</v>
      </c>
      <c r="AP123" s="48">
        <v>61</v>
      </c>
      <c r="AQ123" s="48">
        <v>33</v>
      </c>
      <c r="AR123" s="48">
        <v>116</v>
      </c>
      <c r="AS123" s="48">
        <v>52</v>
      </c>
      <c r="AT123" s="48">
        <v>34</v>
      </c>
      <c r="AU123" s="48">
        <v>119</v>
      </c>
      <c r="AV123" s="48">
        <v>45</v>
      </c>
      <c r="AW123" s="48">
        <v>23</v>
      </c>
      <c r="AX123" s="48">
        <v>96</v>
      </c>
      <c r="AY123" s="48">
        <v>399.5</v>
      </c>
      <c r="AZ123" s="48">
        <v>34</v>
      </c>
      <c r="BA123" s="48">
        <v>120</v>
      </c>
    </row>
    <row r="124" spans="1:53" ht="15" hidden="1" customHeight="1">
      <c r="A124" s="48" t="s">
        <v>339</v>
      </c>
      <c r="B124" s="48" t="s">
        <v>339</v>
      </c>
      <c r="C124" s="48" t="s">
        <v>340</v>
      </c>
      <c r="D124" s="48" t="s">
        <v>50</v>
      </c>
      <c r="E124" s="48" t="s">
        <v>240</v>
      </c>
      <c r="F124" s="48">
        <v>107</v>
      </c>
      <c r="G124" s="48">
        <v>21</v>
      </c>
      <c r="H124" s="48">
        <v>429</v>
      </c>
      <c r="I124" s="48">
        <v>126</v>
      </c>
      <c r="J124" s="48">
        <v>4</v>
      </c>
      <c r="K124" s="48">
        <v>86</v>
      </c>
      <c r="L124" s="48">
        <v>115</v>
      </c>
      <c r="M124" s="48">
        <v>16</v>
      </c>
      <c r="N124" s="48">
        <v>330</v>
      </c>
      <c r="O124" s="48">
        <v>85</v>
      </c>
      <c r="P124" s="48">
        <v>6</v>
      </c>
      <c r="Q124" s="48">
        <v>117</v>
      </c>
      <c r="R124" s="48">
        <v>83</v>
      </c>
      <c r="S124" s="48">
        <v>21</v>
      </c>
      <c r="T124" s="48">
        <v>407</v>
      </c>
      <c r="U124" s="48">
        <v>79</v>
      </c>
      <c r="V124" s="48">
        <v>7</v>
      </c>
      <c r="W124" s="48">
        <v>103</v>
      </c>
      <c r="X124" s="48">
        <v>595</v>
      </c>
      <c r="Y124" s="48">
        <v>6</v>
      </c>
      <c r="Z124" s="48">
        <v>120</v>
      </c>
    </row>
    <row r="125" spans="1:53" ht="15" customHeight="1">
      <c r="A125" s="48" t="s">
        <v>341</v>
      </c>
      <c r="B125" s="48" t="s">
        <v>341</v>
      </c>
      <c r="C125" s="48" t="s">
        <v>251</v>
      </c>
      <c r="D125" s="48" t="s">
        <v>50</v>
      </c>
      <c r="E125" s="48" t="s">
        <v>87</v>
      </c>
      <c r="F125" s="48">
        <v>113</v>
      </c>
      <c r="G125" s="48">
        <v>32</v>
      </c>
      <c r="H125" s="48">
        <v>196</v>
      </c>
      <c r="I125" s="48">
        <v>114</v>
      </c>
      <c r="J125" s="48">
        <v>37</v>
      </c>
      <c r="K125" s="48">
        <v>215</v>
      </c>
      <c r="L125" s="48">
        <v>112.5</v>
      </c>
      <c r="M125" s="48">
        <v>49</v>
      </c>
      <c r="N125" s="48">
        <v>401</v>
      </c>
      <c r="O125" s="48">
        <v>96</v>
      </c>
      <c r="P125" s="48">
        <v>8</v>
      </c>
      <c r="Q125" s="48">
        <v>25</v>
      </c>
      <c r="R125" s="48">
        <v>91</v>
      </c>
      <c r="S125" s="48">
        <v>38</v>
      </c>
      <c r="T125" s="48">
        <v>151</v>
      </c>
      <c r="U125" s="48">
        <v>68</v>
      </c>
      <c r="V125" s="48">
        <v>42</v>
      </c>
      <c r="W125" s="48">
        <v>452</v>
      </c>
      <c r="X125" s="48">
        <v>594.5</v>
      </c>
      <c r="Y125" s="48">
        <v>37</v>
      </c>
      <c r="Z125" s="48">
        <v>122</v>
      </c>
    </row>
    <row r="126" spans="1:53" ht="15" hidden="1" customHeight="1">
      <c r="A126" s="48" t="s">
        <v>342</v>
      </c>
      <c r="B126" s="48" t="s">
        <v>342</v>
      </c>
      <c r="C126" s="48" t="s">
        <v>343</v>
      </c>
      <c r="D126" s="48" t="s">
        <v>50</v>
      </c>
      <c r="E126" s="48" t="s">
        <v>217</v>
      </c>
      <c r="F126" s="48">
        <v>118</v>
      </c>
      <c r="G126" s="48">
        <v>5</v>
      </c>
      <c r="H126" s="48">
        <v>69</v>
      </c>
      <c r="I126" s="48">
        <v>102</v>
      </c>
      <c r="J126" s="48">
        <v>20</v>
      </c>
      <c r="K126" s="48">
        <v>386</v>
      </c>
      <c r="L126" s="48">
        <v>119</v>
      </c>
      <c r="M126" s="48">
        <v>10</v>
      </c>
      <c r="N126" s="48">
        <v>237</v>
      </c>
      <c r="O126" s="48">
        <v>85</v>
      </c>
      <c r="P126" s="48">
        <v>9</v>
      </c>
      <c r="Q126" s="48">
        <v>117</v>
      </c>
      <c r="R126" s="48">
        <v>91</v>
      </c>
      <c r="S126" s="48">
        <v>5</v>
      </c>
      <c r="T126" s="48">
        <v>151</v>
      </c>
      <c r="U126" s="48">
        <v>79</v>
      </c>
      <c r="V126" s="48">
        <v>2</v>
      </c>
      <c r="W126" s="48">
        <v>103</v>
      </c>
      <c r="X126" s="48">
        <v>594</v>
      </c>
      <c r="Y126" s="48">
        <v>6</v>
      </c>
      <c r="Z126" s="48">
        <v>123</v>
      </c>
    </row>
    <row r="127" spans="1:53" ht="15" hidden="1" customHeight="1">
      <c r="A127" s="48" t="s">
        <v>344</v>
      </c>
      <c r="B127" s="48" t="s">
        <v>344</v>
      </c>
      <c r="C127" s="48" t="s">
        <v>345</v>
      </c>
      <c r="D127" s="48" t="s">
        <v>50</v>
      </c>
      <c r="E127" s="48" t="s">
        <v>172</v>
      </c>
      <c r="F127" s="48">
        <v>115</v>
      </c>
      <c r="G127" s="48">
        <v>7</v>
      </c>
      <c r="H127" s="48">
        <v>140</v>
      </c>
      <c r="I127" s="48">
        <v>108</v>
      </c>
      <c r="J127" s="48">
        <v>13</v>
      </c>
      <c r="K127" s="48">
        <v>296</v>
      </c>
      <c r="L127" s="48">
        <v>116</v>
      </c>
      <c r="M127" s="48">
        <v>14</v>
      </c>
      <c r="N127" s="48">
        <v>309</v>
      </c>
      <c r="O127" s="48">
        <v>82</v>
      </c>
      <c r="P127" s="48">
        <v>10</v>
      </c>
      <c r="Q127" s="48">
        <v>171</v>
      </c>
      <c r="R127" s="48">
        <v>90</v>
      </c>
      <c r="S127" s="48">
        <v>7</v>
      </c>
      <c r="T127" s="48">
        <v>177</v>
      </c>
      <c r="U127" s="48">
        <v>83</v>
      </c>
      <c r="V127" s="48">
        <v>4</v>
      </c>
      <c r="W127" s="48">
        <v>30</v>
      </c>
      <c r="X127" s="48">
        <v>594</v>
      </c>
      <c r="Y127" s="48">
        <v>5</v>
      </c>
      <c r="Z127" s="48">
        <v>123</v>
      </c>
    </row>
    <row r="128" spans="1:53" ht="15" hidden="1" customHeight="1">
      <c r="A128" s="48" t="s">
        <v>346</v>
      </c>
      <c r="B128" s="48" t="s">
        <v>346</v>
      </c>
      <c r="C128" s="48" t="s">
        <v>347</v>
      </c>
      <c r="D128" s="48" t="s">
        <v>50</v>
      </c>
      <c r="E128" s="48" t="s">
        <v>150</v>
      </c>
      <c r="F128" s="48">
        <v>105</v>
      </c>
      <c r="G128" s="48">
        <v>20</v>
      </c>
      <c r="H128" s="48">
        <v>515</v>
      </c>
      <c r="I128" s="48">
        <v>140</v>
      </c>
      <c r="J128" s="48">
        <v>1</v>
      </c>
      <c r="K128" s="48">
        <v>15</v>
      </c>
      <c r="L128" s="48">
        <v>103</v>
      </c>
      <c r="M128" s="48">
        <v>38</v>
      </c>
      <c r="N128" s="48">
        <v>630</v>
      </c>
      <c r="O128" s="48">
        <v>80</v>
      </c>
      <c r="P128" s="48">
        <v>5</v>
      </c>
      <c r="Q128" s="48">
        <v>211</v>
      </c>
      <c r="R128" s="48">
        <v>87</v>
      </c>
      <c r="S128" s="48">
        <v>17</v>
      </c>
      <c r="T128" s="48">
        <v>268</v>
      </c>
      <c r="U128" s="48">
        <v>79</v>
      </c>
      <c r="V128" s="48">
        <v>10</v>
      </c>
      <c r="W128" s="48">
        <v>103</v>
      </c>
      <c r="X128" s="48">
        <v>594</v>
      </c>
      <c r="Y128" s="48">
        <v>4</v>
      </c>
      <c r="Z128" s="48">
        <v>123</v>
      </c>
    </row>
    <row r="129" spans="1:26" ht="15" hidden="1" customHeight="1">
      <c r="A129" s="48" t="s">
        <v>348</v>
      </c>
      <c r="B129" s="48" t="s">
        <v>348</v>
      </c>
      <c r="C129" s="48" t="s">
        <v>349</v>
      </c>
      <c r="D129" s="48" t="s">
        <v>50</v>
      </c>
      <c r="E129" s="48" t="s">
        <v>106</v>
      </c>
      <c r="F129" s="48">
        <v>111</v>
      </c>
      <c r="G129" s="48">
        <v>21</v>
      </c>
      <c r="H129" s="48">
        <v>271</v>
      </c>
      <c r="I129" s="48">
        <v>115</v>
      </c>
      <c r="J129" s="48">
        <v>8</v>
      </c>
      <c r="K129" s="48">
        <v>195</v>
      </c>
      <c r="L129" s="48">
        <v>118</v>
      </c>
      <c r="M129" s="48">
        <v>17</v>
      </c>
      <c r="N129" s="48">
        <v>263</v>
      </c>
      <c r="O129" s="48">
        <v>85</v>
      </c>
      <c r="P129" s="48">
        <v>7</v>
      </c>
      <c r="Q129" s="48">
        <v>117</v>
      </c>
      <c r="R129" s="48">
        <v>93</v>
      </c>
      <c r="S129" s="48">
        <v>3</v>
      </c>
      <c r="T129" s="48">
        <v>93</v>
      </c>
      <c r="U129" s="48">
        <v>71</v>
      </c>
      <c r="V129" s="48">
        <v>12</v>
      </c>
      <c r="W129" s="48">
        <v>342</v>
      </c>
      <c r="X129" s="48">
        <v>593</v>
      </c>
      <c r="Y129" s="48">
        <v>5</v>
      </c>
      <c r="Z129" s="48">
        <v>126</v>
      </c>
    </row>
    <row r="130" spans="1:26" ht="15" hidden="1" customHeight="1">
      <c r="A130" s="48" t="s">
        <v>350</v>
      </c>
      <c r="B130" s="48" t="s">
        <v>350</v>
      </c>
      <c r="C130" s="48" t="s">
        <v>351</v>
      </c>
      <c r="D130" s="48" t="s">
        <v>50</v>
      </c>
      <c r="E130" s="48" t="s">
        <v>133</v>
      </c>
      <c r="F130" s="48">
        <v>117</v>
      </c>
      <c r="G130" s="48">
        <v>5</v>
      </c>
      <c r="H130" s="48">
        <v>86</v>
      </c>
      <c r="I130" s="48">
        <v>130</v>
      </c>
      <c r="J130" s="48">
        <v>3</v>
      </c>
      <c r="K130" s="48">
        <v>54</v>
      </c>
      <c r="L130" s="48">
        <v>107.5</v>
      </c>
      <c r="M130" s="48">
        <v>31</v>
      </c>
      <c r="N130" s="48">
        <v>532</v>
      </c>
      <c r="O130" s="48">
        <v>83</v>
      </c>
      <c r="P130" s="48">
        <v>13</v>
      </c>
      <c r="Q130" s="48">
        <v>153</v>
      </c>
      <c r="R130" s="48">
        <v>75</v>
      </c>
      <c r="S130" s="48">
        <v>49</v>
      </c>
      <c r="T130" s="48">
        <v>671</v>
      </c>
      <c r="U130" s="48">
        <v>80</v>
      </c>
      <c r="V130" s="48">
        <v>10</v>
      </c>
      <c r="W130" s="48">
        <v>85</v>
      </c>
      <c r="X130" s="48">
        <v>592.5</v>
      </c>
      <c r="Y130" s="48">
        <v>9</v>
      </c>
      <c r="Z130" s="48">
        <v>127</v>
      </c>
    </row>
    <row r="131" spans="1:26" ht="15" hidden="1" customHeight="1">
      <c r="A131" s="48" t="s">
        <v>352</v>
      </c>
      <c r="B131" s="48" t="s">
        <v>352</v>
      </c>
      <c r="C131" s="48" t="s">
        <v>353</v>
      </c>
      <c r="D131" s="48" t="s">
        <v>50</v>
      </c>
      <c r="E131" s="48" t="s">
        <v>106</v>
      </c>
      <c r="F131" s="48">
        <v>119</v>
      </c>
      <c r="G131" s="48">
        <v>4</v>
      </c>
      <c r="H131" s="48">
        <v>51</v>
      </c>
      <c r="I131" s="48">
        <v>117</v>
      </c>
      <c r="J131" s="48">
        <v>7</v>
      </c>
      <c r="K131" s="48">
        <v>174</v>
      </c>
      <c r="L131" s="48">
        <v>123</v>
      </c>
      <c r="M131" s="48">
        <v>8</v>
      </c>
      <c r="N131" s="48">
        <v>132</v>
      </c>
      <c r="O131" s="48">
        <v>87</v>
      </c>
      <c r="P131" s="48">
        <v>4</v>
      </c>
      <c r="Q131" s="48">
        <v>92</v>
      </c>
      <c r="R131" s="48">
        <v>75</v>
      </c>
      <c r="S131" s="48">
        <v>34</v>
      </c>
      <c r="T131" s="48">
        <v>671</v>
      </c>
      <c r="U131" s="48">
        <v>71</v>
      </c>
      <c r="V131" s="48">
        <v>12</v>
      </c>
      <c r="W131" s="48">
        <v>342</v>
      </c>
      <c r="X131" s="48">
        <v>592</v>
      </c>
      <c r="Y131" s="48">
        <v>6</v>
      </c>
      <c r="Z131" s="48">
        <v>128</v>
      </c>
    </row>
    <row r="132" spans="1:26" ht="15" hidden="1" customHeight="1">
      <c r="A132" s="48" t="s">
        <v>354</v>
      </c>
      <c r="B132" s="48" t="s">
        <v>354</v>
      </c>
      <c r="C132" s="48" t="s">
        <v>355</v>
      </c>
      <c r="D132" s="48" t="s">
        <v>50</v>
      </c>
      <c r="E132" s="48" t="s">
        <v>217</v>
      </c>
      <c r="F132" s="48">
        <v>107</v>
      </c>
      <c r="G132" s="48">
        <v>23</v>
      </c>
      <c r="H132" s="48">
        <v>429</v>
      </c>
      <c r="I132" s="48">
        <v>122</v>
      </c>
      <c r="J132" s="48">
        <v>5</v>
      </c>
      <c r="K132" s="48">
        <v>116</v>
      </c>
      <c r="L132" s="48">
        <v>105</v>
      </c>
      <c r="M132" s="48">
        <v>28</v>
      </c>
      <c r="N132" s="48">
        <v>578</v>
      </c>
      <c r="O132" s="48">
        <v>90</v>
      </c>
      <c r="P132" s="48">
        <v>1</v>
      </c>
      <c r="Q132" s="48">
        <v>63</v>
      </c>
      <c r="R132" s="48">
        <v>93</v>
      </c>
      <c r="S132" s="48">
        <v>3</v>
      </c>
      <c r="T132" s="48">
        <v>93</v>
      </c>
      <c r="U132" s="48">
        <v>75</v>
      </c>
      <c r="V132" s="48">
        <v>9</v>
      </c>
      <c r="W132" s="48">
        <v>219</v>
      </c>
      <c r="X132" s="48">
        <v>592</v>
      </c>
      <c r="Y132" s="48">
        <v>7</v>
      </c>
      <c r="Z132" s="48">
        <v>128</v>
      </c>
    </row>
    <row r="133" spans="1:26" ht="15" hidden="1" customHeight="1">
      <c r="A133" s="48" t="s">
        <v>356</v>
      </c>
      <c r="B133" s="48" t="s">
        <v>356</v>
      </c>
      <c r="C133" s="48" t="s">
        <v>357</v>
      </c>
      <c r="D133" s="48" t="s">
        <v>50</v>
      </c>
      <c r="E133" s="48" t="s">
        <v>169</v>
      </c>
      <c r="F133" s="48">
        <v>119</v>
      </c>
      <c r="G133" s="48">
        <v>2</v>
      </c>
      <c r="H133" s="48">
        <v>51</v>
      </c>
      <c r="I133" s="48">
        <v>111</v>
      </c>
      <c r="J133" s="48">
        <v>16</v>
      </c>
      <c r="K133" s="48">
        <v>247</v>
      </c>
      <c r="L133" s="48">
        <v>120</v>
      </c>
      <c r="M133" s="48">
        <v>10</v>
      </c>
      <c r="N133" s="48">
        <v>211</v>
      </c>
      <c r="O133" s="48">
        <v>78</v>
      </c>
      <c r="P133" s="48">
        <v>15</v>
      </c>
      <c r="Q133" s="48">
        <v>256</v>
      </c>
      <c r="R133" s="48">
        <v>89</v>
      </c>
      <c r="S133" s="48">
        <v>7</v>
      </c>
      <c r="T133" s="48">
        <v>200</v>
      </c>
      <c r="U133" s="48">
        <v>75</v>
      </c>
      <c r="V133" s="48">
        <v>10</v>
      </c>
      <c r="W133" s="48">
        <v>219</v>
      </c>
      <c r="X133" s="48">
        <v>592</v>
      </c>
      <c r="Y133" s="48">
        <v>6</v>
      </c>
      <c r="Z133" s="48">
        <v>128</v>
      </c>
    </row>
    <row r="134" spans="1:26" ht="15" hidden="1" customHeight="1">
      <c r="A134" s="48" t="s">
        <v>358</v>
      </c>
      <c r="B134" s="48" t="s">
        <v>358</v>
      </c>
      <c r="C134" s="48" t="s">
        <v>359</v>
      </c>
      <c r="D134" s="48" t="s">
        <v>50</v>
      </c>
      <c r="E134" s="48" t="s">
        <v>203</v>
      </c>
      <c r="F134" s="48">
        <v>114</v>
      </c>
      <c r="G134" s="48">
        <v>13</v>
      </c>
      <c r="H134" s="48">
        <v>170</v>
      </c>
      <c r="I134" s="48">
        <v>115</v>
      </c>
      <c r="J134" s="48">
        <v>10</v>
      </c>
      <c r="K134" s="48">
        <v>195</v>
      </c>
      <c r="L134" s="48">
        <v>118</v>
      </c>
      <c r="M134" s="48">
        <v>13</v>
      </c>
      <c r="N134" s="48">
        <v>263</v>
      </c>
      <c r="O134" s="48">
        <v>71</v>
      </c>
      <c r="P134" s="48">
        <v>25</v>
      </c>
      <c r="Q134" s="48">
        <v>411</v>
      </c>
      <c r="R134" s="48">
        <v>92</v>
      </c>
      <c r="S134" s="48">
        <v>8</v>
      </c>
      <c r="T134" s="48">
        <v>116</v>
      </c>
      <c r="U134" s="48">
        <v>82</v>
      </c>
      <c r="V134" s="48">
        <v>2</v>
      </c>
      <c r="W134" s="48">
        <v>46</v>
      </c>
      <c r="X134" s="48">
        <v>592</v>
      </c>
      <c r="Y134" s="48">
        <v>7</v>
      </c>
      <c r="Z134" s="48">
        <v>128</v>
      </c>
    </row>
    <row r="135" spans="1:26" ht="15" hidden="1" customHeight="1">
      <c r="A135" s="48" t="s">
        <v>360</v>
      </c>
      <c r="B135" s="48" t="s">
        <v>360</v>
      </c>
      <c r="C135" s="48" t="s">
        <v>361</v>
      </c>
      <c r="D135" s="48" t="s">
        <v>50</v>
      </c>
      <c r="E135" s="48" t="s">
        <v>217</v>
      </c>
      <c r="F135" s="48">
        <v>115</v>
      </c>
      <c r="G135" s="48">
        <v>10</v>
      </c>
      <c r="H135" s="48">
        <v>140</v>
      </c>
      <c r="I135" s="48">
        <v>111</v>
      </c>
      <c r="J135" s="48">
        <v>11</v>
      </c>
      <c r="K135" s="48">
        <v>247</v>
      </c>
      <c r="L135" s="48">
        <v>120.5</v>
      </c>
      <c r="M135" s="48">
        <v>5</v>
      </c>
      <c r="N135" s="48">
        <v>192</v>
      </c>
      <c r="O135" s="48">
        <v>89</v>
      </c>
      <c r="P135" s="48">
        <v>4</v>
      </c>
      <c r="Q135" s="48">
        <v>79</v>
      </c>
      <c r="R135" s="48">
        <v>83</v>
      </c>
      <c r="S135" s="48">
        <v>17</v>
      </c>
      <c r="T135" s="48">
        <v>407</v>
      </c>
      <c r="U135" s="48">
        <v>73</v>
      </c>
      <c r="V135" s="48">
        <v>13</v>
      </c>
      <c r="W135" s="48">
        <v>275</v>
      </c>
      <c r="X135" s="48">
        <v>591.5</v>
      </c>
      <c r="Y135" s="48">
        <v>8</v>
      </c>
      <c r="Z135" s="48">
        <v>132</v>
      </c>
    </row>
    <row r="136" spans="1:26" ht="15" hidden="1" customHeight="1">
      <c r="A136" s="48" t="s">
        <v>362</v>
      </c>
      <c r="B136" s="48" t="s">
        <v>362</v>
      </c>
      <c r="C136" s="48" t="s">
        <v>363</v>
      </c>
      <c r="D136" s="48" t="s">
        <v>50</v>
      </c>
      <c r="E136" s="48" t="s">
        <v>249</v>
      </c>
      <c r="F136" s="48">
        <v>100</v>
      </c>
      <c r="G136" s="48">
        <v>51</v>
      </c>
      <c r="H136" s="48">
        <v>715</v>
      </c>
      <c r="I136" s="48">
        <v>132</v>
      </c>
      <c r="J136" s="48">
        <v>2</v>
      </c>
      <c r="K136" s="48">
        <v>46</v>
      </c>
      <c r="L136" s="48">
        <v>101.5</v>
      </c>
      <c r="M136" s="48">
        <v>32</v>
      </c>
      <c r="N136" s="48">
        <v>654</v>
      </c>
      <c r="O136" s="48">
        <v>93</v>
      </c>
      <c r="P136" s="48">
        <v>2</v>
      </c>
      <c r="Q136" s="48">
        <v>39</v>
      </c>
      <c r="R136" s="48">
        <v>86</v>
      </c>
      <c r="S136" s="48">
        <v>6</v>
      </c>
      <c r="T136" s="48">
        <v>304</v>
      </c>
      <c r="U136" s="48">
        <v>79</v>
      </c>
      <c r="V136" s="48">
        <v>2</v>
      </c>
      <c r="W136" s="48">
        <v>103</v>
      </c>
      <c r="X136" s="48">
        <v>591.5</v>
      </c>
      <c r="Y136" s="48">
        <v>6</v>
      </c>
      <c r="Z136" s="48">
        <v>132</v>
      </c>
    </row>
    <row r="137" spans="1:26" ht="15" hidden="1" customHeight="1">
      <c r="A137" s="48" t="s">
        <v>364</v>
      </c>
      <c r="B137" s="48" t="s">
        <v>364</v>
      </c>
      <c r="C137" s="48" t="s">
        <v>365</v>
      </c>
      <c r="D137" s="48" t="s">
        <v>50</v>
      </c>
      <c r="E137" s="48" t="s">
        <v>122</v>
      </c>
      <c r="F137" s="48">
        <v>120</v>
      </c>
      <c r="G137" s="48">
        <v>6</v>
      </c>
      <c r="H137" s="48">
        <v>43</v>
      </c>
      <c r="I137" s="48">
        <v>122</v>
      </c>
      <c r="J137" s="48">
        <v>10</v>
      </c>
      <c r="K137" s="48">
        <v>116</v>
      </c>
      <c r="L137" s="48">
        <v>105.5</v>
      </c>
      <c r="M137" s="48">
        <v>48</v>
      </c>
      <c r="N137" s="48">
        <v>568</v>
      </c>
      <c r="O137" s="48">
        <v>90</v>
      </c>
      <c r="P137" s="48">
        <v>4</v>
      </c>
      <c r="Q137" s="48">
        <v>63</v>
      </c>
      <c r="R137" s="48">
        <v>90</v>
      </c>
      <c r="S137" s="48">
        <v>26</v>
      </c>
      <c r="T137" s="48">
        <v>177</v>
      </c>
      <c r="U137" s="48">
        <v>64</v>
      </c>
      <c r="V137" s="48">
        <v>39</v>
      </c>
      <c r="W137" s="48">
        <v>593</v>
      </c>
      <c r="X137" s="48">
        <v>591.5</v>
      </c>
      <c r="Y137" s="48">
        <v>15</v>
      </c>
      <c r="Z137" s="48">
        <v>132</v>
      </c>
    </row>
    <row r="138" spans="1:26" ht="15" customHeight="1">
      <c r="A138" s="48" t="s">
        <v>366</v>
      </c>
      <c r="B138" s="48" t="s">
        <v>366</v>
      </c>
      <c r="C138" s="48" t="s">
        <v>367</v>
      </c>
      <c r="D138" s="48" t="s">
        <v>50</v>
      </c>
      <c r="E138" s="48" t="s">
        <v>87</v>
      </c>
      <c r="F138" s="48">
        <v>108</v>
      </c>
      <c r="G138" s="48">
        <v>40</v>
      </c>
      <c r="H138" s="48">
        <v>391</v>
      </c>
      <c r="I138" s="48">
        <v>116</v>
      </c>
      <c r="J138" s="48">
        <v>35</v>
      </c>
      <c r="K138" s="48">
        <v>186</v>
      </c>
      <c r="L138" s="48">
        <v>117</v>
      </c>
      <c r="M138" s="48">
        <v>44</v>
      </c>
      <c r="N138" s="48">
        <v>291</v>
      </c>
      <c r="O138" s="48">
        <v>69</v>
      </c>
      <c r="P138" s="48">
        <v>49</v>
      </c>
      <c r="Q138" s="48">
        <v>452</v>
      </c>
      <c r="R138" s="48">
        <v>99</v>
      </c>
      <c r="S138" s="48">
        <v>7</v>
      </c>
      <c r="T138" s="48">
        <v>13</v>
      </c>
      <c r="U138" s="48">
        <v>82</v>
      </c>
      <c r="V138" s="48">
        <v>11</v>
      </c>
      <c r="W138" s="48">
        <v>46</v>
      </c>
      <c r="X138" s="48">
        <v>591</v>
      </c>
      <c r="Y138" s="48">
        <v>38</v>
      </c>
      <c r="Z138" s="48">
        <v>135</v>
      </c>
    </row>
    <row r="139" spans="1:26" ht="15" hidden="1" customHeight="1">
      <c r="A139" s="48" t="s">
        <v>368</v>
      </c>
      <c r="B139" s="48" t="s">
        <v>368</v>
      </c>
      <c r="C139" s="48" t="s">
        <v>369</v>
      </c>
      <c r="D139" s="48" t="s">
        <v>50</v>
      </c>
      <c r="E139" s="48" t="s">
        <v>172</v>
      </c>
      <c r="F139" s="48">
        <v>105</v>
      </c>
      <c r="G139" s="48">
        <v>27</v>
      </c>
      <c r="H139" s="48">
        <v>515</v>
      </c>
      <c r="I139" s="48">
        <v>146</v>
      </c>
      <c r="J139" s="48">
        <v>1</v>
      </c>
      <c r="K139" s="48">
        <v>3</v>
      </c>
      <c r="L139" s="48">
        <v>100</v>
      </c>
      <c r="M139" s="48">
        <v>40</v>
      </c>
      <c r="N139" s="48">
        <v>680</v>
      </c>
      <c r="O139" s="48">
        <v>81</v>
      </c>
      <c r="P139" s="48">
        <v>12</v>
      </c>
      <c r="Q139" s="48">
        <v>195</v>
      </c>
      <c r="R139" s="48">
        <v>89</v>
      </c>
      <c r="S139" s="48">
        <v>8</v>
      </c>
      <c r="T139" s="48">
        <v>200</v>
      </c>
      <c r="U139" s="48">
        <v>70</v>
      </c>
      <c r="V139" s="48">
        <v>19</v>
      </c>
      <c r="W139" s="48">
        <v>380</v>
      </c>
      <c r="X139" s="48">
        <v>591</v>
      </c>
      <c r="Y139" s="48">
        <v>6</v>
      </c>
      <c r="Z139" s="48">
        <v>135</v>
      </c>
    </row>
    <row r="140" spans="1:26" ht="15" customHeight="1">
      <c r="A140" s="48" t="s">
        <v>370</v>
      </c>
      <c r="B140" s="48" t="s">
        <v>370</v>
      </c>
      <c r="C140" s="48" t="s">
        <v>371</v>
      </c>
      <c r="D140" s="48" t="s">
        <v>50</v>
      </c>
      <c r="E140" s="48" t="s">
        <v>87</v>
      </c>
      <c r="F140" s="48">
        <v>105</v>
      </c>
      <c r="G140" s="48">
        <v>42</v>
      </c>
      <c r="H140" s="48">
        <v>515</v>
      </c>
      <c r="I140" s="48">
        <v>96</v>
      </c>
      <c r="J140" s="48">
        <v>47</v>
      </c>
      <c r="K140" s="48">
        <v>483</v>
      </c>
      <c r="L140" s="48">
        <v>130.5</v>
      </c>
      <c r="M140" s="48">
        <v>9</v>
      </c>
      <c r="N140" s="48">
        <v>31</v>
      </c>
      <c r="O140" s="48">
        <v>76</v>
      </c>
      <c r="P140" s="48">
        <v>45</v>
      </c>
      <c r="Q140" s="48">
        <v>302</v>
      </c>
      <c r="R140" s="48">
        <v>98</v>
      </c>
      <c r="S140" s="48">
        <v>10</v>
      </c>
      <c r="T140" s="48">
        <v>20</v>
      </c>
      <c r="U140" s="48">
        <v>85</v>
      </c>
      <c r="V140" s="48">
        <v>4</v>
      </c>
      <c r="W140" s="48">
        <v>14</v>
      </c>
      <c r="X140" s="48">
        <v>590.5</v>
      </c>
      <c r="Y140" s="48">
        <v>39</v>
      </c>
      <c r="Z140" s="48">
        <v>137</v>
      </c>
    </row>
    <row r="141" spans="1:26" ht="15" customHeight="1">
      <c r="A141" s="48" t="s">
        <v>372</v>
      </c>
      <c r="B141" s="48" t="s">
        <v>372</v>
      </c>
      <c r="C141" s="48" t="s">
        <v>373</v>
      </c>
      <c r="D141" s="48" t="s">
        <v>50</v>
      </c>
      <c r="E141" s="48" t="s">
        <v>87</v>
      </c>
      <c r="F141" s="48">
        <v>116</v>
      </c>
      <c r="G141" s="48">
        <v>24</v>
      </c>
      <c r="H141" s="48">
        <v>117</v>
      </c>
      <c r="I141" s="48">
        <v>105</v>
      </c>
      <c r="J141" s="48">
        <v>42</v>
      </c>
      <c r="K141" s="48">
        <v>340</v>
      </c>
      <c r="L141" s="48">
        <v>119</v>
      </c>
      <c r="M141" s="48">
        <v>42</v>
      </c>
      <c r="N141" s="48">
        <v>237</v>
      </c>
      <c r="O141" s="48">
        <v>77</v>
      </c>
      <c r="P141" s="48">
        <v>42</v>
      </c>
      <c r="Q141" s="48">
        <v>278</v>
      </c>
      <c r="R141" s="48">
        <v>99</v>
      </c>
      <c r="S141" s="48">
        <v>7</v>
      </c>
      <c r="T141" s="48">
        <v>13</v>
      </c>
      <c r="U141" s="48">
        <v>74</v>
      </c>
      <c r="V141" s="48">
        <v>33</v>
      </c>
      <c r="W141" s="48">
        <v>247</v>
      </c>
      <c r="X141" s="48">
        <v>590</v>
      </c>
      <c r="Y141" s="48">
        <v>40</v>
      </c>
      <c r="Z141" s="48">
        <v>138</v>
      </c>
    </row>
    <row r="142" spans="1:26" ht="15" hidden="1" customHeight="1">
      <c r="A142" s="48" t="s">
        <v>374</v>
      </c>
      <c r="B142" s="48" t="s">
        <v>374</v>
      </c>
      <c r="C142" s="48" t="s">
        <v>375</v>
      </c>
      <c r="D142" s="48" t="s">
        <v>50</v>
      </c>
      <c r="E142" s="48" t="s">
        <v>133</v>
      </c>
      <c r="F142" s="48">
        <v>104</v>
      </c>
      <c r="G142" s="48">
        <v>42</v>
      </c>
      <c r="H142" s="48">
        <v>573</v>
      </c>
      <c r="I142" s="48">
        <v>115</v>
      </c>
      <c r="J142" s="48">
        <v>12</v>
      </c>
      <c r="K142" s="48">
        <v>195</v>
      </c>
      <c r="L142" s="48">
        <v>122</v>
      </c>
      <c r="M142" s="48">
        <v>11</v>
      </c>
      <c r="N142" s="48">
        <v>154</v>
      </c>
      <c r="O142" s="48">
        <v>80</v>
      </c>
      <c r="P142" s="48">
        <v>18</v>
      </c>
      <c r="Q142" s="48">
        <v>211</v>
      </c>
      <c r="R142" s="48">
        <v>87</v>
      </c>
      <c r="S142" s="48">
        <v>21</v>
      </c>
      <c r="T142" s="48">
        <v>268</v>
      </c>
      <c r="U142" s="48">
        <v>82</v>
      </c>
      <c r="V142" s="48">
        <v>6</v>
      </c>
      <c r="W142" s="48">
        <v>46</v>
      </c>
      <c r="X142" s="48">
        <v>590</v>
      </c>
      <c r="Y142" s="48">
        <v>10</v>
      </c>
      <c r="Z142" s="48">
        <v>138</v>
      </c>
    </row>
    <row r="143" spans="1:26" ht="15" hidden="1" customHeight="1">
      <c r="A143" s="48" t="s">
        <v>376</v>
      </c>
      <c r="B143" s="48" t="s">
        <v>376</v>
      </c>
      <c r="C143" s="48" t="s">
        <v>377</v>
      </c>
      <c r="D143" s="48" t="s">
        <v>50</v>
      </c>
      <c r="E143" s="48" t="s">
        <v>122</v>
      </c>
      <c r="F143" s="48">
        <v>130</v>
      </c>
      <c r="G143" s="48">
        <v>1</v>
      </c>
      <c r="H143" s="48">
        <v>1</v>
      </c>
      <c r="I143" s="48">
        <v>117</v>
      </c>
      <c r="J143" s="48">
        <v>16</v>
      </c>
      <c r="K143" s="48">
        <v>174</v>
      </c>
      <c r="L143" s="48">
        <v>123.5</v>
      </c>
      <c r="M143" s="48">
        <v>11</v>
      </c>
      <c r="N143" s="48">
        <v>124</v>
      </c>
      <c r="O143" s="48">
        <v>61</v>
      </c>
      <c r="P143" s="48">
        <v>47</v>
      </c>
      <c r="Q143" s="48">
        <v>627</v>
      </c>
      <c r="R143" s="48">
        <v>88</v>
      </c>
      <c r="S143" s="48">
        <v>33</v>
      </c>
      <c r="T143" s="48">
        <v>240</v>
      </c>
      <c r="U143" s="48">
        <v>70</v>
      </c>
      <c r="V143" s="48">
        <v>28</v>
      </c>
      <c r="W143" s="48">
        <v>380</v>
      </c>
      <c r="X143" s="48">
        <v>589.5</v>
      </c>
      <c r="Y143" s="48">
        <v>16</v>
      </c>
      <c r="Z143" s="48">
        <v>140</v>
      </c>
    </row>
    <row r="144" spans="1:26" ht="15" hidden="1" customHeight="1">
      <c r="A144" s="48" t="s">
        <v>378</v>
      </c>
      <c r="B144" s="48" t="s">
        <v>378</v>
      </c>
      <c r="C144" s="48" t="s">
        <v>379</v>
      </c>
      <c r="D144" s="48" t="s">
        <v>50</v>
      </c>
      <c r="E144" s="48" t="s">
        <v>169</v>
      </c>
      <c r="F144" s="48">
        <v>105</v>
      </c>
      <c r="G144" s="48">
        <v>32</v>
      </c>
      <c r="H144" s="48">
        <v>515</v>
      </c>
      <c r="I144" s="48">
        <v>114</v>
      </c>
      <c r="J144" s="48">
        <v>10</v>
      </c>
      <c r="K144" s="48">
        <v>215</v>
      </c>
      <c r="L144" s="48">
        <v>138.5</v>
      </c>
      <c r="M144" s="48">
        <v>1</v>
      </c>
      <c r="N144" s="48">
        <v>2</v>
      </c>
      <c r="O144" s="48">
        <v>80</v>
      </c>
      <c r="P144" s="48">
        <v>11</v>
      </c>
      <c r="Q144" s="48">
        <v>211</v>
      </c>
      <c r="R144" s="48">
        <v>71</v>
      </c>
      <c r="S144" s="48">
        <v>46</v>
      </c>
      <c r="T144" s="48">
        <v>773</v>
      </c>
      <c r="U144" s="48">
        <v>81</v>
      </c>
      <c r="V144" s="48">
        <v>3</v>
      </c>
      <c r="W144" s="48">
        <v>66</v>
      </c>
      <c r="X144" s="48">
        <v>589.5</v>
      </c>
      <c r="Y144" s="48">
        <v>7</v>
      </c>
      <c r="Z144" s="48">
        <v>140</v>
      </c>
    </row>
    <row r="145" spans="1:26" ht="15" hidden="1" customHeight="1">
      <c r="A145" s="48" t="s">
        <v>380</v>
      </c>
      <c r="B145" s="48" t="s">
        <v>380</v>
      </c>
      <c r="C145" s="48" t="s">
        <v>381</v>
      </c>
      <c r="D145" s="48" t="s">
        <v>50</v>
      </c>
      <c r="E145" s="48" t="s">
        <v>84</v>
      </c>
      <c r="F145" s="48">
        <v>115</v>
      </c>
      <c r="G145" s="48">
        <v>7</v>
      </c>
      <c r="H145" s="48">
        <v>140</v>
      </c>
      <c r="I145" s="48">
        <v>126</v>
      </c>
      <c r="J145" s="48">
        <v>5</v>
      </c>
      <c r="K145" s="48">
        <v>86</v>
      </c>
      <c r="L145" s="48">
        <v>111.5</v>
      </c>
      <c r="M145" s="48">
        <v>26</v>
      </c>
      <c r="N145" s="48">
        <v>427</v>
      </c>
      <c r="O145" s="48">
        <v>71</v>
      </c>
      <c r="P145" s="48">
        <v>24</v>
      </c>
      <c r="Q145" s="48">
        <v>411</v>
      </c>
      <c r="R145" s="48">
        <v>89</v>
      </c>
      <c r="S145" s="48">
        <v>8</v>
      </c>
      <c r="T145" s="48">
        <v>200</v>
      </c>
      <c r="U145" s="48">
        <v>77</v>
      </c>
      <c r="V145" s="48">
        <v>7</v>
      </c>
      <c r="W145" s="48">
        <v>162</v>
      </c>
      <c r="X145" s="48">
        <v>589.5</v>
      </c>
      <c r="Y145" s="48">
        <v>4</v>
      </c>
      <c r="Z145" s="48">
        <v>140</v>
      </c>
    </row>
    <row r="146" spans="1:26" ht="15" hidden="1" customHeight="1">
      <c r="A146" s="48" t="s">
        <v>382</v>
      </c>
      <c r="B146" s="48" t="s">
        <v>382</v>
      </c>
      <c r="C146" s="48" t="s">
        <v>383</v>
      </c>
      <c r="D146" s="48" t="s">
        <v>50</v>
      </c>
      <c r="E146" s="48" t="s">
        <v>122</v>
      </c>
      <c r="F146" s="48">
        <v>113</v>
      </c>
      <c r="G146" s="48">
        <v>20</v>
      </c>
      <c r="H146" s="48">
        <v>196</v>
      </c>
      <c r="I146" s="48">
        <v>121</v>
      </c>
      <c r="J146" s="48">
        <v>12</v>
      </c>
      <c r="K146" s="48">
        <v>131</v>
      </c>
      <c r="L146" s="48">
        <v>111</v>
      </c>
      <c r="M146" s="48">
        <v>36</v>
      </c>
      <c r="N146" s="48">
        <v>445</v>
      </c>
      <c r="O146" s="48">
        <v>78</v>
      </c>
      <c r="P146" s="48">
        <v>21</v>
      </c>
      <c r="Q146" s="48">
        <v>256</v>
      </c>
      <c r="R146" s="48">
        <v>93</v>
      </c>
      <c r="S146" s="48">
        <v>14</v>
      </c>
      <c r="T146" s="48">
        <v>93</v>
      </c>
      <c r="U146" s="48">
        <v>73</v>
      </c>
      <c r="V146" s="48">
        <v>17</v>
      </c>
      <c r="W146" s="48">
        <v>275</v>
      </c>
      <c r="X146" s="48">
        <v>589</v>
      </c>
      <c r="Y146" s="48">
        <v>17</v>
      </c>
      <c r="Z146" s="48">
        <v>143</v>
      </c>
    </row>
    <row r="147" spans="1:26" ht="15" hidden="1" customHeight="1">
      <c r="A147" s="48" t="s">
        <v>384</v>
      </c>
      <c r="B147" s="48" t="s">
        <v>384</v>
      </c>
      <c r="C147" s="48" t="s">
        <v>385</v>
      </c>
      <c r="D147" s="48" t="s">
        <v>50</v>
      </c>
      <c r="E147" s="48" t="s">
        <v>122</v>
      </c>
      <c r="F147" s="48">
        <v>115</v>
      </c>
      <c r="G147" s="48">
        <v>13</v>
      </c>
      <c r="H147" s="48">
        <v>140</v>
      </c>
      <c r="I147" s="48">
        <v>114</v>
      </c>
      <c r="J147" s="48">
        <v>19</v>
      </c>
      <c r="K147" s="48">
        <v>215</v>
      </c>
      <c r="L147" s="48">
        <v>124</v>
      </c>
      <c r="M147" s="48">
        <v>10</v>
      </c>
      <c r="N147" s="48">
        <v>115</v>
      </c>
      <c r="O147" s="48">
        <v>74</v>
      </c>
      <c r="P147" s="48">
        <v>24</v>
      </c>
      <c r="Q147" s="48">
        <v>345</v>
      </c>
      <c r="R147" s="48">
        <v>85</v>
      </c>
      <c r="S147" s="48">
        <v>45</v>
      </c>
      <c r="T147" s="48">
        <v>339</v>
      </c>
      <c r="U147" s="48">
        <v>77</v>
      </c>
      <c r="V147" s="48">
        <v>12</v>
      </c>
      <c r="W147" s="48">
        <v>162</v>
      </c>
      <c r="X147" s="48">
        <v>589</v>
      </c>
      <c r="Y147" s="48">
        <v>17</v>
      </c>
      <c r="Z147" s="48">
        <v>143</v>
      </c>
    </row>
    <row r="148" spans="1:26" ht="15" hidden="1" customHeight="1">
      <c r="A148" s="48" t="s">
        <v>386</v>
      </c>
      <c r="B148" s="48" t="s">
        <v>386</v>
      </c>
      <c r="C148" s="48" t="s">
        <v>387</v>
      </c>
      <c r="D148" s="48" t="s">
        <v>50</v>
      </c>
      <c r="E148" s="48" t="s">
        <v>172</v>
      </c>
      <c r="F148" s="48">
        <v>110</v>
      </c>
      <c r="G148" s="48">
        <v>14</v>
      </c>
      <c r="H148" s="48">
        <v>310</v>
      </c>
      <c r="I148" s="48">
        <v>115</v>
      </c>
      <c r="J148" s="48">
        <v>8</v>
      </c>
      <c r="K148" s="48">
        <v>195</v>
      </c>
      <c r="L148" s="48">
        <v>106</v>
      </c>
      <c r="M148" s="48">
        <v>29</v>
      </c>
      <c r="N148" s="48">
        <v>558</v>
      </c>
      <c r="O148" s="48">
        <v>86</v>
      </c>
      <c r="P148" s="48">
        <v>6</v>
      </c>
      <c r="Q148" s="48">
        <v>101</v>
      </c>
      <c r="R148" s="48">
        <v>94</v>
      </c>
      <c r="S148" s="48">
        <v>3</v>
      </c>
      <c r="T148" s="48">
        <v>78</v>
      </c>
      <c r="U148" s="48">
        <v>78</v>
      </c>
      <c r="V148" s="48">
        <v>8</v>
      </c>
      <c r="W148" s="48">
        <v>133</v>
      </c>
      <c r="X148" s="48">
        <v>589</v>
      </c>
      <c r="Y148" s="48">
        <v>7</v>
      </c>
      <c r="Z148" s="48">
        <v>143</v>
      </c>
    </row>
    <row r="149" spans="1:26" ht="15" hidden="1" customHeight="1">
      <c r="A149" s="48" t="s">
        <v>388</v>
      </c>
      <c r="B149" s="48" t="s">
        <v>388</v>
      </c>
      <c r="C149" s="48" t="s">
        <v>389</v>
      </c>
      <c r="D149" s="48" t="s">
        <v>50</v>
      </c>
      <c r="E149" s="48" t="s">
        <v>122</v>
      </c>
      <c r="F149" s="48">
        <v>112</v>
      </c>
      <c r="G149" s="48">
        <v>23</v>
      </c>
      <c r="H149" s="48">
        <v>226</v>
      </c>
      <c r="I149" s="48">
        <v>105</v>
      </c>
      <c r="J149" s="48">
        <v>29</v>
      </c>
      <c r="K149" s="48">
        <v>340</v>
      </c>
      <c r="L149" s="48">
        <v>121.5</v>
      </c>
      <c r="M149" s="48">
        <v>13</v>
      </c>
      <c r="N149" s="48">
        <v>160</v>
      </c>
      <c r="O149" s="48">
        <v>82</v>
      </c>
      <c r="P149" s="48">
        <v>14</v>
      </c>
      <c r="Q149" s="48">
        <v>171</v>
      </c>
      <c r="R149" s="48">
        <v>100</v>
      </c>
      <c r="S149" s="48">
        <v>1</v>
      </c>
      <c r="T149" s="48">
        <v>1</v>
      </c>
      <c r="U149" s="48">
        <v>68</v>
      </c>
      <c r="V149" s="48">
        <v>34</v>
      </c>
      <c r="W149" s="48">
        <v>452</v>
      </c>
      <c r="X149" s="48">
        <v>588.5</v>
      </c>
      <c r="Y149" s="48">
        <v>19</v>
      </c>
      <c r="Z149" s="48">
        <v>146</v>
      </c>
    </row>
    <row r="150" spans="1:26" ht="15" hidden="1" customHeight="1">
      <c r="A150" s="48" t="s">
        <v>390</v>
      </c>
      <c r="B150" s="48" t="s">
        <v>390</v>
      </c>
      <c r="C150" s="48" t="s">
        <v>391</v>
      </c>
      <c r="D150" s="48" t="s">
        <v>50</v>
      </c>
      <c r="E150" s="48" t="s">
        <v>97</v>
      </c>
      <c r="F150" s="48">
        <v>119</v>
      </c>
      <c r="G150" s="48">
        <v>2</v>
      </c>
      <c r="H150" s="48">
        <v>51</v>
      </c>
      <c r="I150" s="48">
        <v>106</v>
      </c>
      <c r="J150" s="48">
        <v>19</v>
      </c>
      <c r="K150" s="48">
        <v>322</v>
      </c>
      <c r="L150" s="48">
        <v>121.5</v>
      </c>
      <c r="M150" s="48">
        <v>10</v>
      </c>
      <c r="N150" s="48">
        <v>160</v>
      </c>
      <c r="O150" s="48">
        <v>74</v>
      </c>
      <c r="P150" s="48">
        <v>14</v>
      </c>
      <c r="Q150" s="48">
        <v>345</v>
      </c>
      <c r="R150" s="48">
        <v>89</v>
      </c>
      <c r="S150" s="48">
        <v>10</v>
      </c>
      <c r="T150" s="48">
        <v>200</v>
      </c>
      <c r="U150" s="48">
        <v>79</v>
      </c>
      <c r="V150" s="48">
        <v>10</v>
      </c>
      <c r="W150" s="48">
        <v>103</v>
      </c>
      <c r="X150" s="48">
        <v>588.5</v>
      </c>
      <c r="Y150" s="48">
        <v>8</v>
      </c>
      <c r="Z150" s="48">
        <v>146</v>
      </c>
    </row>
    <row r="151" spans="1:26" ht="15" hidden="1" customHeight="1">
      <c r="A151" s="48" t="s">
        <v>392</v>
      </c>
      <c r="B151" s="48" t="s">
        <v>392</v>
      </c>
      <c r="C151" s="48" t="s">
        <v>393</v>
      </c>
      <c r="D151" s="48" t="s">
        <v>50</v>
      </c>
      <c r="E151" s="48" t="s">
        <v>133</v>
      </c>
      <c r="F151" s="48">
        <v>129</v>
      </c>
      <c r="G151" s="48">
        <v>1</v>
      </c>
      <c r="H151" s="48">
        <v>2</v>
      </c>
      <c r="I151" s="48">
        <v>118</v>
      </c>
      <c r="J151" s="48">
        <v>10</v>
      </c>
      <c r="K151" s="48">
        <v>162</v>
      </c>
      <c r="L151" s="48">
        <v>106.5</v>
      </c>
      <c r="M151" s="48">
        <v>33</v>
      </c>
      <c r="N151" s="48">
        <v>554</v>
      </c>
      <c r="O151" s="48">
        <v>87</v>
      </c>
      <c r="P151" s="48">
        <v>5</v>
      </c>
      <c r="Q151" s="48">
        <v>92</v>
      </c>
      <c r="R151" s="48">
        <v>75</v>
      </c>
      <c r="S151" s="48">
        <v>49</v>
      </c>
      <c r="T151" s="48">
        <v>671</v>
      </c>
      <c r="U151" s="48">
        <v>73</v>
      </c>
      <c r="V151" s="48">
        <v>20</v>
      </c>
      <c r="W151" s="48">
        <v>275</v>
      </c>
      <c r="X151" s="48">
        <v>588.5</v>
      </c>
      <c r="Y151" s="48">
        <v>11</v>
      </c>
      <c r="Z151" s="48">
        <v>146</v>
      </c>
    </row>
    <row r="152" spans="1:26" ht="15" hidden="1" customHeight="1">
      <c r="A152" s="48" t="s">
        <v>394</v>
      </c>
      <c r="B152" s="48" t="s">
        <v>394</v>
      </c>
      <c r="C152" s="48" t="s">
        <v>395</v>
      </c>
      <c r="D152" s="48" t="s">
        <v>50</v>
      </c>
      <c r="E152" s="48" t="s">
        <v>150</v>
      </c>
      <c r="F152" s="48">
        <v>110</v>
      </c>
      <c r="G152" s="48">
        <v>11</v>
      </c>
      <c r="H152" s="48">
        <v>310</v>
      </c>
      <c r="I152" s="48">
        <v>134</v>
      </c>
      <c r="J152" s="48">
        <v>4</v>
      </c>
      <c r="K152" s="48">
        <v>35</v>
      </c>
      <c r="L152" s="48">
        <v>99.5</v>
      </c>
      <c r="M152" s="48">
        <v>41</v>
      </c>
      <c r="N152" s="48">
        <v>694</v>
      </c>
      <c r="O152" s="48">
        <v>70</v>
      </c>
      <c r="P152" s="48">
        <v>21</v>
      </c>
      <c r="Q152" s="48">
        <v>429</v>
      </c>
      <c r="R152" s="48">
        <v>96</v>
      </c>
      <c r="S152" s="48">
        <v>4</v>
      </c>
      <c r="T152" s="48">
        <v>45</v>
      </c>
      <c r="U152" s="48">
        <v>79</v>
      </c>
      <c r="V152" s="48">
        <v>10</v>
      </c>
      <c r="W152" s="48">
        <v>103</v>
      </c>
      <c r="X152" s="48">
        <v>588.5</v>
      </c>
      <c r="Y152" s="48">
        <v>5</v>
      </c>
      <c r="Z152" s="48">
        <v>146</v>
      </c>
    </row>
    <row r="153" spans="1:26" ht="15" hidden="1" customHeight="1">
      <c r="A153" s="48" t="s">
        <v>396</v>
      </c>
      <c r="B153" s="48" t="s">
        <v>396</v>
      </c>
      <c r="C153" s="48" t="s">
        <v>397</v>
      </c>
      <c r="D153" s="48" t="s">
        <v>50</v>
      </c>
      <c r="E153" s="48" t="s">
        <v>84</v>
      </c>
      <c r="F153" s="48">
        <v>104</v>
      </c>
      <c r="G153" s="48">
        <v>32</v>
      </c>
      <c r="H153" s="48">
        <v>573</v>
      </c>
      <c r="I153" s="48">
        <v>124</v>
      </c>
      <c r="J153" s="48">
        <v>6</v>
      </c>
      <c r="K153" s="48">
        <v>101</v>
      </c>
      <c r="L153" s="48">
        <v>110.5</v>
      </c>
      <c r="M153" s="48">
        <v>31</v>
      </c>
      <c r="N153" s="48">
        <v>465</v>
      </c>
      <c r="O153" s="48">
        <v>85</v>
      </c>
      <c r="P153" s="48">
        <v>8</v>
      </c>
      <c r="Q153" s="48">
        <v>117</v>
      </c>
      <c r="R153" s="48">
        <v>85</v>
      </c>
      <c r="S153" s="48">
        <v>17</v>
      </c>
      <c r="T153" s="48">
        <v>339</v>
      </c>
      <c r="U153" s="48">
        <v>80</v>
      </c>
      <c r="V153" s="48">
        <v>5</v>
      </c>
      <c r="W153" s="48">
        <v>85</v>
      </c>
      <c r="X153" s="48">
        <v>588.5</v>
      </c>
      <c r="Y153" s="48">
        <v>5</v>
      </c>
      <c r="Z153" s="48">
        <v>146</v>
      </c>
    </row>
    <row r="154" spans="1:26" ht="15" hidden="1" customHeight="1">
      <c r="A154" s="48" t="s">
        <v>398</v>
      </c>
      <c r="B154" s="48" t="s">
        <v>398</v>
      </c>
      <c r="C154" s="48" t="s">
        <v>399</v>
      </c>
      <c r="D154" s="48" t="s">
        <v>50</v>
      </c>
      <c r="E154" s="48" t="s">
        <v>296</v>
      </c>
      <c r="F154" s="48">
        <v>115</v>
      </c>
      <c r="G154" s="48">
        <v>3</v>
      </c>
      <c r="H154" s="48">
        <v>140</v>
      </c>
      <c r="I154" s="48">
        <v>101</v>
      </c>
      <c r="J154" s="48">
        <v>22</v>
      </c>
      <c r="K154" s="48">
        <v>403</v>
      </c>
      <c r="L154" s="48">
        <v>135.5</v>
      </c>
      <c r="M154" s="48">
        <v>1</v>
      </c>
      <c r="N154" s="48">
        <v>7</v>
      </c>
      <c r="O154" s="48">
        <v>77</v>
      </c>
      <c r="P154" s="48">
        <v>16</v>
      </c>
      <c r="Q154" s="48">
        <v>278</v>
      </c>
      <c r="R154" s="48">
        <v>92</v>
      </c>
      <c r="S154" s="48">
        <v>4</v>
      </c>
      <c r="T154" s="48">
        <v>116</v>
      </c>
      <c r="U154" s="48">
        <v>68</v>
      </c>
      <c r="V154" s="48">
        <v>17</v>
      </c>
      <c r="W154" s="48">
        <v>452</v>
      </c>
      <c r="X154" s="48">
        <v>588.5</v>
      </c>
      <c r="Y154" s="48">
        <v>5</v>
      </c>
      <c r="Z154" s="48">
        <v>146</v>
      </c>
    </row>
    <row r="155" spans="1:26" ht="15" hidden="1" customHeight="1">
      <c r="A155" s="48" t="s">
        <v>400</v>
      </c>
      <c r="B155" s="48" t="s">
        <v>400</v>
      </c>
      <c r="C155" s="48" t="s">
        <v>401</v>
      </c>
      <c r="D155" s="48" t="s">
        <v>50</v>
      </c>
      <c r="E155" s="48" t="s">
        <v>150</v>
      </c>
      <c r="F155" s="48">
        <v>113</v>
      </c>
      <c r="G155" s="48">
        <v>7</v>
      </c>
      <c r="H155" s="48">
        <v>196</v>
      </c>
      <c r="I155" s="48">
        <v>110</v>
      </c>
      <c r="J155" s="48">
        <v>22</v>
      </c>
      <c r="K155" s="48">
        <v>264</v>
      </c>
      <c r="L155" s="48">
        <v>124</v>
      </c>
      <c r="M155" s="48">
        <v>6</v>
      </c>
      <c r="N155" s="48">
        <v>115</v>
      </c>
      <c r="O155" s="48">
        <v>74</v>
      </c>
      <c r="P155" s="48">
        <v>16</v>
      </c>
      <c r="Q155" s="48">
        <v>345</v>
      </c>
      <c r="R155" s="48">
        <v>87</v>
      </c>
      <c r="S155" s="48">
        <v>17</v>
      </c>
      <c r="T155" s="48">
        <v>268</v>
      </c>
      <c r="U155" s="48">
        <v>80</v>
      </c>
      <c r="V155" s="48">
        <v>6</v>
      </c>
      <c r="W155" s="48">
        <v>85</v>
      </c>
      <c r="X155" s="48">
        <v>588</v>
      </c>
      <c r="Y155" s="48">
        <v>6</v>
      </c>
      <c r="Z155" s="48">
        <v>152</v>
      </c>
    </row>
    <row r="156" spans="1:26" ht="15" customHeight="1">
      <c r="A156" s="48" t="s">
        <v>402</v>
      </c>
      <c r="B156" s="48" t="s">
        <v>402</v>
      </c>
      <c r="C156" s="48" t="s">
        <v>403</v>
      </c>
      <c r="D156" s="48" t="s">
        <v>50</v>
      </c>
      <c r="E156" s="48" t="s">
        <v>87</v>
      </c>
      <c r="F156" s="48">
        <v>101</v>
      </c>
      <c r="G156" s="48">
        <v>47</v>
      </c>
      <c r="H156" s="48">
        <v>688</v>
      </c>
      <c r="I156" s="48">
        <v>104</v>
      </c>
      <c r="J156" s="48">
        <v>43</v>
      </c>
      <c r="K156" s="48">
        <v>358</v>
      </c>
      <c r="L156" s="48">
        <v>130</v>
      </c>
      <c r="M156" s="48">
        <v>10</v>
      </c>
      <c r="N156" s="48">
        <v>34</v>
      </c>
      <c r="O156" s="48">
        <v>83</v>
      </c>
      <c r="P156" s="48">
        <v>32</v>
      </c>
      <c r="Q156" s="48">
        <v>153</v>
      </c>
      <c r="R156" s="48">
        <v>94</v>
      </c>
      <c r="S156" s="48">
        <v>32</v>
      </c>
      <c r="T156" s="48">
        <v>78</v>
      </c>
      <c r="U156" s="48">
        <v>76</v>
      </c>
      <c r="V156" s="48">
        <v>28</v>
      </c>
      <c r="W156" s="48">
        <v>194</v>
      </c>
      <c r="X156" s="48">
        <v>588</v>
      </c>
      <c r="Y156" s="48">
        <v>41</v>
      </c>
      <c r="Z156" s="48">
        <v>152</v>
      </c>
    </row>
    <row r="157" spans="1:26" ht="15" hidden="1" customHeight="1">
      <c r="A157" s="48" t="s">
        <v>404</v>
      </c>
      <c r="B157" s="48" t="s">
        <v>404</v>
      </c>
      <c r="C157" s="48" t="s">
        <v>405</v>
      </c>
      <c r="D157" s="48" t="s">
        <v>50</v>
      </c>
      <c r="E157" s="48" t="s">
        <v>122</v>
      </c>
      <c r="F157" s="48">
        <v>115</v>
      </c>
      <c r="G157" s="48">
        <v>13</v>
      </c>
      <c r="H157" s="48">
        <v>140</v>
      </c>
      <c r="I157" s="48">
        <v>106</v>
      </c>
      <c r="J157" s="48">
        <v>26</v>
      </c>
      <c r="K157" s="48">
        <v>322</v>
      </c>
      <c r="L157" s="48">
        <v>125.5</v>
      </c>
      <c r="M157" s="48">
        <v>6</v>
      </c>
      <c r="N157" s="48">
        <v>87</v>
      </c>
      <c r="O157" s="48">
        <v>69</v>
      </c>
      <c r="P157" s="48">
        <v>35</v>
      </c>
      <c r="Q157" s="48">
        <v>452</v>
      </c>
      <c r="R157" s="48">
        <v>96</v>
      </c>
      <c r="S157" s="48">
        <v>6</v>
      </c>
      <c r="T157" s="48">
        <v>45</v>
      </c>
      <c r="U157" s="48">
        <v>76</v>
      </c>
      <c r="V157" s="48">
        <v>14</v>
      </c>
      <c r="W157" s="48">
        <v>194</v>
      </c>
      <c r="X157" s="48">
        <v>587.5</v>
      </c>
      <c r="Y157" s="48">
        <v>20</v>
      </c>
      <c r="Z157" s="48">
        <v>154</v>
      </c>
    </row>
    <row r="158" spans="1:26" ht="15" hidden="1" customHeight="1">
      <c r="A158" s="48" t="s">
        <v>406</v>
      </c>
      <c r="B158" s="48" t="s">
        <v>406</v>
      </c>
      <c r="C158" s="48" t="s">
        <v>407</v>
      </c>
      <c r="D158" s="48" t="s">
        <v>50</v>
      </c>
      <c r="E158" s="48" t="s">
        <v>172</v>
      </c>
      <c r="F158" s="48">
        <v>118</v>
      </c>
      <c r="G158" s="48">
        <v>3</v>
      </c>
      <c r="H158" s="48">
        <v>69</v>
      </c>
      <c r="I158" s="48">
        <v>110</v>
      </c>
      <c r="J158" s="48">
        <v>10</v>
      </c>
      <c r="K158" s="48">
        <v>264</v>
      </c>
      <c r="L158" s="48">
        <v>123.5</v>
      </c>
      <c r="M158" s="48">
        <v>3</v>
      </c>
      <c r="N158" s="48">
        <v>124</v>
      </c>
      <c r="O158" s="48">
        <v>82</v>
      </c>
      <c r="P158" s="48">
        <v>10</v>
      </c>
      <c r="Q158" s="48">
        <v>171</v>
      </c>
      <c r="R158" s="48">
        <v>83</v>
      </c>
      <c r="S158" s="48">
        <v>18</v>
      </c>
      <c r="T158" s="48">
        <v>407</v>
      </c>
      <c r="U158" s="48">
        <v>71</v>
      </c>
      <c r="V158" s="48">
        <v>17</v>
      </c>
      <c r="W158" s="48">
        <v>342</v>
      </c>
      <c r="X158" s="48">
        <v>587.5</v>
      </c>
      <c r="Y158" s="48">
        <v>8</v>
      </c>
      <c r="Z158" s="48">
        <v>154</v>
      </c>
    </row>
    <row r="159" spans="1:26" ht="15" customHeight="1">
      <c r="A159" s="48" t="s">
        <v>408</v>
      </c>
      <c r="B159" s="48" t="s">
        <v>408</v>
      </c>
      <c r="C159" s="48" t="s">
        <v>409</v>
      </c>
      <c r="D159" s="48" t="s">
        <v>50</v>
      </c>
      <c r="E159" s="48" t="s">
        <v>87</v>
      </c>
      <c r="F159" s="48">
        <v>116</v>
      </c>
      <c r="G159" s="48">
        <v>24</v>
      </c>
      <c r="H159" s="48">
        <v>117</v>
      </c>
      <c r="I159" s="48">
        <v>100</v>
      </c>
      <c r="J159" s="48">
        <v>44</v>
      </c>
      <c r="K159" s="48">
        <v>421</v>
      </c>
      <c r="L159" s="48">
        <v>121</v>
      </c>
      <c r="M159" s="48">
        <v>36</v>
      </c>
      <c r="N159" s="48">
        <v>173</v>
      </c>
      <c r="O159" s="48">
        <v>80</v>
      </c>
      <c r="P159" s="48">
        <v>40</v>
      </c>
      <c r="Q159" s="48">
        <v>211</v>
      </c>
      <c r="R159" s="48">
        <v>98</v>
      </c>
      <c r="S159" s="48">
        <v>10</v>
      </c>
      <c r="T159" s="48">
        <v>20</v>
      </c>
      <c r="U159" s="48">
        <v>72</v>
      </c>
      <c r="V159" s="48">
        <v>37</v>
      </c>
      <c r="W159" s="48">
        <v>312</v>
      </c>
      <c r="X159" s="48">
        <v>587</v>
      </c>
      <c r="Y159" s="48">
        <v>42</v>
      </c>
      <c r="Z159" s="48">
        <v>156</v>
      </c>
    </row>
    <row r="160" spans="1:26" ht="15" hidden="1" customHeight="1">
      <c r="A160" s="48" t="s">
        <v>410</v>
      </c>
      <c r="B160" s="48" t="s">
        <v>410</v>
      </c>
      <c r="C160" s="48" t="s">
        <v>411</v>
      </c>
      <c r="D160" s="48" t="s">
        <v>50</v>
      </c>
      <c r="E160" s="48" t="s">
        <v>84</v>
      </c>
      <c r="F160" s="48">
        <v>112</v>
      </c>
      <c r="G160" s="48">
        <v>11</v>
      </c>
      <c r="H160" s="48">
        <v>226</v>
      </c>
      <c r="I160" s="48">
        <v>122</v>
      </c>
      <c r="J160" s="48">
        <v>8</v>
      </c>
      <c r="K160" s="48">
        <v>116</v>
      </c>
      <c r="L160" s="48">
        <v>106</v>
      </c>
      <c r="M160" s="48">
        <v>38</v>
      </c>
      <c r="N160" s="48">
        <v>558</v>
      </c>
      <c r="O160" s="48">
        <v>84</v>
      </c>
      <c r="P160" s="48">
        <v>9</v>
      </c>
      <c r="Q160" s="48">
        <v>131</v>
      </c>
      <c r="R160" s="48">
        <v>87</v>
      </c>
      <c r="S160" s="48">
        <v>14</v>
      </c>
      <c r="T160" s="48">
        <v>268</v>
      </c>
      <c r="U160" s="48">
        <v>76</v>
      </c>
      <c r="V160" s="48">
        <v>10</v>
      </c>
      <c r="W160" s="48">
        <v>194</v>
      </c>
      <c r="X160" s="48">
        <v>587</v>
      </c>
      <c r="Y160" s="48">
        <v>6</v>
      </c>
      <c r="Z160" s="48">
        <v>156</v>
      </c>
    </row>
    <row r="161" spans="1:26" ht="15" hidden="1" customHeight="1">
      <c r="A161" s="48" t="s">
        <v>412</v>
      </c>
      <c r="B161" s="48" t="s">
        <v>412</v>
      </c>
      <c r="C161" s="48" t="s">
        <v>413</v>
      </c>
      <c r="D161" s="48" t="s">
        <v>50</v>
      </c>
      <c r="E161" s="48" t="s">
        <v>203</v>
      </c>
      <c r="F161" s="48">
        <v>105</v>
      </c>
      <c r="G161" s="48">
        <v>35</v>
      </c>
      <c r="H161" s="48">
        <v>515</v>
      </c>
      <c r="I161" s="48">
        <v>111</v>
      </c>
      <c r="J161" s="48">
        <v>14</v>
      </c>
      <c r="K161" s="48">
        <v>247</v>
      </c>
      <c r="L161" s="48">
        <v>111</v>
      </c>
      <c r="M161" s="48">
        <v>25</v>
      </c>
      <c r="N161" s="48">
        <v>445</v>
      </c>
      <c r="O161" s="48">
        <v>96</v>
      </c>
      <c r="P161" s="48">
        <v>1</v>
      </c>
      <c r="Q161" s="48">
        <v>25</v>
      </c>
      <c r="R161" s="48">
        <v>94</v>
      </c>
      <c r="S161" s="48">
        <v>6</v>
      </c>
      <c r="T161" s="48">
        <v>78</v>
      </c>
      <c r="U161" s="48">
        <v>69</v>
      </c>
      <c r="V161" s="48">
        <v>20</v>
      </c>
      <c r="W161" s="48">
        <v>420</v>
      </c>
      <c r="X161" s="48">
        <v>586</v>
      </c>
      <c r="Y161" s="48">
        <v>8</v>
      </c>
      <c r="Z161" s="48">
        <v>158</v>
      </c>
    </row>
    <row r="162" spans="1:26" ht="15" hidden="1" customHeight="1">
      <c r="A162" s="48" t="s">
        <v>414</v>
      </c>
      <c r="B162" s="48" t="s">
        <v>414</v>
      </c>
      <c r="C162" s="48" t="s">
        <v>415</v>
      </c>
      <c r="D162" s="48" t="s">
        <v>50</v>
      </c>
      <c r="E162" s="48" t="s">
        <v>97</v>
      </c>
      <c r="F162" s="48">
        <v>105</v>
      </c>
      <c r="G162" s="48">
        <v>30</v>
      </c>
      <c r="H162" s="48">
        <v>515</v>
      </c>
      <c r="I162" s="48">
        <v>116</v>
      </c>
      <c r="J162" s="48">
        <v>10</v>
      </c>
      <c r="K162" s="48">
        <v>186</v>
      </c>
      <c r="L162" s="48">
        <v>126</v>
      </c>
      <c r="M162" s="48">
        <v>6</v>
      </c>
      <c r="N162" s="48">
        <v>82</v>
      </c>
      <c r="O162" s="48">
        <v>67</v>
      </c>
      <c r="P162" s="48">
        <v>27</v>
      </c>
      <c r="Q162" s="48">
        <v>497</v>
      </c>
      <c r="R162" s="48">
        <v>87</v>
      </c>
      <c r="S162" s="48">
        <v>14</v>
      </c>
      <c r="T162" s="48">
        <v>268</v>
      </c>
      <c r="U162" s="48">
        <v>85</v>
      </c>
      <c r="V162" s="48">
        <v>3</v>
      </c>
      <c r="W162" s="48">
        <v>14</v>
      </c>
      <c r="X162" s="48">
        <v>586</v>
      </c>
      <c r="Y162" s="48">
        <v>9</v>
      </c>
      <c r="Z162" s="48">
        <v>158</v>
      </c>
    </row>
    <row r="163" spans="1:26" ht="15" hidden="1" customHeight="1">
      <c r="A163" s="48" t="s">
        <v>416</v>
      </c>
      <c r="B163" s="48" t="s">
        <v>416</v>
      </c>
      <c r="C163" s="48" t="s">
        <v>417</v>
      </c>
      <c r="D163" s="48" t="s">
        <v>50</v>
      </c>
      <c r="E163" s="48" t="s">
        <v>249</v>
      </c>
      <c r="F163" s="48">
        <v>111</v>
      </c>
      <c r="G163" s="48">
        <v>24</v>
      </c>
      <c r="H163" s="48">
        <v>271</v>
      </c>
      <c r="I163" s="48">
        <v>112</v>
      </c>
      <c r="J163" s="48">
        <v>11</v>
      </c>
      <c r="K163" s="48">
        <v>235</v>
      </c>
      <c r="L163" s="48">
        <v>137.5</v>
      </c>
      <c r="M163" s="48">
        <v>1</v>
      </c>
      <c r="N163" s="48">
        <v>3</v>
      </c>
      <c r="O163" s="48">
        <v>74</v>
      </c>
      <c r="P163" s="48">
        <v>18</v>
      </c>
      <c r="Q163" s="48">
        <v>345</v>
      </c>
      <c r="R163" s="48">
        <v>75</v>
      </c>
      <c r="S163" s="48">
        <v>27</v>
      </c>
      <c r="T163" s="48">
        <v>671</v>
      </c>
      <c r="U163" s="48">
        <v>76</v>
      </c>
      <c r="V163" s="48">
        <v>7</v>
      </c>
      <c r="W163" s="48">
        <v>194</v>
      </c>
      <c r="X163" s="48">
        <v>585.5</v>
      </c>
      <c r="Y163" s="48">
        <v>7</v>
      </c>
      <c r="Z163" s="48">
        <v>160</v>
      </c>
    </row>
    <row r="164" spans="1:26" ht="15" hidden="1" customHeight="1">
      <c r="A164" s="48" t="s">
        <v>418</v>
      </c>
      <c r="B164" s="48" t="s">
        <v>418</v>
      </c>
      <c r="C164" s="48" t="s">
        <v>419</v>
      </c>
      <c r="D164" s="48" t="s">
        <v>50</v>
      </c>
      <c r="E164" s="48" t="s">
        <v>97</v>
      </c>
      <c r="F164" s="48">
        <v>110</v>
      </c>
      <c r="G164" s="48">
        <v>19</v>
      </c>
      <c r="H164" s="48">
        <v>310</v>
      </c>
      <c r="I164" s="48">
        <v>119</v>
      </c>
      <c r="J164" s="48">
        <v>9</v>
      </c>
      <c r="K164" s="48">
        <v>154</v>
      </c>
      <c r="L164" s="48">
        <v>108</v>
      </c>
      <c r="M164" s="48">
        <v>29</v>
      </c>
      <c r="N164" s="48">
        <v>519</v>
      </c>
      <c r="O164" s="48">
        <v>92</v>
      </c>
      <c r="P164" s="48">
        <v>3</v>
      </c>
      <c r="Q164" s="48">
        <v>48</v>
      </c>
      <c r="R164" s="48">
        <v>85</v>
      </c>
      <c r="S164" s="48">
        <v>21</v>
      </c>
      <c r="T164" s="48">
        <v>339</v>
      </c>
      <c r="U164" s="48">
        <v>71</v>
      </c>
      <c r="V164" s="48">
        <v>25</v>
      </c>
      <c r="W164" s="48">
        <v>342</v>
      </c>
      <c r="X164" s="48">
        <v>585</v>
      </c>
      <c r="Y164" s="48">
        <v>10</v>
      </c>
      <c r="Z164" s="48">
        <v>161</v>
      </c>
    </row>
    <row r="165" spans="1:26" ht="15" hidden="1" customHeight="1">
      <c r="A165" s="48" t="s">
        <v>420</v>
      </c>
      <c r="B165" s="48" t="s">
        <v>420</v>
      </c>
      <c r="C165" s="48" t="s">
        <v>421</v>
      </c>
      <c r="D165" s="48" t="s">
        <v>50</v>
      </c>
      <c r="E165" s="48" t="s">
        <v>296</v>
      </c>
      <c r="F165" s="48">
        <v>104</v>
      </c>
      <c r="G165" s="48">
        <v>24</v>
      </c>
      <c r="H165" s="48">
        <v>573</v>
      </c>
      <c r="I165" s="48">
        <v>124</v>
      </c>
      <c r="J165" s="48">
        <v>7</v>
      </c>
      <c r="K165" s="48">
        <v>101</v>
      </c>
      <c r="L165" s="48">
        <v>124.5</v>
      </c>
      <c r="M165" s="48">
        <v>8</v>
      </c>
      <c r="N165" s="48">
        <v>103</v>
      </c>
      <c r="O165" s="48">
        <v>76</v>
      </c>
      <c r="P165" s="48">
        <v>17</v>
      </c>
      <c r="Q165" s="48">
        <v>302</v>
      </c>
      <c r="R165" s="48">
        <v>96</v>
      </c>
      <c r="S165" s="48">
        <v>3</v>
      </c>
      <c r="T165" s="48">
        <v>45</v>
      </c>
      <c r="U165" s="48">
        <v>60</v>
      </c>
      <c r="V165" s="48">
        <v>31</v>
      </c>
      <c r="W165" s="48">
        <v>706</v>
      </c>
      <c r="X165" s="48">
        <v>584.5</v>
      </c>
      <c r="Y165" s="48">
        <v>6</v>
      </c>
      <c r="Z165" s="48">
        <v>162</v>
      </c>
    </row>
    <row r="166" spans="1:26" ht="15" hidden="1" customHeight="1">
      <c r="A166" s="48" t="s">
        <v>422</v>
      </c>
      <c r="B166" s="48" t="s">
        <v>422</v>
      </c>
      <c r="C166" s="48" t="s">
        <v>423</v>
      </c>
      <c r="D166" s="48" t="s">
        <v>50</v>
      </c>
      <c r="E166" s="48" t="s">
        <v>210</v>
      </c>
      <c r="F166" s="48">
        <v>121</v>
      </c>
      <c r="G166" s="48">
        <v>2</v>
      </c>
      <c r="H166" s="48">
        <v>30</v>
      </c>
      <c r="I166" s="48">
        <v>128</v>
      </c>
      <c r="J166" s="48">
        <v>3</v>
      </c>
      <c r="K166" s="48">
        <v>70</v>
      </c>
      <c r="L166" s="48">
        <v>110.5</v>
      </c>
      <c r="M166" s="48">
        <v>29</v>
      </c>
      <c r="N166" s="48">
        <v>465</v>
      </c>
      <c r="O166" s="48">
        <v>72</v>
      </c>
      <c r="P166" s="48">
        <v>18</v>
      </c>
      <c r="Q166" s="48">
        <v>392</v>
      </c>
      <c r="R166" s="48">
        <v>86</v>
      </c>
      <c r="S166" s="48">
        <v>20</v>
      </c>
      <c r="T166" s="48">
        <v>304</v>
      </c>
      <c r="U166" s="48">
        <v>67</v>
      </c>
      <c r="V166" s="48">
        <v>26</v>
      </c>
      <c r="W166" s="48">
        <v>489</v>
      </c>
      <c r="X166" s="48">
        <v>584.5</v>
      </c>
      <c r="Y166" s="48">
        <v>3</v>
      </c>
      <c r="Z166" s="48">
        <v>162</v>
      </c>
    </row>
    <row r="167" spans="1:26" ht="15" hidden="1" customHeight="1">
      <c r="A167" s="48" t="s">
        <v>424</v>
      </c>
      <c r="B167" s="48" t="s">
        <v>424</v>
      </c>
      <c r="C167" s="48" t="s">
        <v>425</v>
      </c>
      <c r="D167" s="48" t="s">
        <v>50</v>
      </c>
      <c r="E167" s="48" t="s">
        <v>240</v>
      </c>
      <c r="F167" s="48">
        <v>93</v>
      </c>
      <c r="G167" s="48">
        <v>52</v>
      </c>
      <c r="H167" s="48">
        <v>868</v>
      </c>
      <c r="I167" s="48">
        <v>140</v>
      </c>
      <c r="J167" s="48">
        <v>2</v>
      </c>
      <c r="K167" s="48">
        <v>15</v>
      </c>
      <c r="L167" s="48">
        <v>94</v>
      </c>
      <c r="M167" s="48">
        <v>50</v>
      </c>
      <c r="N167" s="48">
        <v>783</v>
      </c>
      <c r="O167" s="48">
        <v>78</v>
      </c>
      <c r="P167" s="48">
        <v>14</v>
      </c>
      <c r="Q167" s="48">
        <v>256</v>
      </c>
      <c r="R167" s="48">
        <v>96</v>
      </c>
      <c r="S167" s="48">
        <v>1</v>
      </c>
      <c r="T167" s="48">
        <v>45</v>
      </c>
      <c r="U167" s="48">
        <v>83</v>
      </c>
      <c r="V167" s="48">
        <v>1</v>
      </c>
      <c r="W167" s="48">
        <v>30</v>
      </c>
      <c r="X167" s="48">
        <v>584</v>
      </c>
      <c r="Y167" s="48">
        <v>7</v>
      </c>
      <c r="Z167" s="48">
        <v>164</v>
      </c>
    </row>
    <row r="168" spans="1:26" ht="15" hidden="1" customHeight="1">
      <c r="A168" s="48" t="s">
        <v>426</v>
      </c>
      <c r="B168" s="48" t="s">
        <v>426</v>
      </c>
      <c r="C168" s="48" t="s">
        <v>427</v>
      </c>
      <c r="D168" s="48" t="s">
        <v>50</v>
      </c>
      <c r="E168" s="48" t="s">
        <v>203</v>
      </c>
      <c r="F168" s="48">
        <v>108</v>
      </c>
      <c r="G168" s="48">
        <v>21</v>
      </c>
      <c r="H168" s="48">
        <v>391</v>
      </c>
      <c r="I168" s="48">
        <v>129</v>
      </c>
      <c r="J168" s="48">
        <v>2</v>
      </c>
      <c r="K168" s="48">
        <v>63</v>
      </c>
      <c r="L168" s="48">
        <v>120</v>
      </c>
      <c r="M168" s="48">
        <v>8</v>
      </c>
      <c r="N168" s="48">
        <v>211</v>
      </c>
      <c r="O168" s="48">
        <v>85</v>
      </c>
      <c r="P168" s="48">
        <v>5</v>
      </c>
      <c r="Q168" s="48">
        <v>117</v>
      </c>
      <c r="R168" s="48">
        <v>75</v>
      </c>
      <c r="S168" s="48">
        <v>36</v>
      </c>
      <c r="T168" s="48">
        <v>671</v>
      </c>
      <c r="U168" s="48">
        <v>67</v>
      </c>
      <c r="V168" s="48">
        <v>25</v>
      </c>
      <c r="W168" s="48">
        <v>489</v>
      </c>
      <c r="X168" s="48">
        <v>584</v>
      </c>
      <c r="Y168" s="48">
        <v>9</v>
      </c>
      <c r="Z168" s="48">
        <v>164</v>
      </c>
    </row>
    <row r="169" spans="1:26" ht="15" hidden="1" customHeight="1">
      <c r="A169" s="48" t="s">
        <v>428</v>
      </c>
      <c r="B169" s="48" t="s">
        <v>428</v>
      </c>
      <c r="C169" s="48" t="s">
        <v>429</v>
      </c>
      <c r="D169" s="48" t="s">
        <v>50</v>
      </c>
      <c r="E169" s="48" t="s">
        <v>97</v>
      </c>
      <c r="F169" s="48">
        <v>121</v>
      </c>
      <c r="G169" s="48">
        <v>1</v>
      </c>
      <c r="H169" s="48">
        <v>30</v>
      </c>
      <c r="I169" s="48">
        <v>105</v>
      </c>
      <c r="J169" s="48">
        <v>20</v>
      </c>
      <c r="K169" s="48">
        <v>340</v>
      </c>
      <c r="L169" s="48">
        <v>130</v>
      </c>
      <c r="M169" s="48">
        <v>3</v>
      </c>
      <c r="N169" s="48">
        <v>34</v>
      </c>
      <c r="O169" s="48">
        <v>69</v>
      </c>
      <c r="P169" s="48">
        <v>23</v>
      </c>
      <c r="Q169" s="48">
        <v>452</v>
      </c>
      <c r="R169" s="48">
        <v>84</v>
      </c>
      <c r="S169" s="48">
        <v>25</v>
      </c>
      <c r="T169" s="48">
        <v>379</v>
      </c>
      <c r="U169" s="48">
        <v>75</v>
      </c>
      <c r="V169" s="48">
        <v>18</v>
      </c>
      <c r="W169" s="48">
        <v>219</v>
      </c>
      <c r="X169" s="48">
        <v>584</v>
      </c>
      <c r="Y169" s="48">
        <v>11</v>
      </c>
      <c r="Z169" s="48">
        <v>164</v>
      </c>
    </row>
    <row r="170" spans="1:26" ht="15" hidden="1" customHeight="1">
      <c r="A170" s="48" t="s">
        <v>430</v>
      </c>
      <c r="B170" s="48" t="s">
        <v>430</v>
      </c>
      <c r="C170" s="48" t="s">
        <v>431</v>
      </c>
      <c r="D170" s="48" t="s">
        <v>50</v>
      </c>
      <c r="E170" s="48" t="s">
        <v>249</v>
      </c>
      <c r="F170" s="48">
        <v>108</v>
      </c>
      <c r="G170" s="48">
        <v>32</v>
      </c>
      <c r="H170" s="48">
        <v>391</v>
      </c>
      <c r="I170" s="48">
        <v>120</v>
      </c>
      <c r="J170" s="48">
        <v>5</v>
      </c>
      <c r="K170" s="48">
        <v>146</v>
      </c>
      <c r="L170" s="48">
        <v>121.5</v>
      </c>
      <c r="M170" s="48">
        <v>8</v>
      </c>
      <c r="N170" s="48">
        <v>160</v>
      </c>
      <c r="O170" s="48">
        <v>73</v>
      </c>
      <c r="P170" s="48">
        <v>21</v>
      </c>
      <c r="Q170" s="48">
        <v>370</v>
      </c>
      <c r="R170" s="48">
        <v>88</v>
      </c>
      <c r="S170" s="48">
        <v>4</v>
      </c>
      <c r="T170" s="48">
        <v>240</v>
      </c>
      <c r="U170" s="48">
        <v>73</v>
      </c>
      <c r="V170" s="48">
        <v>12</v>
      </c>
      <c r="W170" s="48">
        <v>275</v>
      </c>
      <c r="X170" s="48">
        <v>583.5</v>
      </c>
      <c r="Y170" s="48">
        <v>8</v>
      </c>
      <c r="Z170" s="48">
        <v>167</v>
      </c>
    </row>
    <row r="171" spans="1:26" ht="15" hidden="1" customHeight="1">
      <c r="A171" s="48" t="s">
        <v>432</v>
      </c>
      <c r="B171" s="48" t="s">
        <v>432</v>
      </c>
      <c r="C171" s="48" t="s">
        <v>433</v>
      </c>
      <c r="D171" s="48" t="s">
        <v>50</v>
      </c>
      <c r="E171" s="48" t="s">
        <v>84</v>
      </c>
      <c r="F171" s="48">
        <v>111</v>
      </c>
      <c r="G171" s="48">
        <v>15</v>
      </c>
      <c r="H171" s="48">
        <v>271</v>
      </c>
      <c r="I171" s="48">
        <v>111</v>
      </c>
      <c r="J171" s="48">
        <v>14</v>
      </c>
      <c r="K171" s="48">
        <v>247</v>
      </c>
      <c r="L171" s="48">
        <v>121.5</v>
      </c>
      <c r="M171" s="48">
        <v>10</v>
      </c>
      <c r="N171" s="48">
        <v>160</v>
      </c>
      <c r="O171" s="48">
        <v>89</v>
      </c>
      <c r="P171" s="48">
        <v>3</v>
      </c>
      <c r="Q171" s="48">
        <v>79</v>
      </c>
      <c r="R171" s="48">
        <v>86</v>
      </c>
      <c r="S171" s="48">
        <v>16</v>
      </c>
      <c r="T171" s="48">
        <v>304</v>
      </c>
      <c r="U171" s="48">
        <v>65</v>
      </c>
      <c r="V171" s="48">
        <v>35</v>
      </c>
      <c r="W171" s="48">
        <v>554</v>
      </c>
      <c r="X171" s="48">
        <v>583.5</v>
      </c>
      <c r="Y171" s="48">
        <v>7</v>
      </c>
      <c r="Z171" s="48">
        <v>167</v>
      </c>
    </row>
    <row r="172" spans="1:26" ht="15" hidden="1" customHeight="1">
      <c r="A172" s="48" t="s">
        <v>434</v>
      </c>
      <c r="B172" s="48" t="s">
        <v>434</v>
      </c>
      <c r="C172" s="48" t="s">
        <v>435</v>
      </c>
      <c r="D172" s="48" t="s">
        <v>50</v>
      </c>
      <c r="E172" s="48" t="s">
        <v>210</v>
      </c>
      <c r="F172" s="48">
        <v>119</v>
      </c>
      <c r="G172" s="48">
        <v>4</v>
      </c>
      <c r="H172" s="48">
        <v>51</v>
      </c>
      <c r="I172" s="48">
        <v>109</v>
      </c>
      <c r="J172" s="48">
        <v>17</v>
      </c>
      <c r="K172" s="48">
        <v>278</v>
      </c>
      <c r="L172" s="48">
        <v>112</v>
      </c>
      <c r="M172" s="48">
        <v>27</v>
      </c>
      <c r="N172" s="48">
        <v>413</v>
      </c>
      <c r="O172" s="48">
        <v>68</v>
      </c>
      <c r="P172" s="48">
        <v>27</v>
      </c>
      <c r="Q172" s="48">
        <v>474</v>
      </c>
      <c r="R172" s="48">
        <v>95</v>
      </c>
      <c r="S172" s="48">
        <v>1</v>
      </c>
      <c r="T172" s="48">
        <v>60</v>
      </c>
      <c r="U172" s="48">
        <v>80</v>
      </c>
      <c r="V172" s="48">
        <v>4</v>
      </c>
      <c r="W172" s="48">
        <v>85</v>
      </c>
      <c r="X172" s="48">
        <v>583</v>
      </c>
      <c r="Y172" s="48">
        <v>4</v>
      </c>
      <c r="Z172" s="48">
        <v>169</v>
      </c>
    </row>
    <row r="173" spans="1:26" ht="15" hidden="1" customHeight="1">
      <c r="A173" s="48" t="s">
        <v>436</v>
      </c>
      <c r="B173" s="48" t="s">
        <v>436</v>
      </c>
      <c r="C173" s="48" t="s">
        <v>437</v>
      </c>
      <c r="D173" s="48" t="s">
        <v>50</v>
      </c>
      <c r="E173" s="48" t="s">
        <v>169</v>
      </c>
      <c r="F173" s="48">
        <v>96</v>
      </c>
      <c r="G173" s="48">
        <v>53</v>
      </c>
      <c r="H173" s="48">
        <v>814</v>
      </c>
      <c r="I173" s="48">
        <v>126</v>
      </c>
      <c r="J173" s="48">
        <v>4</v>
      </c>
      <c r="K173" s="48">
        <v>86</v>
      </c>
      <c r="L173" s="48">
        <v>98</v>
      </c>
      <c r="M173" s="48">
        <v>46</v>
      </c>
      <c r="N173" s="48">
        <v>728</v>
      </c>
      <c r="O173" s="48">
        <v>87</v>
      </c>
      <c r="P173" s="48">
        <v>6</v>
      </c>
      <c r="Q173" s="48">
        <v>92</v>
      </c>
      <c r="R173" s="48">
        <v>97</v>
      </c>
      <c r="S173" s="48">
        <v>1</v>
      </c>
      <c r="T173" s="48">
        <v>30</v>
      </c>
      <c r="U173" s="48">
        <v>79</v>
      </c>
      <c r="V173" s="48">
        <v>6</v>
      </c>
      <c r="W173" s="48">
        <v>103</v>
      </c>
      <c r="X173" s="48">
        <v>583</v>
      </c>
      <c r="Y173" s="48">
        <v>8</v>
      </c>
      <c r="Z173" s="48">
        <v>169</v>
      </c>
    </row>
    <row r="174" spans="1:26" ht="15" hidden="1" customHeight="1">
      <c r="A174" s="48" t="s">
        <v>438</v>
      </c>
      <c r="B174" s="48" t="s">
        <v>438</v>
      </c>
      <c r="C174" s="48" t="s">
        <v>439</v>
      </c>
      <c r="D174" s="48" t="s">
        <v>50</v>
      </c>
      <c r="E174" s="48" t="s">
        <v>217</v>
      </c>
      <c r="F174" s="48">
        <v>103</v>
      </c>
      <c r="G174" s="48">
        <v>32</v>
      </c>
      <c r="H174" s="48">
        <v>606</v>
      </c>
      <c r="I174" s="48">
        <v>109</v>
      </c>
      <c r="J174" s="48">
        <v>14</v>
      </c>
      <c r="K174" s="48">
        <v>278</v>
      </c>
      <c r="L174" s="48">
        <v>120</v>
      </c>
      <c r="M174" s="48">
        <v>7</v>
      </c>
      <c r="N174" s="48">
        <v>211</v>
      </c>
      <c r="O174" s="48">
        <v>86</v>
      </c>
      <c r="P174" s="48">
        <v>8</v>
      </c>
      <c r="Q174" s="48">
        <v>101</v>
      </c>
      <c r="R174" s="48">
        <v>89</v>
      </c>
      <c r="S174" s="48">
        <v>7</v>
      </c>
      <c r="T174" s="48">
        <v>200</v>
      </c>
      <c r="U174" s="48">
        <v>76</v>
      </c>
      <c r="V174" s="48">
        <v>7</v>
      </c>
      <c r="W174" s="48">
        <v>194</v>
      </c>
      <c r="X174" s="48">
        <v>583</v>
      </c>
      <c r="Y174" s="48">
        <v>9</v>
      </c>
      <c r="Z174" s="48">
        <v>169</v>
      </c>
    </row>
    <row r="175" spans="1:26" ht="15" hidden="1" customHeight="1">
      <c r="A175" s="48" t="s">
        <v>440</v>
      </c>
      <c r="B175" s="48" t="s">
        <v>440</v>
      </c>
      <c r="C175" s="48" t="s">
        <v>441</v>
      </c>
      <c r="D175" s="48" t="s">
        <v>50</v>
      </c>
      <c r="E175" s="48" t="s">
        <v>122</v>
      </c>
      <c r="F175" s="48">
        <v>125</v>
      </c>
      <c r="G175" s="48">
        <v>3</v>
      </c>
      <c r="H175" s="48">
        <v>12</v>
      </c>
      <c r="I175" s="48">
        <v>100</v>
      </c>
      <c r="J175" s="48">
        <v>36</v>
      </c>
      <c r="K175" s="48">
        <v>421</v>
      </c>
      <c r="L175" s="48">
        <v>125</v>
      </c>
      <c r="M175" s="48">
        <v>9</v>
      </c>
      <c r="N175" s="48">
        <v>96</v>
      </c>
      <c r="O175" s="48">
        <v>68</v>
      </c>
      <c r="P175" s="48">
        <v>36</v>
      </c>
      <c r="Q175" s="48">
        <v>474</v>
      </c>
      <c r="R175" s="48">
        <v>90</v>
      </c>
      <c r="S175" s="48">
        <v>26</v>
      </c>
      <c r="T175" s="48">
        <v>177</v>
      </c>
      <c r="U175" s="48">
        <v>75</v>
      </c>
      <c r="V175" s="48">
        <v>15</v>
      </c>
      <c r="W175" s="48">
        <v>219</v>
      </c>
      <c r="X175" s="48">
        <v>583</v>
      </c>
      <c r="Y175" s="48">
        <v>21</v>
      </c>
      <c r="Z175" s="48">
        <v>169</v>
      </c>
    </row>
    <row r="176" spans="1:26" ht="15" hidden="1" customHeight="1">
      <c r="A176" s="48" t="s">
        <v>442</v>
      </c>
      <c r="B176" s="48" t="s">
        <v>442</v>
      </c>
      <c r="C176" s="48" t="s">
        <v>443</v>
      </c>
      <c r="D176" s="48" t="s">
        <v>50</v>
      </c>
      <c r="E176" s="48" t="s">
        <v>249</v>
      </c>
      <c r="F176" s="48">
        <v>118</v>
      </c>
      <c r="G176" s="48">
        <v>3</v>
      </c>
      <c r="H176" s="48">
        <v>69</v>
      </c>
      <c r="I176" s="48">
        <v>112</v>
      </c>
      <c r="J176" s="48">
        <v>11</v>
      </c>
      <c r="K176" s="48">
        <v>235</v>
      </c>
      <c r="L176" s="48">
        <v>126.5</v>
      </c>
      <c r="M176" s="48">
        <v>4</v>
      </c>
      <c r="N176" s="48">
        <v>76</v>
      </c>
      <c r="O176" s="48">
        <v>72</v>
      </c>
      <c r="P176" s="48">
        <v>23</v>
      </c>
      <c r="Q176" s="48">
        <v>392</v>
      </c>
      <c r="R176" s="48">
        <v>85</v>
      </c>
      <c r="S176" s="48">
        <v>9</v>
      </c>
      <c r="T176" s="48">
        <v>339</v>
      </c>
      <c r="U176" s="48">
        <v>68</v>
      </c>
      <c r="V176" s="48">
        <v>17</v>
      </c>
      <c r="W176" s="48">
        <v>452</v>
      </c>
      <c r="X176" s="48">
        <v>581.5</v>
      </c>
      <c r="Y176" s="48">
        <v>9</v>
      </c>
      <c r="Z176" s="48">
        <v>173</v>
      </c>
    </row>
    <row r="177" spans="1:26" ht="15" hidden="1" customHeight="1">
      <c r="A177" s="48" t="s">
        <v>444</v>
      </c>
      <c r="B177" s="48" t="s">
        <v>444</v>
      </c>
      <c r="C177" s="48" t="s">
        <v>445</v>
      </c>
      <c r="D177" s="48" t="s">
        <v>50</v>
      </c>
      <c r="E177" s="48" t="s">
        <v>210</v>
      </c>
      <c r="F177" s="48">
        <v>109</v>
      </c>
      <c r="G177" s="48">
        <v>21</v>
      </c>
      <c r="H177" s="48">
        <v>353</v>
      </c>
      <c r="I177" s="48">
        <v>115</v>
      </c>
      <c r="J177" s="48">
        <v>9</v>
      </c>
      <c r="K177" s="48">
        <v>195</v>
      </c>
      <c r="L177" s="48">
        <v>101.5</v>
      </c>
      <c r="M177" s="48">
        <v>38</v>
      </c>
      <c r="N177" s="48">
        <v>654</v>
      </c>
      <c r="O177" s="48">
        <v>88</v>
      </c>
      <c r="P177" s="48">
        <v>4</v>
      </c>
      <c r="Q177" s="48">
        <v>87</v>
      </c>
      <c r="R177" s="48">
        <v>89</v>
      </c>
      <c r="S177" s="48">
        <v>13</v>
      </c>
      <c r="T177" s="48">
        <v>200</v>
      </c>
      <c r="U177" s="48">
        <v>79</v>
      </c>
      <c r="V177" s="48">
        <v>5</v>
      </c>
      <c r="W177" s="48">
        <v>103</v>
      </c>
      <c r="X177" s="48">
        <v>581.5</v>
      </c>
      <c r="Y177" s="48">
        <v>5</v>
      </c>
      <c r="Z177" s="48">
        <v>173</v>
      </c>
    </row>
    <row r="178" spans="1:26" ht="15" hidden="1" customHeight="1">
      <c r="A178" s="48" t="s">
        <v>446</v>
      </c>
      <c r="B178" s="48" t="s">
        <v>446</v>
      </c>
      <c r="C178" s="48" t="s">
        <v>447</v>
      </c>
      <c r="D178" s="48" t="s">
        <v>50</v>
      </c>
      <c r="E178" s="48" t="s">
        <v>203</v>
      </c>
      <c r="F178" s="48">
        <v>108</v>
      </c>
      <c r="G178" s="48">
        <v>21</v>
      </c>
      <c r="H178" s="48">
        <v>391</v>
      </c>
      <c r="I178" s="48">
        <v>115</v>
      </c>
      <c r="J178" s="48">
        <v>10</v>
      </c>
      <c r="K178" s="48">
        <v>195</v>
      </c>
      <c r="L178" s="48">
        <v>123</v>
      </c>
      <c r="M178" s="48">
        <v>4</v>
      </c>
      <c r="N178" s="48">
        <v>132</v>
      </c>
      <c r="O178" s="48">
        <v>76</v>
      </c>
      <c r="P178" s="48">
        <v>17</v>
      </c>
      <c r="Q178" s="48">
        <v>302</v>
      </c>
      <c r="R178" s="48">
        <v>82</v>
      </c>
      <c r="S178" s="48">
        <v>25</v>
      </c>
      <c r="T178" s="48">
        <v>452</v>
      </c>
      <c r="U178" s="48">
        <v>77</v>
      </c>
      <c r="V178" s="48">
        <v>7</v>
      </c>
      <c r="W178" s="48">
        <v>162</v>
      </c>
      <c r="X178" s="48">
        <v>581</v>
      </c>
      <c r="Y178" s="48">
        <v>10</v>
      </c>
      <c r="Z178" s="48">
        <v>175</v>
      </c>
    </row>
    <row r="179" spans="1:26" ht="15" hidden="1" customHeight="1">
      <c r="A179" s="48" t="s">
        <v>448</v>
      </c>
      <c r="B179" s="48" t="s">
        <v>448</v>
      </c>
      <c r="C179" s="48" t="s">
        <v>449</v>
      </c>
      <c r="D179" s="48" t="s">
        <v>50</v>
      </c>
      <c r="E179" s="48" t="s">
        <v>210</v>
      </c>
      <c r="F179" s="48">
        <v>108</v>
      </c>
      <c r="G179" s="48">
        <v>24</v>
      </c>
      <c r="H179" s="48">
        <v>391</v>
      </c>
      <c r="I179" s="48">
        <v>134</v>
      </c>
      <c r="J179" s="48">
        <v>2</v>
      </c>
      <c r="K179" s="48">
        <v>35</v>
      </c>
      <c r="L179" s="48">
        <v>79.5</v>
      </c>
      <c r="M179" s="48">
        <v>53</v>
      </c>
      <c r="N179" s="48">
        <v>897</v>
      </c>
      <c r="O179" s="48">
        <v>90</v>
      </c>
      <c r="P179" s="48">
        <v>2</v>
      </c>
      <c r="Q179" s="48">
        <v>63</v>
      </c>
      <c r="R179" s="48">
        <v>86</v>
      </c>
      <c r="S179" s="48">
        <v>20</v>
      </c>
      <c r="T179" s="48">
        <v>304</v>
      </c>
      <c r="U179" s="48">
        <v>83</v>
      </c>
      <c r="V179" s="48">
        <v>1</v>
      </c>
      <c r="W179" s="48">
        <v>30</v>
      </c>
      <c r="X179" s="48">
        <v>580.5</v>
      </c>
      <c r="Y179" s="48">
        <v>6</v>
      </c>
      <c r="Z179" s="48">
        <v>176</v>
      </c>
    </row>
    <row r="180" spans="1:26" ht="15" hidden="1" customHeight="1">
      <c r="A180" s="48" t="s">
        <v>450</v>
      </c>
      <c r="B180" s="48" t="s">
        <v>450</v>
      </c>
      <c r="C180" s="48" t="s">
        <v>451</v>
      </c>
      <c r="D180" s="48" t="s">
        <v>50</v>
      </c>
      <c r="E180" s="48" t="s">
        <v>122</v>
      </c>
      <c r="F180" s="48">
        <v>111</v>
      </c>
      <c r="G180" s="48">
        <v>29</v>
      </c>
      <c r="H180" s="48">
        <v>271</v>
      </c>
      <c r="I180" s="48">
        <v>104</v>
      </c>
      <c r="J180" s="48">
        <v>30</v>
      </c>
      <c r="K180" s="48">
        <v>358</v>
      </c>
      <c r="L180" s="48">
        <v>120.5</v>
      </c>
      <c r="M180" s="48">
        <v>16</v>
      </c>
      <c r="N180" s="48">
        <v>192</v>
      </c>
      <c r="O180" s="48">
        <v>82</v>
      </c>
      <c r="P180" s="48">
        <v>14</v>
      </c>
      <c r="Q180" s="48">
        <v>171</v>
      </c>
      <c r="R180" s="48">
        <v>93</v>
      </c>
      <c r="S180" s="48">
        <v>14</v>
      </c>
      <c r="T180" s="48">
        <v>93</v>
      </c>
      <c r="U180" s="48">
        <v>70</v>
      </c>
      <c r="V180" s="48">
        <v>28</v>
      </c>
      <c r="W180" s="48">
        <v>380</v>
      </c>
      <c r="X180" s="48">
        <v>580.5</v>
      </c>
      <c r="Y180" s="48">
        <v>22</v>
      </c>
      <c r="Z180" s="48">
        <v>176</v>
      </c>
    </row>
    <row r="181" spans="1:26" ht="15" hidden="1" customHeight="1">
      <c r="A181" s="48" t="s">
        <v>452</v>
      </c>
      <c r="B181" s="48" t="s">
        <v>452</v>
      </c>
      <c r="C181" s="48" t="s">
        <v>453</v>
      </c>
      <c r="D181" s="48" t="s">
        <v>50</v>
      </c>
      <c r="E181" s="48" t="s">
        <v>92</v>
      </c>
      <c r="F181" s="48">
        <v>106</v>
      </c>
      <c r="G181" s="48">
        <v>18</v>
      </c>
      <c r="H181" s="48">
        <v>477</v>
      </c>
      <c r="I181" s="48">
        <v>130</v>
      </c>
      <c r="J181" s="48">
        <v>4</v>
      </c>
      <c r="K181" s="48">
        <v>54</v>
      </c>
      <c r="L181" s="48">
        <v>113.5</v>
      </c>
      <c r="M181" s="48">
        <v>18</v>
      </c>
      <c r="N181" s="48">
        <v>374</v>
      </c>
      <c r="O181" s="48">
        <v>75</v>
      </c>
      <c r="P181" s="48">
        <v>16</v>
      </c>
      <c r="Q181" s="48">
        <v>324</v>
      </c>
      <c r="R181" s="48">
        <v>79</v>
      </c>
      <c r="S181" s="48">
        <v>31</v>
      </c>
      <c r="T181" s="48">
        <v>539</v>
      </c>
      <c r="U181" s="48">
        <v>77</v>
      </c>
      <c r="V181" s="48">
        <v>14</v>
      </c>
      <c r="W181" s="48">
        <v>162</v>
      </c>
      <c r="X181" s="48">
        <v>580.5</v>
      </c>
      <c r="Y181" s="48">
        <v>4</v>
      </c>
      <c r="Z181" s="48">
        <v>176</v>
      </c>
    </row>
    <row r="182" spans="1:26" ht="15" hidden="1" customHeight="1">
      <c r="A182" s="48" t="s">
        <v>454</v>
      </c>
      <c r="B182" s="48" t="s">
        <v>454</v>
      </c>
      <c r="C182" s="48" t="s">
        <v>455</v>
      </c>
      <c r="D182" s="48" t="s">
        <v>50</v>
      </c>
      <c r="E182" s="48" t="s">
        <v>133</v>
      </c>
      <c r="F182" s="48">
        <v>113</v>
      </c>
      <c r="G182" s="48">
        <v>14</v>
      </c>
      <c r="H182" s="48">
        <v>196</v>
      </c>
      <c r="I182" s="48">
        <v>112</v>
      </c>
      <c r="J182" s="48">
        <v>15</v>
      </c>
      <c r="K182" s="48">
        <v>235</v>
      </c>
      <c r="L182" s="48">
        <v>98.5</v>
      </c>
      <c r="M182" s="48">
        <v>44</v>
      </c>
      <c r="N182" s="48">
        <v>719</v>
      </c>
      <c r="O182" s="48">
        <v>84</v>
      </c>
      <c r="P182" s="48">
        <v>9</v>
      </c>
      <c r="Q182" s="48">
        <v>131</v>
      </c>
      <c r="R182" s="48">
        <v>87</v>
      </c>
      <c r="S182" s="48">
        <v>21</v>
      </c>
      <c r="T182" s="48">
        <v>268</v>
      </c>
      <c r="U182" s="48">
        <v>86</v>
      </c>
      <c r="V182" s="48">
        <v>1</v>
      </c>
      <c r="W182" s="48">
        <v>7</v>
      </c>
      <c r="X182" s="48">
        <v>580.5</v>
      </c>
      <c r="Y182" s="48">
        <v>12</v>
      </c>
      <c r="Z182" s="48">
        <v>176</v>
      </c>
    </row>
    <row r="183" spans="1:26" ht="15" hidden="1" customHeight="1">
      <c r="A183" s="48" t="s">
        <v>456</v>
      </c>
      <c r="B183" s="48" t="s">
        <v>456</v>
      </c>
      <c r="C183" s="48" t="s">
        <v>457</v>
      </c>
      <c r="D183" s="48" t="s">
        <v>50</v>
      </c>
      <c r="E183" s="48" t="s">
        <v>106</v>
      </c>
      <c r="F183" s="48">
        <v>118</v>
      </c>
      <c r="G183" s="48">
        <v>6</v>
      </c>
      <c r="H183" s="48">
        <v>69</v>
      </c>
      <c r="I183" s="48">
        <v>105</v>
      </c>
      <c r="J183" s="48">
        <v>17</v>
      </c>
      <c r="K183" s="48">
        <v>340</v>
      </c>
      <c r="L183" s="48">
        <v>121</v>
      </c>
      <c r="M183" s="48">
        <v>11</v>
      </c>
      <c r="N183" s="48">
        <v>173</v>
      </c>
      <c r="O183" s="48">
        <v>86</v>
      </c>
      <c r="P183" s="48">
        <v>5</v>
      </c>
      <c r="Q183" s="48">
        <v>101</v>
      </c>
      <c r="R183" s="48">
        <v>80</v>
      </c>
      <c r="S183" s="48">
        <v>17</v>
      </c>
      <c r="T183" s="48">
        <v>511</v>
      </c>
      <c r="U183" s="48">
        <v>70</v>
      </c>
      <c r="V183" s="48">
        <v>15</v>
      </c>
      <c r="W183" s="48">
        <v>380</v>
      </c>
      <c r="X183" s="48">
        <v>580</v>
      </c>
      <c r="Y183" s="48">
        <v>7</v>
      </c>
      <c r="Z183" s="48">
        <v>180</v>
      </c>
    </row>
    <row r="184" spans="1:26" ht="15" hidden="1" customHeight="1">
      <c r="A184" s="48" t="s">
        <v>458</v>
      </c>
      <c r="B184" s="48" t="s">
        <v>458</v>
      </c>
      <c r="C184" s="48" t="s">
        <v>459</v>
      </c>
      <c r="D184" s="48" t="s">
        <v>50</v>
      </c>
      <c r="E184" s="48" t="s">
        <v>122</v>
      </c>
      <c r="F184" s="48">
        <v>117</v>
      </c>
      <c r="G184" s="48">
        <v>9</v>
      </c>
      <c r="H184" s="48">
        <v>86</v>
      </c>
      <c r="I184" s="48">
        <v>108</v>
      </c>
      <c r="J184" s="48">
        <v>23</v>
      </c>
      <c r="K184" s="48">
        <v>296</v>
      </c>
      <c r="L184" s="48">
        <v>116</v>
      </c>
      <c r="M184" s="48">
        <v>27</v>
      </c>
      <c r="N184" s="48">
        <v>309</v>
      </c>
      <c r="O184" s="48">
        <v>76</v>
      </c>
      <c r="P184" s="48">
        <v>22</v>
      </c>
      <c r="Q184" s="48">
        <v>302</v>
      </c>
      <c r="R184" s="48">
        <v>91</v>
      </c>
      <c r="S184" s="48">
        <v>23</v>
      </c>
      <c r="T184" s="48">
        <v>151</v>
      </c>
      <c r="U184" s="48">
        <v>72</v>
      </c>
      <c r="V184" s="48">
        <v>20</v>
      </c>
      <c r="W184" s="48">
        <v>312</v>
      </c>
      <c r="X184" s="48">
        <v>580</v>
      </c>
      <c r="Y184" s="48">
        <v>23</v>
      </c>
      <c r="Z184" s="48">
        <v>180</v>
      </c>
    </row>
    <row r="185" spans="1:26" ht="15" customHeight="1">
      <c r="A185" s="48" t="s">
        <v>460</v>
      </c>
      <c r="B185" s="48" t="s">
        <v>460</v>
      </c>
      <c r="C185" s="48" t="s">
        <v>461</v>
      </c>
      <c r="D185" s="48" t="s">
        <v>50</v>
      </c>
      <c r="E185" s="48" t="s">
        <v>87</v>
      </c>
      <c r="F185" s="48">
        <v>110</v>
      </c>
      <c r="G185" s="48">
        <v>37</v>
      </c>
      <c r="H185" s="48">
        <v>310</v>
      </c>
      <c r="I185" s="48">
        <v>91</v>
      </c>
      <c r="J185" s="48">
        <v>49</v>
      </c>
      <c r="K185" s="48">
        <v>566</v>
      </c>
      <c r="L185" s="48">
        <v>130</v>
      </c>
      <c r="M185" s="48">
        <v>10</v>
      </c>
      <c r="N185" s="48">
        <v>34</v>
      </c>
      <c r="O185" s="48">
        <v>81</v>
      </c>
      <c r="P185" s="48">
        <v>38</v>
      </c>
      <c r="Q185" s="48">
        <v>195</v>
      </c>
      <c r="R185" s="48">
        <v>97</v>
      </c>
      <c r="S185" s="48">
        <v>19</v>
      </c>
      <c r="T185" s="48">
        <v>30</v>
      </c>
      <c r="U185" s="48">
        <v>71</v>
      </c>
      <c r="V185" s="48">
        <v>40</v>
      </c>
      <c r="W185" s="48">
        <v>342</v>
      </c>
      <c r="X185" s="48">
        <v>580</v>
      </c>
      <c r="Y185" s="48">
        <v>43</v>
      </c>
      <c r="Z185" s="48">
        <v>180</v>
      </c>
    </row>
    <row r="186" spans="1:26" ht="15" hidden="1" customHeight="1">
      <c r="A186" s="48" t="s">
        <v>462</v>
      </c>
      <c r="B186" s="48" t="s">
        <v>462</v>
      </c>
      <c r="C186" s="48" t="s">
        <v>463</v>
      </c>
      <c r="D186" s="48" t="s">
        <v>50</v>
      </c>
      <c r="E186" s="48" t="s">
        <v>210</v>
      </c>
      <c r="F186" s="48">
        <v>111</v>
      </c>
      <c r="G186" s="48">
        <v>15</v>
      </c>
      <c r="H186" s="48">
        <v>271</v>
      </c>
      <c r="I186" s="48">
        <v>109</v>
      </c>
      <c r="J186" s="48">
        <v>17</v>
      </c>
      <c r="K186" s="48">
        <v>278</v>
      </c>
      <c r="L186" s="48">
        <v>121</v>
      </c>
      <c r="M186" s="48">
        <v>8</v>
      </c>
      <c r="N186" s="48">
        <v>173</v>
      </c>
      <c r="O186" s="48">
        <v>76</v>
      </c>
      <c r="P186" s="48">
        <v>15</v>
      </c>
      <c r="Q186" s="48">
        <v>302</v>
      </c>
      <c r="R186" s="48">
        <v>90</v>
      </c>
      <c r="S186" s="48">
        <v>8</v>
      </c>
      <c r="T186" s="48">
        <v>177</v>
      </c>
      <c r="U186" s="48">
        <v>73</v>
      </c>
      <c r="V186" s="48">
        <v>14</v>
      </c>
      <c r="W186" s="48">
        <v>275</v>
      </c>
      <c r="X186" s="48">
        <v>580</v>
      </c>
      <c r="Y186" s="48">
        <v>7</v>
      </c>
      <c r="Z186" s="48">
        <v>180</v>
      </c>
    </row>
    <row r="187" spans="1:26" ht="15" hidden="1" customHeight="1">
      <c r="A187" s="48" t="s">
        <v>464</v>
      </c>
      <c r="B187" s="48" t="s">
        <v>464</v>
      </c>
      <c r="C187" s="48" t="s">
        <v>465</v>
      </c>
      <c r="D187" s="48" t="s">
        <v>50</v>
      </c>
      <c r="E187" s="48" t="s">
        <v>169</v>
      </c>
      <c r="F187" s="48">
        <v>112</v>
      </c>
      <c r="G187" s="48">
        <v>12</v>
      </c>
      <c r="H187" s="48">
        <v>226</v>
      </c>
      <c r="I187" s="48">
        <v>108</v>
      </c>
      <c r="J187" s="48">
        <v>18</v>
      </c>
      <c r="K187" s="48">
        <v>296</v>
      </c>
      <c r="L187" s="48">
        <v>102</v>
      </c>
      <c r="M187" s="48">
        <v>39</v>
      </c>
      <c r="N187" s="48">
        <v>642</v>
      </c>
      <c r="O187" s="48">
        <v>87</v>
      </c>
      <c r="P187" s="48">
        <v>6</v>
      </c>
      <c r="Q187" s="48">
        <v>92</v>
      </c>
      <c r="R187" s="48">
        <v>87</v>
      </c>
      <c r="S187" s="48">
        <v>11</v>
      </c>
      <c r="T187" s="48">
        <v>268</v>
      </c>
      <c r="U187" s="48">
        <v>84</v>
      </c>
      <c r="V187" s="48">
        <v>2</v>
      </c>
      <c r="W187" s="48">
        <v>21</v>
      </c>
      <c r="X187" s="48">
        <v>580</v>
      </c>
      <c r="Y187" s="48">
        <v>9</v>
      </c>
      <c r="Z187" s="48">
        <v>180</v>
      </c>
    </row>
    <row r="188" spans="1:26" ht="15" hidden="1" customHeight="1">
      <c r="A188" s="48" t="s">
        <v>466</v>
      </c>
      <c r="B188" s="48" t="s">
        <v>466</v>
      </c>
      <c r="C188" s="48" t="s">
        <v>467</v>
      </c>
      <c r="D188" s="48" t="s">
        <v>50</v>
      </c>
      <c r="E188" s="48" t="s">
        <v>169</v>
      </c>
      <c r="F188" s="48">
        <v>122</v>
      </c>
      <c r="G188" s="48">
        <v>1</v>
      </c>
      <c r="H188" s="48">
        <v>25</v>
      </c>
      <c r="I188" s="48">
        <v>92</v>
      </c>
      <c r="J188" s="48">
        <v>29</v>
      </c>
      <c r="K188" s="48">
        <v>557</v>
      </c>
      <c r="L188" s="48">
        <v>120</v>
      </c>
      <c r="M188" s="48">
        <v>10</v>
      </c>
      <c r="N188" s="48">
        <v>211</v>
      </c>
      <c r="O188" s="48">
        <v>88</v>
      </c>
      <c r="P188" s="48">
        <v>5</v>
      </c>
      <c r="Q188" s="48">
        <v>87</v>
      </c>
      <c r="R188" s="48">
        <v>83</v>
      </c>
      <c r="S188" s="48">
        <v>16</v>
      </c>
      <c r="T188" s="48">
        <v>407</v>
      </c>
      <c r="U188" s="48">
        <v>75</v>
      </c>
      <c r="V188" s="48">
        <v>10</v>
      </c>
      <c r="W188" s="48">
        <v>219</v>
      </c>
      <c r="X188" s="48">
        <v>580</v>
      </c>
      <c r="Y188" s="48">
        <v>9</v>
      </c>
      <c r="Z188" s="48">
        <v>180</v>
      </c>
    </row>
    <row r="189" spans="1:26" ht="15" hidden="1" customHeight="1">
      <c r="A189" s="48" t="s">
        <v>468</v>
      </c>
      <c r="B189" s="48" t="s">
        <v>468</v>
      </c>
      <c r="C189" s="48" t="s">
        <v>469</v>
      </c>
      <c r="D189" s="48" t="s">
        <v>50</v>
      </c>
      <c r="E189" s="48" t="s">
        <v>210</v>
      </c>
      <c r="F189" s="48">
        <v>112</v>
      </c>
      <c r="G189" s="48">
        <v>12</v>
      </c>
      <c r="H189" s="48">
        <v>226</v>
      </c>
      <c r="I189" s="48">
        <v>98</v>
      </c>
      <c r="J189" s="48">
        <v>25</v>
      </c>
      <c r="K189" s="48">
        <v>458</v>
      </c>
      <c r="L189" s="48">
        <v>125.5</v>
      </c>
      <c r="M189" s="48">
        <v>3</v>
      </c>
      <c r="N189" s="48">
        <v>87</v>
      </c>
      <c r="O189" s="48">
        <v>82</v>
      </c>
      <c r="P189" s="48">
        <v>8</v>
      </c>
      <c r="Q189" s="48">
        <v>171</v>
      </c>
      <c r="R189" s="48">
        <v>91</v>
      </c>
      <c r="S189" s="48">
        <v>5</v>
      </c>
      <c r="T189" s="48">
        <v>151</v>
      </c>
      <c r="U189" s="48">
        <v>71</v>
      </c>
      <c r="V189" s="48">
        <v>17</v>
      </c>
      <c r="W189" s="48">
        <v>342</v>
      </c>
      <c r="X189" s="48">
        <v>579.5</v>
      </c>
      <c r="Y189" s="48">
        <v>8</v>
      </c>
      <c r="Z189" s="48">
        <v>186</v>
      </c>
    </row>
    <row r="190" spans="1:26" ht="15" hidden="1" customHeight="1">
      <c r="A190" s="48" t="s">
        <v>470</v>
      </c>
      <c r="B190" s="48" t="s">
        <v>470</v>
      </c>
      <c r="C190" s="48" t="s">
        <v>471</v>
      </c>
      <c r="D190" s="48" t="s">
        <v>50</v>
      </c>
      <c r="E190" s="48" t="s">
        <v>172</v>
      </c>
      <c r="F190" s="48">
        <v>117</v>
      </c>
      <c r="G190" s="48">
        <v>4</v>
      </c>
      <c r="H190" s="48">
        <v>86</v>
      </c>
      <c r="I190" s="48">
        <v>106</v>
      </c>
      <c r="J190" s="48">
        <v>15</v>
      </c>
      <c r="K190" s="48">
        <v>322</v>
      </c>
      <c r="L190" s="48">
        <v>121.5</v>
      </c>
      <c r="M190" s="48">
        <v>5</v>
      </c>
      <c r="N190" s="48">
        <v>160</v>
      </c>
      <c r="O190" s="48">
        <v>67</v>
      </c>
      <c r="P190" s="48">
        <v>29</v>
      </c>
      <c r="Q190" s="48">
        <v>497</v>
      </c>
      <c r="R190" s="48">
        <v>92</v>
      </c>
      <c r="S190" s="48">
        <v>5</v>
      </c>
      <c r="T190" s="48">
        <v>116</v>
      </c>
      <c r="U190" s="48">
        <v>76</v>
      </c>
      <c r="V190" s="48">
        <v>9</v>
      </c>
      <c r="W190" s="48">
        <v>194</v>
      </c>
      <c r="X190" s="48">
        <v>579.5</v>
      </c>
      <c r="Y190" s="48">
        <v>9</v>
      </c>
      <c r="Z190" s="48">
        <v>186</v>
      </c>
    </row>
    <row r="191" spans="1:26" ht="15" customHeight="1">
      <c r="A191" s="48" t="s">
        <v>472</v>
      </c>
      <c r="B191" s="48" t="s">
        <v>472</v>
      </c>
      <c r="C191" s="48" t="s">
        <v>473</v>
      </c>
      <c r="D191" s="48" t="s">
        <v>50</v>
      </c>
      <c r="E191" s="48" t="s">
        <v>87</v>
      </c>
      <c r="F191" s="48">
        <v>112</v>
      </c>
      <c r="G191" s="48">
        <v>33</v>
      </c>
      <c r="H191" s="48">
        <v>226</v>
      </c>
      <c r="I191" s="48">
        <v>99</v>
      </c>
      <c r="J191" s="48">
        <v>45</v>
      </c>
      <c r="K191" s="48">
        <v>436</v>
      </c>
      <c r="L191" s="48">
        <v>123</v>
      </c>
      <c r="M191" s="48">
        <v>30</v>
      </c>
      <c r="N191" s="48">
        <v>132</v>
      </c>
      <c r="O191" s="48">
        <v>82</v>
      </c>
      <c r="P191" s="48">
        <v>36</v>
      </c>
      <c r="Q191" s="48">
        <v>171</v>
      </c>
      <c r="R191" s="48">
        <v>89</v>
      </c>
      <c r="S191" s="48">
        <v>42</v>
      </c>
      <c r="T191" s="48">
        <v>200</v>
      </c>
      <c r="U191" s="48">
        <v>74</v>
      </c>
      <c r="V191" s="48">
        <v>33</v>
      </c>
      <c r="W191" s="48">
        <v>247</v>
      </c>
      <c r="X191" s="48">
        <v>579</v>
      </c>
      <c r="Y191" s="48">
        <v>44</v>
      </c>
      <c r="Z191" s="48">
        <v>188</v>
      </c>
    </row>
    <row r="192" spans="1:26" ht="15" hidden="1" customHeight="1">
      <c r="A192" s="48" t="s">
        <v>474</v>
      </c>
      <c r="B192" s="48" t="s">
        <v>474</v>
      </c>
      <c r="C192" s="48" t="s">
        <v>475</v>
      </c>
      <c r="D192" s="48" t="s">
        <v>50</v>
      </c>
      <c r="E192" s="48" t="s">
        <v>92</v>
      </c>
      <c r="F192" s="48">
        <v>119</v>
      </c>
      <c r="G192" s="48">
        <v>1</v>
      </c>
      <c r="H192" s="48">
        <v>51</v>
      </c>
      <c r="I192" s="48">
        <v>85</v>
      </c>
      <c r="J192" s="48">
        <v>37</v>
      </c>
      <c r="K192" s="48">
        <v>643</v>
      </c>
      <c r="L192" s="48">
        <v>125</v>
      </c>
      <c r="M192" s="48">
        <v>3</v>
      </c>
      <c r="N192" s="48">
        <v>96</v>
      </c>
      <c r="O192" s="48">
        <v>77</v>
      </c>
      <c r="P192" s="48">
        <v>14</v>
      </c>
      <c r="Q192" s="48">
        <v>278</v>
      </c>
      <c r="R192" s="48">
        <v>90</v>
      </c>
      <c r="S192" s="48">
        <v>8</v>
      </c>
      <c r="T192" s="48">
        <v>177</v>
      </c>
      <c r="U192" s="48">
        <v>83</v>
      </c>
      <c r="V192" s="48">
        <v>3</v>
      </c>
      <c r="W192" s="48">
        <v>30</v>
      </c>
      <c r="X192" s="48">
        <v>579</v>
      </c>
      <c r="Y192" s="48">
        <v>5</v>
      </c>
      <c r="Z192" s="48">
        <v>188</v>
      </c>
    </row>
    <row r="193" spans="1:26" ht="15" hidden="1" customHeight="1">
      <c r="A193" s="48" t="s">
        <v>476</v>
      </c>
      <c r="B193" s="48" t="s">
        <v>476</v>
      </c>
      <c r="C193" s="48" t="s">
        <v>477</v>
      </c>
      <c r="D193" s="48" t="s">
        <v>50</v>
      </c>
      <c r="E193" s="48" t="s">
        <v>84</v>
      </c>
      <c r="F193" s="48">
        <v>106</v>
      </c>
      <c r="G193" s="48">
        <v>26</v>
      </c>
      <c r="H193" s="48">
        <v>477</v>
      </c>
      <c r="I193" s="48">
        <v>129</v>
      </c>
      <c r="J193" s="48">
        <v>3</v>
      </c>
      <c r="K193" s="48">
        <v>63</v>
      </c>
      <c r="L193" s="48">
        <v>107</v>
      </c>
      <c r="M193" s="48">
        <v>36</v>
      </c>
      <c r="N193" s="48">
        <v>546</v>
      </c>
      <c r="O193" s="48">
        <v>77</v>
      </c>
      <c r="P193" s="48">
        <v>14</v>
      </c>
      <c r="Q193" s="48">
        <v>278</v>
      </c>
      <c r="R193" s="48">
        <v>83</v>
      </c>
      <c r="S193" s="48">
        <v>20</v>
      </c>
      <c r="T193" s="48">
        <v>407</v>
      </c>
      <c r="U193" s="48">
        <v>77</v>
      </c>
      <c r="V193" s="48">
        <v>7</v>
      </c>
      <c r="W193" s="48">
        <v>162</v>
      </c>
      <c r="X193" s="48">
        <v>579</v>
      </c>
      <c r="Y193" s="48">
        <v>8</v>
      </c>
      <c r="Z193" s="48">
        <v>188</v>
      </c>
    </row>
    <row r="194" spans="1:26" ht="15" hidden="1" customHeight="1">
      <c r="A194" s="48" t="s">
        <v>478</v>
      </c>
      <c r="B194" s="48" t="s">
        <v>478</v>
      </c>
      <c r="C194" s="48" t="s">
        <v>479</v>
      </c>
      <c r="D194" s="48" t="s">
        <v>50</v>
      </c>
      <c r="E194" s="48" t="s">
        <v>296</v>
      </c>
      <c r="F194" s="48">
        <v>91</v>
      </c>
      <c r="G194" s="48">
        <v>54</v>
      </c>
      <c r="H194" s="48">
        <v>890</v>
      </c>
      <c r="I194" s="48">
        <v>125</v>
      </c>
      <c r="J194" s="48">
        <v>6</v>
      </c>
      <c r="K194" s="48">
        <v>94</v>
      </c>
      <c r="L194" s="48">
        <v>118</v>
      </c>
      <c r="M194" s="48">
        <v>13</v>
      </c>
      <c r="N194" s="48">
        <v>263</v>
      </c>
      <c r="O194" s="48">
        <v>79</v>
      </c>
      <c r="P194" s="48">
        <v>13</v>
      </c>
      <c r="Q194" s="48">
        <v>236</v>
      </c>
      <c r="R194" s="48">
        <v>92</v>
      </c>
      <c r="S194" s="48">
        <v>4</v>
      </c>
      <c r="T194" s="48">
        <v>116</v>
      </c>
      <c r="U194" s="48">
        <v>74</v>
      </c>
      <c r="V194" s="48">
        <v>8</v>
      </c>
      <c r="W194" s="48">
        <v>247</v>
      </c>
      <c r="X194" s="48">
        <v>579</v>
      </c>
      <c r="Y194" s="48">
        <v>7</v>
      </c>
      <c r="Z194" s="48">
        <v>188</v>
      </c>
    </row>
    <row r="195" spans="1:26" ht="15" hidden="1" customHeight="1">
      <c r="A195" s="48" t="s">
        <v>480</v>
      </c>
      <c r="B195" s="48" t="s">
        <v>480</v>
      </c>
      <c r="C195" s="48" t="s">
        <v>481</v>
      </c>
      <c r="D195" s="48" t="s">
        <v>50</v>
      </c>
      <c r="E195" s="48" t="s">
        <v>169</v>
      </c>
      <c r="F195" s="48">
        <v>117</v>
      </c>
      <c r="G195" s="48">
        <v>5</v>
      </c>
      <c r="H195" s="48">
        <v>86</v>
      </c>
      <c r="I195" s="48">
        <v>117</v>
      </c>
      <c r="J195" s="48">
        <v>9</v>
      </c>
      <c r="K195" s="48">
        <v>174</v>
      </c>
      <c r="L195" s="48">
        <v>122.5</v>
      </c>
      <c r="M195" s="48">
        <v>5</v>
      </c>
      <c r="N195" s="48">
        <v>146</v>
      </c>
      <c r="O195" s="48">
        <v>59</v>
      </c>
      <c r="P195" s="48">
        <v>38</v>
      </c>
      <c r="Q195" s="48">
        <v>672</v>
      </c>
      <c r="R195" s="48">
        <v>90</v>
      </c>
      <c r="S195" s="48">
        <v>6</v>
      </c>
      <c r="T195" s="48">
        <v>177</v>
      </c>
      <c r="U195" s="48">
        <v>73</v>
      </c>
      <c r="V195" s="48">
        <v>18</v>
      </c>
      <c r="W195" s="48">
        <v>275</v>
      </c>
      <c r="X195" s="48">
        <v>578.5</v>
      </c>
      <c r="Y195" s="48">
        <v>11</v>
      </c>
      <c r="Z195" s="48">
        <v>192</v>
      </c>
    </row>
    <row r="196" spans="1:26" ht="15" customHeight="1">
      <c r="A196" s="48" t="s">
        <v>482</v>
      </c>
      <c r="B196" s="48" t="s">
        <v>482</v>
      </c>
      <c r="C196" s="48" t="s">
        <v>483</v>
      </c>
      <c r="D196" s="48" t="s">
        <v>50</v>
      </c>
      <c r="E196" s="48" t="s">
        <v>87</v>
      </c>
      <c r="F196" s="48">
        <v>101</v>
      </c>
      <c r="G196" s="48">
        <v>47</v>
      </c>
      <c r="H196" s="48">
        <v>688</v>
      </c>
      <c r="I196" s="48">
        <v>118</v>
      </c>
      <c r="J196" s="48">
        <v>31</v>
      </c>
      <c r="K196" s="48">
        <v>162</v>
      </c>
      <c r="L196" s="48">
        <v>122.5</v>
      </c>
      <c r="M196" s="48">
        <v>33</v>
      </c>
      <c r="N196" s="48">
        <v>146</v>
      </c>
      <c r="O196" s="48">
        <v>84</v>
      </c>
      <c r="P196" s="48">
        <v>27</v>
      </c>
      <c r="Q196" s="48">
        <v>131</v>
      </c>
      <c r="R196" s="48">
        <v>87</v>
      </c>
      <c r="S196" s="48">
        <v>46</v>
      </c>
      <c r="T196" s="48">
        <v>268</v>
      </c>
      <c r="U196" s="48">
        <v>66</v>
      </c>
      <c r="V196" s="48">
        <v>43</v>
      </c>
      <c r="W196" s="48">
        <v>519</v>
      </c>
      <c r="X196" s="48">
        <v>578.5</v>
      </c>
      <c r="Y196" s="48">
        <v>45</v>
      </c>
      <c r="Z196" s="48">
        <v>192</v>
      </c>
    </row>
    <row r="197" spans="1:26" ht="15" hidden="1" customHeight="1">
      <c r="A197" s="48" t="s">
        <v>484</v>
      </c>
      <c r="B197" s="48" t="s">
        <v>484</v>
      </c>
      <c r="C197" s="48" t="s">
        <v>485</v>
      </c>
      <c r="D197" s="48" t="s">
        <v>50</v>
      </c>
      <c r="E197" s="48" t="s">
        <v>122</v>
      </c>
      <c r="F197" s="48">
        <v>118</v>
      </c>
      <c r="G197" s="48">
        <v>7</v>
      </c>
      <c r="H197" s="48">
        <v>69</v>
      </c>
      <c r="I197" s="48">
        <v>95</v>
      </c>
      <c r="J197" s="48">
        <v>41</v>
      </c>
      <c r="K197" s="48">
        <v>501</v>
      </c>
      <c r="L197" s="48">
        <v>120.5</v>
      </c>
      <c r="M197" s="48">
        <v>16</v>
      </c>
      <c r="N197" s="48">
        <v>192</v>
      </c>
      <c r="O197" s="48">
        <v>73</v>
      </c>
      <c r="P197" s="48">
        <v>26</v>
      </c>
      <c r="Q197" s="48">
        <v>370</v>
      </c>
      <c r="R197" s="48">
        <v>92</v>
      </c>
      <c r="S197" s="48">
        <v>20</v>
      </c>
      <c r="T197" s="48">
        <v>116</v>
      </c>
      <c r="U197" s="48">
        <v>80</v>
      </c>
      <c r="V197" s="48">
        <v>6</v>
      </c>
      <c r="W197" s="48">
        <v>85</v>
      </c>
      <c r="X197" s="48">
        <v>578.5</v>
      </c>
      <c r="Y197" s="48">
        <v>24</v>
      </c>
      <c r="Z197" s="48">
        <v>192</v>
      </c>
    </row>
    <row r="198" spans="1:26" ht="15" hidden="1" customHeight="1">
      <c r="A198" s="48" t="s">
        <v>486</v>
      </c>
      <c r="B198" s="48" t="s">
        <v>486</v>
      </c>
      <c r="C198" s="48" t="s">
        <v>487</v>
      </c>
      <c r="D198" s="48" t="s">
        <v>50</v>
      </c>
      <c r="E198" s="48" t="s">
        <v>111</v>
      </c>
      <c r="F198" s="48">
        <v>118</v>
      </c>
      <c r="G198" s="48">
        <v>2</v>
      </c>
      <c r="H198" s="48">
        <v>69</v>
      </c>
      <c r="I198" s="48">
        <v>118</v>
      </c>
      <c r="J198" s="48">
        <v>6</v>
      </c>
      <c r="K198" s="48">
        <v>162</v>
      </c>
      <c r="L198" s="48">
        <v>103.5</v>
      </c>
      <c r="M198" s="48">
        <v>35</v>
      </c>
      <c r="N198" s="48">
        <v>612</v>
      </c>
      <c r="O198" s="48">
        <v>83</v>
      </c>
      <c r="P198" s="48">
        <v>6</v>
      </c>
      <c r="Q198" s="48">
        <v>153</v>
      </c>
      <c r="R198" s="48">
        <v>85</v>
      </c>
      <c r="S198" s="48">
        <v>15</v>
      </c>
      <c r="T198" s="48">
        <v>339</v>
      </c>
      <c r="U198" s="48">
        <v>70</v>
      </c>
      <c r="V198" s="48">
        <v>16</v>
      </c>
      <c r="W198" s="48">
        <v>380</v>
      </c>
      <c r="X198" s="48">
        <v>577.5</v>
      </c>
      <c r="Y198" s="48">
        <v>7</v>
      </c>
      <c r="Z198" s="48">
        <v>195</v>
      </c>
    </row>
    <row r="199" spans="1:26" ht="15" hidden="1" customHeight="1">
      <c r="A199" s="48" t="s">
        <v>488</v>
      </c>
      <c r="B199" s="48" t="s">
        <v>488</v>
      </c>
      <c r="C199" s="48" t="s">
        <v>489</v>
      </c>
      <c r="D199" s="48" t="s">
        <v>50</v>
      </c>
      <c r="E199" s="48" t="s">
        <v>84</v>
      </c>
      <c r="F199" s="48">
        <v>111</v>
      </c>
      <c r="G199" s="48">
        <v>15</v>
      </c>
      <c r="H199" s="48">
        <v>271</v>
      </c>
      <c r="I199" s="48">
        <v>88</v>
      </c>
      <c r="J199" s="48">
        <v>33</v>
      </c>
      <c r="K199" s="48">
        <v>601</v>
      </c>
      <c r="L199" s="48">
        <v>133.5</v>
      </c>
      <c r="M199" s="48">
        <v>1</v>
      </c>
      <c r="N199" s="48">
        <v>13</v>
      </c>
      <c r="O199" s="48">
        <v>87</v>
      </c>
      <c r="P199" s="48">
        <v>5</v>
      </c>
      <c r="Q199" s="48">
        <v>92</v>
      </c>
      <c r="R199" s="48">
        <v>88</v>
      </c>
      <c r="S199" s="48">
        <v>11</v>
      </c>
      <c r="T199" s="48">
        <v>240</v>
      </c>
      <c r="U199" s="48">
        <v>70</v>
      </c>
      <c r="V199" s="48">
        <v>19</v>
      </c>
      <c r="W199" s="48">
        <v>380</v>
      </c>
      <c r="X199" s="48">
        <v>577.5</v>
      </c>
      <c r="Y199" s="48">
        <v>9</v>
      </c>
      <c r="Z199" s="48">
        <v>195</v>
      </c>
    </row>
    <row r="200" spans="1:26" ht="15" hidden="1" customHeight="1">
      <c r="A200" s="48" t="s">
        <v>490</v>
      </c>
      <c r="B200" s="48" t="s">
        <v>490</v>
      </c>
      <c r="C200" s="48" t="s">
        <v>491</v>
      </c>
      <c r="D200" s="48" t="s">
        <v>50</v>
      </c>
      <c r="E200" s="48" t="s">
        <v>240</v>
      </c>
      <c r="F200" s="48">
        <v>114</v>
      </c>
      <c r="G200" s="48">
        <v>6</v>
      </c>
      <c r="H200" s="48">
        <v>170</v>
      </c>
      <c r="I200" s="48">
        <v>116</v>
      </c>
      <c r="J200" s="48">
        <v>9</v>
      </c>
      <c r="K200" s="48">
        <v>186</v>
      </c>
      <c r="L200" s="48">
        <v>106</v>
      </c>
      <c r="M200" s="48">
        <v>36</v>
      </c>
      <c r="N200" s="48">
        <v>558</v>
      </c>
      <c r="O200" s="48">
        <v>84</v>
      </c>
      <c r="P200" s="48">
        <v>7</v>
      </c>
      <c r="Q200" s="48">
        <v>131</v>
      </c>
      <c r="R200" s="48">
        <v>81</v>
      </c>
      <c r="S200" s="48">
        <v>26</v>
      </c>
      <c r="T200" s="48">
        <v>474</v>
      </c>
      <c r="U200" s="48">
        <v>76</v>
      </c>
      <c r="V200" s="48">
        <v>13</v>
      </c>
      <c r="W200" s="48">
        <v>194</v>
      </c>
      <c r="X200" s="48">
        <v>577</v>
      </c>
      <c r="Y200" s="48">
        <v>8</v>
      </c>
      <c r="Z200" s="48">
        <v>197</v>
      </c>
    </row>
    <row r="201" spans="1:26" ht="15" hidden="1" customHeight="1">
      <c r="A201" s="48" t="s">
        <v>492</v>
      </c>
      <c r="B201" s="48" t="s">
        <v>492</v>
      </c>
      <c r="C201" s="48" t="s">
        <v>493</v>
      </c>
      <c r="D201" s="48" t="s">
        <v>50</v>
      </c>
      <c r="E201" s="48" t="s">
        <v>203</v>
      </c>
      <c r="F201" s="48">
        <v>111</v>
      </c>
      <c r="G201" s="48">
        <v>16</v>
      </c>
      <c r="H201" s="48">
        <v>271</v>
      </c>
      <c r="I201" s="48">
        <v>118</v>
      </c>
      <c r="J201" s="48">
        <v>8</v>
      </c>
      <c r="K201" s="48">
        <v>162</v>
      </c>
      <c r="L201" s="48">
        <v>102</v>
      </c>
      <c r="M201" s="48">
        <v>37</v>
      </c>
      <c r="N201" s="48">
        <v>642</v>
      </c>
      <c r="O201" s="48">
        <v>73</v>
      </c>
      <c r="P201" s="48">
        <v>21</v>
      </c>
      <c r="Q201" s="48">
        <v>370</v>
      </c>
      <c r="R201" s="48">
        <v>90</v>
      </c>
      <c r="S201" s="48">
        <v>12</v>
      </c>
      <c r="T201" s="48">
        <v>177</v>
      </c>
      <c r="U201" s="48">
        <v>83</v>
      </c>
      <c r="V201" s="48">
        <v>1</v>
      </c>
      <c r="W201" s="48">
        <v>30</v>
      </c>
      <c r="X201" s="48">
        <v>577</v>
      </c>
      <c r="Y201" s="48">
        <v>11</v>
      </c>
      <c r="Z201" s="48">
        <v>197</v>
      </c>
    </row>
    <row r="202" spans="1:26" ht="15" hidden="1" customHeight="1">
      <c r="A202" s="48" t="s">
        <v>494</v>
      </c>
      <c r="B202" s="48" t="s">
        <v>494</v>
      </c>
      <c r="C202" s="48" t="s">
        <v>495</v>
      </c>
      <c r="D202" s="48" t="s">
        <v>50</v>
      </c>
      <c r="E202" s="48" t="s">
        <v>92</v>
      </c>
      <c r="F202" s="48">
        <v>113</v>
      </c>
      <c r="G202" s="48">
        <v>6</v>
      </c>
      <c r="H202" s="48">
        <v>196</v>
      </c>
      <c r="I202" s="48">
        <v>113</v>
      </c>
      <c r="J202" s="48">
        <v>10</v>
      </c>
      <c r="K202" s="48">
        <v>224</v>
      </c>
      <c r="L202" s="48">
        <v>104</v>
      </c>
      <c r="M202" s="48">
        <v>29</v>
      </c>
      <c r="N202" s="48">
        <v>600</v>
      </c>
      <c r="O202" s="48">
        <v>81</v>
      </c>
      <c r="P202" s="48">
        <v>10</v>
      </c>
      <c r="Q202" s="48">
        <v>195</v>
      </c>
      <c r="R202" s="48">
        <v>85</v>
      </c>
      <c r="S202" s="48">
        <v>17</v>
      </c>
      <c r="T202" s="48">
        <v>339</v>
      </c>
      <c r="U202" s="48">
        <v>81</v>
      </c>
      <c r="V202" s="48">
        <v>5</v>
      </c>
      <c r="W202" s="48">
        <v>66</v>
      </c>
      <c r="X202" s="48">
        <v>577</v>
      </c>
      <c r="Y202" s="48">
        <v>6</v>
      </c>
      <c r="Z202" s="48">
        <v>197</v>
      </c>
    </row>
    <row r="203" spans="1:26" ht="15" hidden="1" customHeight="1">
      <c r="A203" s="48" t="s">
        <v>496</v>
      </c>
      <c r="B203" s="48" t="s">
        <v>496</v>
      </c>
      <c r="C203" s="48" t="s">
        <v>497</v>
      </c>
      <c r="D203" s="48" t="s">
        <v>50</v>
      </c>
      <c r="E203" s="48" t="s">
        <v>106</v>
      </c>
      <c r="F203" s="48">
        <v>102</v>
      </c>
      <c r="G203" s="48">
        <v>41</v>
      </c>
      <c r="H203" s="48">
        <v>655</v>
      </c>
      <c r="I203" s="48">
        <v>100</v>
      </c>
      <c r="J203" s="48">
        <v>21</v>
      </c>
      <c r="K203" s="48">
        <v>421</v>
      </c>
      <c r="L203" s="48">
        <v>127.5</v>
      </c>
      <c r="M203" s="48">
        <v>2</v>
      </c>
      <c r="N203" s="48">
        <v>63</v>
      </c>
      <c r="O203" s="48">
        <v>80</v>
      </c>
      <c r="P203" s="48">
        <v>12</v>
      </c>
      <c r="Q203" s="48">
        <v>211</v>
      </c>
      <c r="R203" s="48">
        <v>91</v>
      </c>
      <c r="S203" s="48">
        <v>5</v>
      </c>
      <c r="T203" s="48">
        <v>151</v>
      </c>
      <c r="U203" s="48">
        <v>76</v>
      </c>
      <c r="V203" s="48">
        <v>7</v>
      </c>
      <c r="W203" s="48">
        <v>194</v>
      </c>
      <c r="X203" s="48">
        <v>576.5</v>
      </c>
      <c r="Y203" s="48">
        <v>8</v>
      </c>
      <c r="Z203" s="48">
        <v>200</v>
      </c>
    </row>
    <row r="204" spans="1:26" ht="15" hidden="1" customHeight="1">
      <c r="A204" s="48" t="s">
        <v>498</v>
      </c>
      <c r="B204" s="48" t="s">
        <v>498</v>
      </c>
      <c r="C204" s="48" t="s">
        <v>499</v>
      </c>
      <c r="D204" s="48" t="s">
        <v>50</v>
      </c>
      <c r="E204" s="48" t="s">
        <v>150</v>
      </c>
      <c r="F204" s="48">
        <v>105</v>
      </c>
      <c r="G204" s="48">
        <v>20</v>
      </c>
      <c r="H204" s="48">
        <v>515</v>
      </c>
      <c r="I204" s="48">
        <v>115</v>
      </c>
      <c r="J204" s="48">
        <v>15</v>
      </c>
      <c r="K204" s="48">
        <v>195</v>
      </c>
      <c r="L204" s="48">
        <v>117.5</v>
      </c>
      <c r="M204" s="48">
        <v>12</v>
      </c>
      <c r="N204" s="48">
        <v>281</v>
      </c>
      <c r="O204" s="48">
        <v>80</v>
      </c>
      <c r="P204" s="48">
        <v>5</v>
      </c>
      <c r="Q204" s="48">
        <v>211</v>
      </c>
      <c r="R204" s="48">
        <v>85</v>
      </c>
      <c r="S204" s="48">
        <v>26</v>
      </c>
      <c r="T204" s="48">
        <v>339</v>
      </c>
      <c r="U204" s="48">
        <v>74</v>
      </c>
      <c r="V204" s="48">
        <v>24</v>
      </c>
      <c r="W204" s="48">
        <v>247</v>
      </c>
      <c r="X204" s="48">
        <v>576.5</v>
      </c>
      <c r="Y204" s="48">
        <v>7</v>
      </c>
      <c r="Z204" s="48">
        <v>200</v>
      </c>
    </row>
    <row r="205" spans="1:26" ht="15" hidden="1" customHeight="1">
      <c r="A205" s="48" t="s">
        <v>500</v>
      </c>
      <c r="B205" s="48" t="s">
        <v>500</v>
      </c>
      <c r="C205" s="48" t="s">
        <v>501</v>
      </c>
      <c r="D205" s="48" t="s">
        <v>50</v>
      </c>
      <c r="E205" s="48" t="s">
        <v>106</v>
      </c>
      <c r="F205" s="48">
        <v>109</v>
      </c>
      <c r="G205" s="48">
        <v>27</v>
      </c>
      <c r="H205" s="48">
        <v>353</v>
      </c>
      <c r="I205" s="48">
        <v>127</v>
      </c>
      <c r="J205" s="48">
        <v>2</v>
      </c>
      <c r="K205" s="48">
        <v>78</v>
      </c>
      <c r="L205" s="48">
        <v>112</v>
      </c>
      <c r="M205" s="48">
        <v>26</v>
      </c>
      <c r="N205" s="48">
        <v>413</v>
      </c>
      <c r="O205" s="48">
        <v>74</v>
      </c>
      <c r="P205" s="48">
        <v>14</v>
      </c>
      <c r="Q205" s="48">
        <v>345</v>
      </c>
      <c r="R205" s="48">
        <v>89</v>
      </c>
      <c r="S205" s="48">
        <v>6</v>
      </c>
      <c r="T205" s="48">
        <v>200</v>
      </c>
      <c r="U205" s="48">
        <v>65</v>
      </c>
      <c r="V205" s="48">
        <v>25</v>
      </c>
      <c r="W205" s="48">
        <v>554</v>
      </c>
      <c r="X205" s="48">
        <v>576</v>
      </c>
      <c r="Y205" s="48">
        <v>9</v>
      </c>
      <c r="Z205" s="48">
        <v>202</v>
      </c>
    </row>
    <row r="206" spans="1:26" ht="15" hidden="1" customHeight="1">
      <c r="A206" s="48" t="s">
        <v>502</v>
      </c>
      <c r="B206" s="48" t="s">
        <v>502</v>
      </c>
      <c r="C206" s="48" t="s">
        <v>503</v>
      </c>
      <c r="D206" s="48" t="s">
        <v>50</v>
      </c>
      <c r="E206" s="48" t="s">
        <v>296</v>
      </c>
      <c r="F206" s="48">
        <v>105</v>
      </c>
      <c r="G206" s="48">
        <v>22</v>
      </c>
      <c r="H206" s="48">
        <v>515</v>
      </c>
      <c r="I206" s="48">
        <v>124</v>
      </c>
      <c r="J206" s="48">
        <v>7</v>
      </c>
      <c r="K206" s="48">
        <v>101</v>
      </c>
      <c r="L206" s="48">
        <v>130</v>
      </c>
      <c r="M206" s="48">
        <v>2</v>
      </c>
      <c r="N206" s="48">
        <v>34</v>
      </c>
      <c r="O206" s="48">
        <v>82</v>
      </c>
      <c r="P206" s="48">
        <v>6</v>
      </c>
      <c r="Q206" s="48">
        <v>171</v>
      </c>
      <c r="R206" s="48">
        <v>80</v>
      </c>
      <c r="S206" s="48">
        <v>27</v>
      </c>
      <c r="T206" s="48">
        <v>511</v>
      </c>
      <c r="U206" s="48">
        <v>55</v>
      </c>
      <c r="V206" s="48">
        <v>37</v>
      </c>
      <c r="W206" s="48">
        <v>802</v>
      </c>
      <c r="X206" s="48">
        <v>576</v>
      </c>
      <c r="Y206" s="48">
        <v>8</v>
      </c>
      <c r="Z206" s="48">
        <v>202</v>
      </c>
    </row>
    <row r="207" spans="1:26" ht="15" hidden="1" customHeight="1">
      <c r="A207" s="48" t="s">
        <v>504</v>
      </c>
      <c r="B207" s="48" t="s">
        <v>504</v>
      </c>
      <c r="C207" s="48" t="s">
        <v>505</v>
      </c>
      <c r="D207" s="48" t="s">
        <v>50</v>
      </c>
      <c r="E207" s="48" t="s">
        <v>133</v>
      </c>
      <c r="F207" s="48">
        <v>110</v>
      </c>
      <c r="G207" s="48">
        <v>22</v>
      </c>
      <c r="H207" s="48">
        <v>310</v>
      </c>
      <c r="I207" s="48">
        <v>106</v>
      </c>
      <c r="J207" s="48">
        <v>23</v>
      </c>
      <c r="K207" s="48">
        <v>322</v>
      </c>
      <c r="L207" s="48">
        <v>119.5</v>
      </c>
      <c r="M207" s="48">
        <v>13</v>
      </c>
      <c r="N207" s="48">
        <v>229</v>
      </c>
      <c r="O207" s="48">
        <v>79</v>
      </c>
      <c r="P207" s="48">
        <v>20</v>
      </c>
      <c r="Q207" s="48">
        <v>236</v>
      </c>
      <c r="R207" s="48">
        <v>90</v>
      </c>
      <c r="S207" s="48">
        <v>8</v>
      </c>
      <c r="T207" s="48">
        <v>177</v>
      </c>
      <c r="U207" s="48">
        <v>71</v>
      </c>
      <c r="V207" s="48">
        <v>27</v>
      </c>
      <c r="W207" s="48">
        <v>342</v>
      </c>
      <c r="X207" s="48">
        <v>575.5</v>
      </c>
      <c r="Y207" s="48">
        <v>13</v>
      </c>
      <c r="Z207" s="48">
        <v>204</v>
      </c>
    </row>
    <row r="208" spans="1:26" ht="15" hidden="1" customHeight="1">
      <c r="A208" s="48" t="s">
        <v>506</v>
      </c>
      <c r="B208" s="48" t="s">
        <v>506</v>
      </c>
      <c r="C208" s="48" t="s">
        <v>507</v>
      </c>
      <c r="D208" s="48" t="s">
        <v>50</v>
      </c>
      <c r="E208" s="48" t="s">
        <v>122</v>
      </c>
      <c r="F208" s="48">
        <v>114</v>
      </c>
      <c r="G208" s="48">
        <v>18</v>
      </c>
      <c r="H208" s="48">
        <v>170</v>
      </c>
      <c r="I208" s="48">
        <v>102</v>
      </c>
      <c r="J208" s="48">
        <v>31</v>
      </c>
      <c r="K208" s="48">
        <v>386</v>
      </c>
      <c r="L208" s="48">
        <v>106.5</v>
      </c>
      <c r="M208" s="48">
        <v>47</v>
      </c>
      <c r="N208" s="48">
        <v>554</v>
      </c>
      <c r="O208" s="48">
        <v>86</v>
      </c>
      <c r="P208" s="48">
        <v>8</v>
      </c>
      <c r="Q208" s="48">
        <v>101</v>
      </c>
      <c r="R208" s="48">
        <v>95</v>
      </c>
      <c r="S208" s="48">
        <v>10</v>
      </c>
      <c r="T208" s="48">
        <v>60</v>
      </c>
      <c r="U208" s="48">
        <v>72</v>
      </c>
      <c r="V208" s="48">
        <v>20</v>
      </c>
      <c r="W208" s="48">
        <v>312</v>
      </c>
      <c r="X208" s="48">
        <v>575.5</v>
      </c>
      <c r="Y208" s="48">
        <v>25</v>
      </c>
      <c r="Z208" s="48">
        <v>204</v>
      </c>
    </row>
    <row r="209" spans="1:26" ht="15" hidden="1" customHeight="1">
      <c r="A209" s="48" t="s">
        <v>508</v>
      </c>
      <c r="B209" s="48" t="s">
        <v>508</v>
      </c>
      <c r="C209" s="48" t="s">
        <v>509</v>
      </c>
      <c r="D209" s="48" t="s">
        <v>50</v>
      </c>
      <c r="E209" s="48" t="s">
        <v>249</v>
      </c>
      <c r="F209" s="48">
        <v>112</v>
      </c>
      <c r="G209" s="48">
        <v>19</v>
      </c>
      <c r="H209" s="48">
        <v>226</v>
      </c>
      <c r="I209" s="48">
        <v>106</v>
      </c>
      <c r="J209" s="48">
        <v>15</v>
      </c>
      <c r="K209" s="48">
        <v>322</v>
      </c>
      <c r="L209" s="48">
        <v>128.5</v>
      </c>
      <c r="M209" s="48">
        <v>2</v>
      </c>
      <c r="N209" s="48">
        <v>53</v>
      </c>
      <c r="O209" s="48">
        <v>72</v>
      </c>
      <c r="P209" s="48">
        <v>23</v>
      </c>
      <c r="Q209" s="48">
        <v>392</v>
      </c>
      <c r="R209" s="48">
        <v>82</v>
      </c>
      <c r="S209" s="48">
        <v>14</v>
      </c>
      <c r="T209" s="48">
        <v>452</v>
      </c>
      <c r="U209" s="48">
        <v>75</v>
      </c>
      <c r="V209" s="48">
        <v>10</v>
      </c>
      <c r="W209" s="48">
        <v>219</v>
      </c>
      <c r="X209" s="48">
        <v>575.5</v>
      </c>
      <c r="Y209" s="48">
        <v>10</v>
      </c>
      <c r="Z209" s="48">
        <v>204</v>
      </c>
    </row>
    <row r="210" spans="1:26" ht="15" customHeight="1">
      <c r="A210" s="48" t="s">
        <v>510</v>
      </c>
      <c r="B210" s="48" t="s">
        <v>510</v>
      </c>
      <c r="C210" s="48" t="s">
        <v>511</v>
      </c>
      <c r="D210" s="48" t="s">
        <v>50</v>
      </c>
      <c r="E210" s="48" t="s">
        <v>87</v>
      </c>
      <c r="F210" s="48">
        <v>116</v>
      </c>
      <c r="G210" s="48">
        <v>24</v>
      </c>
      <c r="H210" s="48">
        <v>117</v>
      </c>
      <c r="I210" s="48">
        <v>108</v>
      </c>
      <c r="J210" s="48">
        <v>41</v>
      </c>
      <c r="K210" s="48">
        <v>296</v>
      </c>
      <c r="L210" s="48">
        <v>122</v>
      </c>
      <c r="M210" s="48">
        <v>35</v>
      </c>
      <c r="N210" s="48">
        <v>154</v>
      </c>
      <c r="O210" s="48">
        <v>77</v>
      </c>
      <c r="P210" s="48">
        <v>42</v>
      </c>
      <c r="Q210" s="48">
        <v>278</v>
      </c>
      <c r="R210" s="48">
        <v>86</v>
      </c>
      <c r="S210" s="48">
        <v>49</v>
      </c>
      <c r="T210" s="48">
        <v>304</v>
      </c>
      <c r="U210" s="48">
        <v>66</v>
      </c>
      <c r="V210" s="48">
        <v>43</v>
      </c>
      <c r="W210" s="48">
        <v>519</v>
      </c>
      <c r="X210" s="48">
        <v>575</v>
      </c>
      <c r="Y210" s="48">
        <v>46</v>
      </c>
      <c r="Z210" s="48">
        <v>207</v>
      </c>
    </row>
    <row r="211" spans="1:26" ht="15" hidden="1" customHeight="1">
      <c r="A211" s="48" t="s">
        <v>512</v>
      </c>
      <c r="B211" s="48" t="s">
        <v>512</v>
      </c>
      <c r="C211" s="48" t="s">
        <v>513</v>
      </c>
      <c r="D211" s="48" t="s">
        <v>50</v>
      </c>
      <c r="E211" s="48" t="s">
        <v>296</v>
      </c>
      <c r="F211" s="48">
        <v>93</v>
      </c>
      <c r="G211" s="48">
        <v>49</v>
      </c>
      <c r="H211" s="48">
        <v>868</v>
      </c>
      <c r="I211" s="48">
        <v>124</v>
      </c>
      <c r="J211" s="48">
        <v>7</v>
      </c>
      <c r="K211" s="48">
        <v>101</v>
      </c>
      <c r="L211" s="48">
        <v>111</v>
      </c>
      <c r="M211" s="48">
        <v>25</v>
      </c>
      <c r="N211" s="48">
        <v>445</v>
      </c>
      <c r="O211" s="48">
        <v>87</v>
      </c>
      <c r="P211" s="48">
        <v>4</v>
      </c>
      <c r="Q211" s="48">
        <v>92</v>
      </c>
      <c r="R211" s="48">
        <v>89</v>
      </c>
      <c r="S211" s="48">
        <v>12</v>
      </c>
      <c r="T211" s="48">
        <v>200</v>
      </c>
      <c r="U211" s="48">
        <v>71</v>
      </c>
      <c r="V211" s="48">
        <v>13</v>
      </c>
      <c r="W211" s="48">
        <v>342</v>
      </c>
      <c r="X211" s="48">
        <v>575</v>
      </c>
      <c r="Y211" s="48">
        <v>9</v>
      </c>
      <c r="Z211" s="48">
        <v>207</v>
      </c>
    </row>
    <row r="212" spans="1:26" ht="15" hidden="1" customHeight="1">
      <c r="A212" s="48" t="s">
        <v>514</v>
      </c>
      <c r="B212" s="48" t="s">
        <v>514</v>
      </c>
      <c r="C212" s="48" t="s">
        <v>515</v>
      </c>
      <c r="D212" s="48" t="s">
        <v>50</v>
      </c>
      <c r="E212" s="48" t="s">
        <v>296</v>
      </c>
      <c r="F212" s="48">
        <v>120</v>
      </c>
      <c r="G212" s="48">
        <v>1</v>
      </c>
      <c r="H212" s="48">
        <v>43</v>
      </c>
      <c r="I212" s="48">
        <v>100</v>
      </c>
      <c r="J212" s="48">
        <v>24</v>
      </c>
      <c r="K212" s="48">
        <v>421</v>
      </c>
      <c r="L212" s="48">
        <v>122</v>
      </c>
      <c r="M212" s="48">
        <v>11</v>
      </c>
      <c r="N212" s="48">
        <v>154</v>
      </c>
      <c r="O212" s="48">
        <v>73</v>
      </c>
      <c r="P212" s="48">
        <v>23</v>
      </c>
      <c r="Q212" s="48">
        <v>370</v>
      </c>
      <c r="R212" s="48">
        <v>92</v>
      </c>
      <c r="S212" s="48">
        <v>4</v>
      </c>
      <c r="T212" s="48">
        <v>116</v>
      </c>
      <c r="U212" s="48">
        <v>68</v>
      </c>
      <c r="V212" s="48">
        <v>17</v>
      </c>
      <c r="W212" s="48">
        <v>452</v>
      </c>
      <c r="X212" s="48">
        <v>575</v>
      </c>
      <c r="Y212" s="48">
        <v>9</v>
      </c>
      <c r="Z212" s="48">
        <v>207</v>
      </c>
    </row>
    <row r="213" spans="1:26" ht="15" hidden="1" customHeight="1">
      <c r="A213" s="48" t="s">
        <v>516</v>
      </c>
      <c r="B213" s="48" t="s">
        <v>516</v>
      </c>
      <c r="C213" s="48" t="s">
        <v>517</v>
      </c>
      <c r="D213" s="48" t="s">
        <v>50</v>
      </c>
      <c r="E213" s="48" t="s">
        <v>240</v>
      </c>
      <c r="F213" s="48">
        <v>113</v>
      </c>
      <c r="G213" s="48">
        <v>8</v>
      </c>
      <c r="H213" s="48">
        <v>196</v>
      </c>
      <c r="I213" s="48">
        <v>108</v>
      </c>
      <c r="J213" s="48">
        <v>17</v>
      </c>
      <c r="K213" s="48">
        <v>296</v>
      </c>
      <c r="L213" s="48">
        <v>128</v>
      </c>
      <c r="M213" s="48">
        <v>3</v>
      </c>
      <c r="N213" s="48">
        <v>58</v>
      </c>
      <c r="O213" s="48">
        <v>77</v>
      </c>
      <c r="P213" s="48">
        <v>15</v>
      </c>
      <c r="Q213" s="48">
        <v>278</v>
      </c>
      <c r="R213" s="48">
        <v>66</v>
      </c>
      <c r="S213" s="48">
        <v>50</v>
      </c>
      <c r="T213" s="48">
        <v>849</v>
      </c>
      <c r="U213" s="48">
        <v>83</v>
      </c>
      <c r="V213" s="48">
        <v>1</v>
      </c>
      <c r="W213" s="48">
        <v>30</v>
      </c>
      <c r="X213" s="48">
        <v>575</v>
      </c>
      <c r="Y213" s="48">
        <v>9</v>
      </c>
      <c r="Z213" s="48">
        <v>207</v>
      </c>
    </row>
    <row r="214" spans="1:26" ht="15" hidden="1" customHeight="1">
      <c r="A214" s="48" t="s">
        <v>518</v>
      </c>
      <c r="B214" s="48" t="s">
        <v>518</v>
      </c>
      <c r="C214" s="48" t="s">
        <v>41</v>
      </c>
      <c r="D214" s="48" t="s">
        <v>50</v>
      </c>
      <c r="E214" s="48" t="s">
        <v>84</v>
      </c>
      <c r="F214" s="48">
        <v>115</v>
      </c>
      <c r="G214" s="48">
        <v>7</v>
      </c>
      <c r="H214" s="48">
        <v>140</v>
      </c>
      <c r="I214" s="48">
        <v>119</v>
      </c>
      <c r="J214" s="48">
        <v>10</v>
      </c>
      <c r="K214" s="48">
        <v>154</v>
      </c>
      <c r="L214" s="48">
        <v>128</v>
      </c>
      <c r="M214" s="48">
        <v>6</v>
      </c>
      <c r="N214" s="48">
        <v>58</v>
      </c>
      <c r="O214" s="48">
        <v>65</v>
      </c>
      <c r="P214" s="48">
        <v>33</v>
      </c>
      <c r="Q214" s="48">
        <v>539</v>
      </c>
      <c r="R214" s="48">
        <v>76</v>
      </c>
      <c r="S214" s="48">
        <v>37</v>
      </c>
      <c r="T214" s="48">
        <v>642</v>
      </c>
      <c r="U214" s="48">
        <v>72</v>
      </c>
      <c r="V214" s="48">
        <v>14</v>
      </c>
      <c r="W214" s="48">
        <v>312</v>
      </c>
      <c r="X214" s="48">
        <v>575</v>
      </c>
      <c r="Y214" s="48">
        <v>10</v>
      </c>
      <c r="Z214" s="48">
        <v>207</v>
      </c>
    </row>
    <row r="215" spans="1:26" ht="15" hidden="1" customHeight="1">
      <c r="A215" s="48" t="s">
        <v>519</v>
      </c>
      <c r="B215" s="48" t="s">
        <v>519</v>
      </c>
      <c r="C215" s="48" t="s">
        <v>520</v>
      </c>
      <c r="D215" s="48" t="s">
        <v>50</v>
      </c>
      <c r="E215" s="48" t="s">
        <v>210</v>
      </c>
      <c r="F215" s="48">
        <v>108</v>
      </c>
      <c r="G215" s="48">
        <v>24</v>
      </c>
      <c r="H215" s="48">
        <v>391</v>
      </c>
      <c r="I215" s="48">
        <v>116</v>
      </c>
      <c r="J215" s="48">
        <v>7</v>
      </c>
      <c r="K215" s="48">
        <v>186</v>
      </c>
      <c r="L215" s="48">
        <v>117</v>
      </c>
      <c r="M215" s="48">
        <v>20</v>
      </c>
      <c r="N215" s="48">
        <v>291</v>
      </c>
      <c r="O215" s="48">
        <v>78</v>
      </c>
      <c r="P215" s="48">
        <v>10</v>
      </c>
      <c r="Q215" s="48">
        <v>256</v>
      </c>
      <c r="R215" s="48">
        <v>88</v>
      </c>
      <c r="S215" s="48">
        <v>15</v>
      </c>
      <c r="T215" s="48">
        <v>240</v>
      </c>
      <c r="U215" s="48">
        <v>68</v>
      </c>
      <c r="V215" s="48">
        <v>23</v>
      </c>
      <c r="W215" s="48">
        <v>452</v>
      </c>
      <c r="X215" s="48">
        <v>575</v>
      </c>
      <c r="Y215" s="48">
        <v>9</v>
      </c>
      <c r="Z215" s="48">
        <v>207</v>
      </c>
    </row>
    <row r="216" spans="1:26" ht="15" hidden="1" customHeight="1">
      <c r="A216" s="48" t="s">
        <v>521</v>
      </c>
      <c r="B216" s="48" t="s">
        <v>521</v>
      </c>
      <c r="C216" s="48" t="s">
        <v>522</v>
      </c>
      <c r="D216" s="48" t="s">
        <v>50</v>
      </c>
      <c r="E216" s="48" t="s">
        <v>217</v>
      </c>
      <c r="F216" s="48">
        <v>106</v>
      </c>
      <c r="G216" s="48">
        <v>26</v>
      </c>
      <c r="H216" s="48">
        <v>477</v>
      </c>
      <c r="I216" s="48">
        <v>110</v>
      </c>
      <c r="J216" s="48">
        <v>13</v>
      </c>
      <c r="K216" s="48">
        <v>264</v>
      </c>
      <c r="L216" s="48">
        <v>113.5</v>
      </c>
      <c r="M216" s="48">
        <v>17</v>
      </c>
      <c r="N216" s="48">
        <v>374</v>
      </c>
      <c r="O216" s="48">
        <v>80</v>
      </c>
      <c r="P216" s="48">
        <v>10</v>
      </c>
      <c r="Q216" s="48">
        <v>211</v>
      </c>
      <c r="R216" s="48">
        <v>87</v>
      </c>
      <c r="S216" s="48">
        <v>8</v>
      </c>
      <c r="T216" s="48">
        <v>268</v>
      </c>
      <c r="U216" s="48">
        <v>78</v>
      </c>
      <c r="V216" s="48">
        <v>4</v>
      </c>
      <c r="W216" s="48">
        <v>133</v>
      </c>
      <c r="X216" s="48">
        <v>574.5</v>
      </c>
      <c r="Y216" s="48">
        <v>10</v>
      </c>
      <c r="Z216" s="48">
        <v>213</v>
      </c>
    </row>
    <row r="217" spans="1:26" ht="15" hidden="1" customHeight="1">
      <c r="A217" s="48" t="s">
        <v>523</v>
      </c>
      <c r="B217" s="48" t="s">
        <v>523</v>
      </c>
      <c r="C217" s="48" t="s">
        <v>524</v>
      </c>
      <c r="D217" s="48" t="s">
        <v>50</v>
      </c>
      <c r="E217" s="48" t="s">
        <v>150</v>
      </c>
      <c r="F217" s="48">
        <v>104</v>
      </c>
      <c r="G217" s="48">
        <v>25</v>
      </c>
      <c r="H217" s="48">
        <v>573</v>
      </c>
      <c r="I217" s="48">
        <v>128</v>
      </c>
      <c r="J217" s="48">
        <v>6</v>
      </c>
      <c r="K217" s="48">
        <v>70</v>
      </c>
      <c r="L217" s="48">
        <v>95.5</v>
      </c>
      <c r="M217" s="48">
        <v>42</v>
      </c>
      <c r="N217" s="48">
        <v>769</v>
      </c>
      <c r="O217" s="48">
        <v>78</v>
      </c>
      <c r="P217" s="48">
        <v>9</v>
      </c>
      <c r="Q217" s="48">
        <v>256</v>
      </c>
      <c r="R217" s="48">
        <v>92</v>
      </c>
      <c r="S217" s="48">
        <v>10</v>
      </c>
      <c r="T217" s="48">
        <v>116</v>
      </c>
      <c r="U217" s="48">
        <v>77</v>
      </c>
      <c r="V217" s="48">
        <v>16</v>
      </c>
      <c r="W217" s="48">
        <v>162</v>
      </c>
      <c r="X217" s="48">
        <v>574.5</v>
      </c>
      <c r="Y217" s="48">
        <v>8</v>
      </c>
      <c r="Z217" s="48">
        <v>213</v>
      </c>
    </row>
    <row r="218" spans="1:26" ht="15" hidden="1" customHeight="1">
      <c r="A218" s="48" t="s">
        <v>525</v>
      </c>
      <c r="B218" s="48" t="s">
        <v>525</v>
      </c>
      <c r="C218" s="48" t="s">
        <v>526</v>
      </c>
      <c r="D218" s="48" t="s">
        <v>50</v>
      </c>
      <c r="E218" s="48" t="s">
        <v>92</v>
      </c>
      <c r="F218" s="48">
        <v>103</v>
      </c>
      <c r="G218" s="48">
        <v>26</v>
      </c>
      <c r="H218" s="48">
        <v>606</v>
      </c>
      <c r="I218" s="48">
        <v>119</v>
      </c>
      <c r="J218" s="48">
        <v>6</v>
      </c>
      <c r="K218" s="48">
        <v>154</v>
      </c>
      <c r="L218" s="48">
        <v>104</v>
      </c>
      <c r="M218" s="48">
        <v>29</v>
      </c>
      <c r="N218" s="48">
        <v>600</v>
      </c>
      <c r="O218" s="48">
        <v>85</v>
      </c>
      <c r="P218" s="48">
        <v>4</v>
      </c>
      <c r="Q218" s="48">
        <v>117</v>
      </c>
      <c r="R218" s="48">
        <v>89</v>
      </c>
      <c r="S218" s="48">
        <v>10</v>
      </c>
      <c r="T218" s="48">
        <v>200</v>
      </c>
      <c r="U218" s="48">
        <v>74</v>
      </c>
      <c r="V218" s="48">
        <v>19</v>
      </c>
      <c r="W218" s="48">
        <v>247</v>
      </c>
      <c r="X218" s="48">
        <v>574</v>
      </c>
      <c r="Y218" s="48">
        <v>7</v>
      </c>
      <c r="Z218" s="48">
        <v>215</v>
      </c>
    </row>
    <row r="219" spans="1:26" ht="15" hidden="1" customHeight="1">
      <c r="A219" s="48" t="s">
        <v>527</v>
      </c>
      <c r="B219" s="48" t="s">
        <v>527</v>
      </c>
      <c r="C219" s="48" t="s">
        <v>528</v>
      </c>
      <c r="D219" s="48" t="s">
        <v>50</v>
      </c>
      <c r="E219" s="48" t="s">
        <v>133</v>
      </c>
      <c r="F219" s="48">
        <v>105</v>
      </c>
      <c r="G219" s="48">
        <v>37</v>
      </c>
      <c r="H219" s="48">
        <v>515</v>
      </c>
      <c r="I219" s="48">
        <v>121</v>
      </c>
      <c r="J219" s="48">
        <v>7</v>
      </c>
      <c r="K219" s="48">
        <v>131</v>
      </c>
      <c r="L219" s="48">
        <v>98</v>
      </c>
      <c r="M219" s="48">
        <v>45</v>
      </c>
      <c r="N219" s="48">
        <v>728</v>
      </c>
      <c r="O219" s="48">
        <v>83</v>
      </c>
      <c r="P219" s="48">
        <v>13</v>
      </c>
      <c r="Q219" s="48">
        <v>153</v>
      </c>
      <c r="R219" s="48">
        <v>87</v>
      </c>
      <c r="S219" s="48">
        <v>21</v>
      </c>
      <c r="T219" s="48">
        <v>268</v>
      </c>
      <c r="U219" s="48">
        <v>80</v>
      </c>
      <c r="V219" s="48">
        <v>10</v>
      </c>
      <c r="W219" s="48">
        <v>85</v>
      </c>
      <c r="X219" s="48">
        <v>574</v>
      </c>
      <c r="Y219" s="48">
        <v>14</v>
      </c>
      <c r="Z219" s="48">
        <v>215</v>
      </c>
    </row>
    <row r="220" spans="1:26" ht="15" hidden="1" customHeight="1">
      <c r="A220" s="48" t="s">
        <v>529</v>
      </c>
      <c r="B220" s="48" t="s">
        <v>529</v>
      </c>
      <c r="C220" s="48" t="s">
        <v>530</v>
      </c>
      <c r="D220" s="48" t="s">
        <v>50</v>
      </c>
      <c r="E220" s="48" t="s">
        <v>122</v>
      </c>
      <c r="F220" s="48">
        <v>100</v>
      </c>
      <c r="G220" s="48">
        <v>49</v>
      </c>
      <c r="H220" s="48">
        <v>715</v>
      </c>
      <c r="I220" s="48">
        <v>117</v>
      </c>
      <c r="J220" s="48">
        <v>16</v>
      </c>
      <c r="K220" s="48">
        <v>174</v>
      </c>
      <c r="L220" s="48">
        <v>114</v>
      </c>
      <c r="M220" s="48">
        <v>34</v>
      </c>
      <c r="N220" s="48">
        <v>356</v>
      </c>
      <c r="O220" s="48">
        <v>90</v>
      </c>
      <c r="P220" s="48">
        <v>4</v>
      </c>
      <c r="Q220" s="48">
        <v>63</v>
      </c>
      <c r="R220" s="48">
        <v>89</v>
      </c>
      <c r="S220" s="48">
        <v>29</v>
      </c>
      <c r="T220" s="48">
        <v>200</v>
      </c>
      <c r="U220" s="48">
        <v>64</v>
      </c>
      <c r="V220" s="48">
        <v>39</v>
      </c>
      <c r="W220" s="48">
        <v>593</v>
      </c>
      <c r="X220" s="48">
        <v>574</v>
      </c>
      <c r="Y220" s="48">
        <v>26</v>
      </c>
      <c r="Z220" s="48">
        <v>215</v>
      </c>
    </row>
    <row r="221" spans="1:26" ht="15" hidden="1" customHeight="1">
      <c r="A221" s="48" t="s">
        <v>531</v>
      </c>
      <c r="B221" s="48" t="s">
        <v>531</v>
      </c>
      <c r="C221" s="48" t="s">
        <v>532</v>
      </c>
      <c r="D221" s="48" t="s">
        <v>50</v>
      </c>
      <c r="E221" s="48" t="s">
        <v>111</v>
      </c>
      <c r="F221" s="48">
        <v>103</v>
      </c>
      <c r="G221" s="48">
        <v>30</v>
      </c>
      <c r="H221" s="48">
        <v>606</v>
      </c>
      <c r="I221" s="48">
        <v>114</v>
      </c>
      <c r="J221" s="48">
        <v>9</v>
      </c>
      <c r="K221" s="48">
        <v>215</v>
      </c>
      <c r="L221" s="48">
        <v>121</v>
      </c>
      <c r="M221" s="48">
        <v>12</v>
      </c>
      <c r="N221" s="48">
        <v>173</v>
      </c>
      <c r="O221" s="48">
        <v>83</v>
      </c>
      <c r="P221" s="48">
        <v>6</v>
      </c>
      <c r="Q221" s="48">
        <v>153</v>
      </c>
      <c r="R221" s="48">
        <v>88</v>
      </c>
      <c r="S221" s="48">
        <v>11</v>
      </c>
      <c r="T221" s="48">
        <v>240</v>
      </c>
      <c r="U221" s="48">
        <v>65</v>
      </c>
      <c r="V221" s="48">
        <v>24</v>
      </c>
      <c r="W221" s="48">
        <v>554</v>
      </c>
      <c r="X221" s="48">
        <v>574</v>
      </c>
      <c r="Y221" s="48">
        <v>8</v>
      </c>
      <c r="Z221" s="48">
        <v>215</v>
      </c>
    </row>
    <row r="222" spans="1:26" ht="15" hidden="1" customHeight="1">
      <c r="A222" s="48" t="s">
        <v>533</v>
      </c>
      <c r="B222" s="48" t="s">
        <v>533</v>
      </c>
      <c r="C222" s="48" t="s">
        <v>534</v>
      </c>
      <c r="D222" s="48" t="s">
        <v>50</v>
      </c>
      <c r="E222" s="48" t="s">
        <v>111</v>
      </c>
      <c r="F222" s="48">
        <v>104</v>
      </c>
      <c r="G222" s="48">
        <v>29</v>
      </c>
      <c r="H222" s="48">
        <v>573</v>
      </c>
      <c r="I222" s="48">
        <v>108</v>
      </c>
      <c r="J222" s="48">
        <v>12</v>
      </c>
      <c r="K222" s="48">
        <v>296</v>
      </c>
      <c r="L222" s="48">
        <v>122</v>
      </c>
      <c r="M222" s="48">
        <v>11</v>
      </c>
      <c r="N222" s="48">
        <v>154</v>
      </c>
      <c r="O222" s="48">
        <v>79</v>
      </c>
      <c r="P222" s="48">
        <v>12</v>
      </c>
      <c r="Q222" s="48">
        <v>236</v>
      </c>
      <c r="R222" s="48">
        <v>91</v>
      </c>
      <c r="S222" s="48">
        <v>9</v>
      </c>
      <c r="T222" s="48">
        <v>151</v>
      </c>
      <c r="U222" s="48">
        <v>70</v>
      </c>
      <c r="V222" s="48">
        <v>16</v>
      </c>
      <c r="W222" s="48">
        <v>380</v>
      </c>
      <c r="X222" s="48">
        <v>574</v>
      </c>
      <c r="Y222" s="48">
        <v>8</v>
      </c>
      <c r="Z222" s="48">
        <v>215</v>
      </c>
    </row>
    <row r="223" spans="1:26" ht="15" hidden="1" customHeight="1">
      <c r="A223" s="48" t="s">
        <v>535</v>
      </c>
      <c r="B223" s="48" t="s">
        <v>535</v>
      </c>
      <c r="C223" s="48" t="s">
        <v>536</v>
      </c>
      <c r="D223" s="48" t="s">
        <v>50</v>
      </c>
      <c r="E223" s="48" t="s">
        <v>111</v>
      </c>
      <c r="F223" s="48">
        <v>99</v>
      </c>
      <c r="G223" s="48">
        <v>43</v>
      </c>
      <c r="H223" s="48">
        <v>754</v>
      </c>
      <c r="I223" s="48">
        <v>129</v>
      </c>
      <c r="J223" s="48">
        <v>2</v>
      </c>
      <c r="K223" s="48">
        <v>63</v>
      </c>
      <c r="L223" s="48">
        <v>104</v>
      </c>
      <c r="M223" s="48">
        <v>33</v>
      </c>
      <c r="N223" s="48">
        <v>600</v>
      </c>
      <c r="O223" s="48">
        <v>90</v>
      </c>
      <c r="P223" s="48">
        <v>2</v>
      </c>
      <c r="Q223" s="48">
        <v>63</v>
      </c>
      <c r="R223" s="48">
        <v>83</v>
      </c>
      <c r="S223" s="48">
        <v>20</v>
      </c>
      <c r="T223" s="48">
        <v>407</v>
      </c>
      <c r="U223" s="48">
        <v>69</v>
      </c>
      <c r="V223" s="48">
        <v>21</v>
      </c>
      <c r="W223" s="48">
        <v>420</v>
      </c>
      <c r="X223" s="48">
        <v>574</v>
      </c>
      <c r="Y223" s="48">
        <v>8</v>
      </c>
      <c r="Z223" s="48">
        <v>215</v>
      </c>
    </row>
    <row r="224" spans="1:26" ht="15" customHeight="1">
      <c r="A224" s="48" t="s">
        <v>537</v>
      </c>
      <c r="B224" s="48" t="s">
        <v>537</v>
      </c>
      <c r="C224" s="48" t="s">
        <v>538</v>
      </c>
      <c r="D224" s="48" t="s">
        <v>50</v>
      </c>
      <c r="E224" s="48" t="s">
        <v>87</v>
      </c>
      <c r="F224" s="48">
        <v>102</v>
      </c>
      <c r="G224" s="48">
        <v>45</v>
      </c>
      <c r="H224" s="48">
        <v>655</v>
      </c>
      <c r="I224" s="48">
        <v>99</v>
      </c>
      <c r="J224" s="48">
        <v>45</v>
      </c>
      <c r="K224" s="48">
        <v>436</v>
      </c>
      <c r="L224" s="48">
        <v>124.5</v>
      </c>
      <c r="M224" s="48">
        <v>28</v>
      </c>
      <c r="N224" s="48">
        <v>103</v>
      </c>
      <c r="O224" s="48">
        <v>83</v>
      </c>
      <c r="P224" s="48">
        <v>32</v>
      </c>
      <c r="Q224" s="48">
        <v>153</v>
      </c>
      <c r="R224" s="48">
        <v>92</v>
      </c>
      <c r="S224" s="48">
        <v>35</v>
      </c>
      <c r="T224" s="48">
        <v>116</v>
      </c>
      <c r="U224" s="48">
        <v>73</v>
      </c>
      <c r="V224" s="48">
        <v>36</v>
      </c>
      <c r="W224" s="48">
        <v>275</v>
      </c>
      <c r="X224" s="48">
        <v>573.5</v>
      </c>
      <c r="Y224" s="48">
        <v>47</v>
      </c>
      <c r="Z224" s="48">
        <v>221</v>
      </c>
    </row>
    <row r="225" spans="1:26" ht="15" hidden="1" customHeight="1">
      <c r="A225" s="48" t="s">
        <v>539</v>
      </c>
      <c r="B225" s="48" t="s">
        <v>539</v>
      </c>
      <c r="C225" s="48" t="s">
        <v>540</v>
      </c>
      <c r="D225" s="48" t="s">
        <v>50</v>
      </c>
      <c r="E225" s="48" t="s">
        <v>150</v>
      </c>
      <c r="F225" s="48">
        <v>114</v>
      </c>
      <c r="G225" s="48">
        <v>6</v>
      </c>
      <c r="H225" s="48">
        <v>170</v>
      </c>
      <c r="I225" s="48">
        <v>110</v>
      </c>
      <c r="J225" s="48">
        <v>22</v>
      </c>
      <c r="K225" s="48">
        <v>264</v>
      </c>
      <c r="L225" s="48">
        <v>110.5</v>
      </c>
      <c r="M225" s="48">
        <v>28</v>
      </c>
      <c r="N225" s="48">
        <v>465</v>
      </c>
      <c r="O225" s="48">
        <v>68</v>
      </c>
      <c r="P225" s="48">
        <v>26</v>
      </c>
      <c r="Q225" s="48">
        <v>474</v>
      </c>
      <c r="R225" s="48">
        <v>92</v>
      </c>
      <c r="S225" s="48">
        <v>10</v>
      </c>
      <c r="T225" s="48">
        <v>116</v>
      </c>
      <c r="U225" s="48">
        <v>79</v>
      </c>
      <c r="V225" s="48">
        <v>10</v>
      </c>
      <c r="W225" s="48">
        <v>103</v>
      </c>
      <c r="X225" s="48">
        <v>573.5</v>
      </c>
      <c r="Y225" s="48">
        <v>9</v>
      </c>
      <c r="Z225" s="48">
        <v>221</v>
      </c>
    </row>
    <row r="226" spans="1:26" ht="15" hidden="1" customHeight="1">
      <c r="A226" s="48" t="s">
        <v>541</v>
      </c>
      <c r="B226" s="48" t="s">
        <v>541</v>
      </c>
      <c r="C226" s="48" t="s">
        <v>542</v>
      </c>
      <c r="D226" s="48" t="s">
        <v>50</v>
      </c>
      <c r="E226" s="48" t="s">
        <v>133</v>
      </c>
      <c r="F226" s="48">
        <v>105</v>
      </c>
      <c r="G226" s="48">
        <v>37</v>
      </c>
      <c r="H226" s="48">
        <v>515</v>
      </c>
      <c r="I226" s="48">
        <v>108</v>
      </c>
      <c r="J226" s="48">
        <v>21</v>
      </c>
      <c r="K226" s="48">
        <v>296</v>
      </c>
      <c r="L226" s="48">
        <v>111.5</v>
      </c>
      <c r="M226" s="48">
        <v>23</v>
      </c>
      <c r="N226" s="48">
        <v>427</v>
      </c>
      <c r="O226" s="48">
        <v>80</v>
      </c>
      <c r="P226" s="48">
        <v>18</v>
      </c>
      <c r="Q226" s="48">
        <v>211</v>
      </c>
      <c r="R226" s="48">
        <v>91</v>
      </c>
      <c r="S226" s="48">
        <v>5</v>
      </c>
      <c r="T226" s="48">
        <v>151</v>
      </c>
      <c r="U226" s="48">
        <v>78</v>
      </c>
      <c r="V226" s="48">
        <v>13</v>
      </c>
      <c r="W226" s="48">
        <v>133</v>
      </c>
      <c r="X226" s="48">
        <v>573.5</v>
      </c>
      <c r="Y226" s="48">
        <v>15</v>
      </c>
      <c r="Z226" s="48">
        <v>221</v>
      </c>
    </row>
    <row r="227" spans="1:26" ht="15" hidden="1" customHeight="1">
      <c r="A227" s="48" t="s">
        <v>543</v>
      </c>
      <c r="B227" s="48" t="s">
        <v>543</v>
      </c>
      <c r="C227" s="48" t="s">
        <v>544</v>
      </c>
      <c r="D227" s="48" t="s">
        <v>50</v>
      </c>
      <c r="E227" s="48" t="s">
        <v>150</v>
      </c>
      <c r="F227" s="48">
        <v>106</v>
      </c>
      <c r="G227" s="48">
        <v>18</v>
      </c>
      <c r="H227" s="48">
        <v>477</v>
      </c>
      <c r="I227" s="48">
        <v>120</v>
      </c>
      <c r="J227" s="48">
        <v>12</v>
      </c>
      <c r="K227" s="48">
        <v>146</v>
      </c>
      <c r="L227" s="48">
        <v>120</v>
      </c>
      <c r="M227" s="48">
        <v>11</v>
      </c>
      <c r="N227" s="48">
        <v>211</v>
      </c>
      <c r="O227" s="48">
        <v>67</v>
      </c>
      <c r="P227" s="48">
        <v>27</v>
      </c>
      <c r="Q227" s="48">
        <v>497</v>
      </c>
      <c r="R227" s="48">
        <v>92</v>
      </c>
      <c r="S227" s="48">
        <v>10</v>
      </c>
      <c r="T227" s="48">
        <v>116</v>
      </c>
      <c r="U227" s="48">
        <v>68</v>
      </c>
      <c r="V227" s="48">
        <v>39</v>
      </c>
      <c r="W227" s="48">
        <v>452</v>
      </c>
      <c r="X227" s="48">
        <v>573</v>
      </c>
      <c r="Y227" s="48">
        <v>10</v>
      </c>
      <c r="Z227" s="48">
        <v>224</v>
      </c>
    </row>
    <row r="228" spans="1:26" ht="15" hidden="1" customHeight="1">
      <c r="A228" s="48" t="s">
        <v>545</v>
      </c>
      <c r="B228" s="48" t="s">
        <v>545</v>
      </c>
      <c r="C228" s="48" t="s">
        <v>546</v>
      </c>
      <c r="D228" s="48" t="s">
        <v>50</v>
      </c>
      <c r="E228" s="48" t="s">
        <v>210</v>
      </c>
      <c r="F228" s="48">
        <v>107</v>
      </c>
      <c r="G228" s="48">
        <v>27</v>
      </c>
      <c r="H228" s="48">
        <v>429</v>
      </c>
      <c r="I228" s="48">
        <v>110</v>
      </c>
      <c r="J228" s="48">
        <v>15</v>
      </c>
      <c r="K228" s="48">
        <v>264</v>
      </c>
      <c r="L228" s="48">
        <v>118</v>
      </c>
      <c r="M228" s="48">
        <v>18</v>
      </c>
      <c r="N228" s="48">
        <v>263</v>
      </c>
      <c r="O228" s="48">
        <v>69</v>
      </c>
      <c r="P228" s="48">
        <v>22</v>
      </c>
      <c r="Q228" s="48">
        <v>452</v>
      </c>
      <c r="R228" s="48">
        <v>87</v>
      </c>
      <c r="S228" s="48">
        <v>18</v>
      </c>
      <c r="T228" s="48">
        <v>268</v>
      </c>
      <c r="U228" s="48">
        <v>82</v>
      </c>
      <c r="V228" s="48">
        <v>2</v>
      </c>
      <c r="W228" s="48">
        <v>46</v>
      </c>
      <c r="X228" s="48">
        <v>573</v>
      </c>
      <c r="Y228" s="48">
        <v>10</v>
      </c>
      <c r="Z228" s="48">
        <v>224</v>
      </c>
    </row>
    <row r="229" spans="1:26" ht="15" hidden="1" customHeight="1">
      <c r="A229" s="48" t="s">
        <v>547</v>
      </c>
      <c r="B229" s="48" t="s">
        <v>547</v>
      </c>
      <c r="C229" s="48" t="s">
        <v>548</v>
      </c>
      <c r="D229" s="48" t="s">
        <v>50</v>
      </c>
      <c r="E229" s="48" t="s">
        <v>249</v>
      </c>
      <c r="F229" s="48">
        <v>111</v>
      </c>
      <c r="G229" s="48">
        <v>24</v>
      </c>
      <c r="H229" s="48">
        <v>271</v>
      </c>
      <c r="I229" s="48">
        <v>124</v>
      </c>
      <c r="J229" s="48">
        <v>3</v>
      </c>
      <c r="K229" s="48">
        <v>101</v>
      </c>
      <c r="L229" s="48">
        <v>122.5</v>
      </c>
      <c r="M229" s="48">
        <v>7</v>
      </c>
      <c r="N229" s="48">
        <v>146</v>
      </c>
      <c r="O229" s="48">
        <v>82</v>
      </c>
      <c r="P229" s="48">
        <v>6</v>
      </c>
      <c r="Q229" s="48">
        <v>171</v>
      </c>
      <c r="R229" s="48">
        <v>70</v>
      </c>
      <c r="S229" s="48">
        <v>36</v>
      </c>
      <c r="T229" s="48">
        <v>787</v>
      </c>
      <c r="U229" s="48">
        <v>63</v>
      </c>
      <c r="V229" s="48">
        <v>27</v>
      </c>
      <c r="W229" s="48">
        <v>625</v>
      </c>
      <c r="X229" s="48">
        <v>572.5</v>
      </c>
      <c r="Y229" s="48">
        <v>11</v>
      </c>
      <c r="Z229" s="48">
        <v>226</v>
      </c>
    </row>
    <row r="230" spans="1:26" ht="15" hidden="1" customHeight="1">
      <c r="A230" s="48" t="s">
        <v>549</v>
      </c>
      <c r="B230" s="48" t="s">
        <v>549</v>
      </c>
      <c r="C230" s="48" t="s">
        <v>550</v>
      </c>
      <c r="D230" s="48" t="s">
        <v>50</v>
      </c>
      <c r="E230" s="48" t="s">
        <v>84</v>
      </c>
      <c r="F230" s="48">
        <v>106</v>
      </c>
      <c r="G230" s="48">
        <v>26</v>
      </c>
      <c r="H230" s="48">
        <v>477</v>
      </c>
      <c r="I230" s="48">
        <v>124</v>
      </c>
      <c r="J230" s="48">
        <v>6</v>
      </c>
      <c r="K230" s="48">
        <v>101</v>
      </c>
      <c r="L230" s="48">
        <v>107</v>
      </c>
      <c r="M230" s="48">
        <v>36</v>
      </c>
      <c r="N230" s="48">
        <v>546</v>
      </c>
      <c r="O230" s="48">
        <v>74</v>
      </c>
      <c r="P230" s="48">
        <v>20</v>
      </c>
      <c r="Q230" s="48">
        <v>345</v>
      </c>
      <c r="R230" s="48">
        <v>83</v>
      </c>
      <c r="S230" s="48">
        <v>20</v>
      </c>
      <c r="T230" s="48">
        <v>407</v>
      </c>
      <c r="U230" s="48">
        <v>78</v>
      </c>
      <c r="V230" s="48">
        <v>6</v>
      </c>
      <c r="W230" s="48">
        <v>133</v>
      </c>
      <c r="X230" s="48">
        <v>572</v>
      </c>
      <c r="Y230" s="48">
        <v>11</v>
      </c>
      <c r="Z230" s="48">
        <v>227</v>
      </c>
    </row>
    <row r="231" spans="1:26" ht="15" hidden="1" customHeight="1">
      <c r="A231" s="48" t="s">
        <v>551</v>
      </c>
      <c r="B231" s="48" t="s">
        <v>551</v>
      </c>
      <c r="C231" s="48" t="s">
        <v>552</v>
      </c>
      <c r="D231" s="48" t="s">
        <v>50</v>
      </c>
      <c r="E231" s="48" t="s">
        <v>210</v>
      </c>
      <c r="F231" s="48">
        <v>97</v>
      </c>
      <c r="G231" s="48">
        <v>50</v>
      </c>
      <c r="H231" s="48">
        <v>795</v>
      </c>
      <c r="I231" s="48">
        <v>116</v>
      </c>
      <c r="J231" s="48">
        <v>7</v>
      </c>
      <c r="K231" s="48">
        <v>186</v>
      </c>
      <c r="L231" s="48">
        <v>96</v>
      </c>
      <c r="M231" s="48">
        <v>44</v>
      </c>
      <c r="N231" s="48">
        <v>762</v>
      </c>
      <c r="O231" s="48">
        <v>91</v>
      </c>
      <c r="P231" s="48">
        <v>1</v>
      </c>
      <c r="Q231" s="48">
        <v>56</v>
      </c>
      <c r="R231" s="48">
        <v>90</v>
      </c>
      <c r="S231" s="48">
        <v>8</v>
      </c>
      <c r="T231" s="48">
        <v>177</v>
      </c>
      <c r="U231" s="48">
        <v>82</v>
      </c>
      <c r="V231" s="48">
        <v>2</v>
      </c>
      <c r="W231" s="48">
        <v>46</v>
      </c>
      <c r="X231" s="48">
        <v>572</v>
      </c>
      <c r="Y231" s="48">
        <v>11</v>
      </c>
      <c r="Z231" s="48">
        <v>227</v>
      </c>
    </row>
    <row r="232" spans="1:26" ht="15" hidden="1" customHeight="1">
      <c r="A232" s="48" t="s">
        <v>553</v>
      </c>
      <c r="B232" s="48" t="s">
        <v>553</v>
      </c>
      <c r="C232" s="48" t="s">
        <v>554</v>
      </c>
      <c r="D232" s="48" t="s">
        <v>50</v>
      </c>
      <c r="E232" s="48" t="s">
        <v>203</v>
      </c>
      <c r="F232" s="48">
        <v>98</v>
      </c>
      <c r="G232" s="48">
        <v>47</v>
      </c>
      <c r="H232" s="48">
        <v>774</v>
      </c>
      <c r="I232" s="48">
        <v>124</v>
      </c>
      <c r="J232" s="48">
        <v>5</v>
      </c>
      <c r="K232" s="48">
        <v>101</v>
      </c>
      <c r="L232" s="48">
        <v>85</v>
      </c>
      <c r="M232" s="48">
        <v>54</v>
      </c>
      <c r="N232" s="48">
        <v>870</v>
      </c>
      <c r="O232" s="48">
        <v>92</v>
      </c>
      <c r="P232" s="48">
        <v>2</v>
      </c>
      <c r="Q232" s="48">
        <v>48</v>
      </c>
      <c r="R232" s="48">
        <v>95</v>
      </c>
      <c r="S232" s="48">
        <v>5</v>
      </c>
      <c r="T232" s="48">
        <v>60</v>
      </c>
      <c r="U232" s="48">
        <v>78</v>
      </c>
      <c r="V232" s="48">
        <v>5</v>
      </c>
      <c r="W232" s="48">
        <v>133</v>
      </c>
      <c r="X232" s="48">
        <v>572</v>
      </c>
      <c r="Y232" s="48">
        <v>12</v>
      </c>
      <c r="Z232" s="48">
        <v>227</v>
      </c>
    </row>
    <row r="233" spans="1:26" ht="15" hidden="1" customHeight="1">
      <c r="A233" s="48" t="s">
        <v>555</v>
      </c>
      <c r="B233" s="48" t="s">
        <v>555</v>
      </c>
      <c r="C233" s="48" t="s">
        <v>556</v>
      </c>
      <c r="D233" s="48" t="s">
        <v>50</v>
      </c>
      <c r="E233" s="48" t="s">
        <v>133</v>
      </c>
      <c r="F233" s="48">
        <v>116</v>
      </c>
      <c r="G233" s="48">
        <v>9</v>
      </c>
      <c r="H233" s="48">
        <v>117</v>
      </c>
      <c r="I233" s="48">
        <v>126</v>
      </c>
      <c r="J233" s="48">
        <v>5</v>
      </c>
      <c r="K233" s="48">
        <v>86</v>
      </c>
      <c r="L233" s="48">
        <v>89</v>
      </c>
      <c r="M233" s="48">
        <v>49</v>
      </c>
      <c r="N233" s="48">
        <v>841</v>
      </c>
      <c r="O233" s="48">
        <v>65</v>
      </c>
      <c r="P233" s="48">
        <v>32</v>
      </c>
      <c r="Q233" s="48">
        <v>539</v>
      </c>
      <c r="R233" s="48">
        <v>92</v>
      </c>
      <c r="S233" s="48">
        <v>3</v>
      </c>
      <c r="T233" s="48">
        <v>116</v>
      </c>
      <c r="U233" s="48">
        <v>83</v>
      </c>
      <c r="V233" s="48">
        <v>5</v>
      </c>
      <c r="W233" s="48">
        <v>30</v>
      </c>
      <c r="X233" s="48">
        <v>571</v>
      </c>
      <c r="Y233" s="48">
        <v>16</v>
      </c>
      <c r="Z233" s="48">
        <v>230</v>
      </c>
    </row>
    <row r="234" spans="1:26" ht="15" hidden="1" customHeight="1">
      <c r="A234" s="48" t="s">
        <v>557</v>
      </c>
      <c r="B234" s="48" t="s">
        <v>557</v>
      </c>
      <c r="C234" s="48" t="s">
        <v>558</v>
      </c>
      <c r="D234" s="48" t="s">
        <v>50</v>
      </c>
      <c r="E234" s="48" t="s">
        <v>97</v>
      </c>
      <c r="F234" s="48">
        <v>111</v>
      </c>
      <c r="G234" s="48">
        <v>16</v>
      </c>
      <c r="H234" s="48">
        <v>271</v>
      </c>
      <c r="I234" s="48">
        <v>125</v>
      </c>
      <c r="J234" s="48">
        <v>6</v>
      </c>
      <c r="K234" s="48">
        <v>94</v>
      </c>
      <c r="L234" s="48">
        <v>94</v>
      </c>
      <c r="M234" s="48">
        <v>44</v>
      </c>
      <c r="N234" s="48">
        <v>783</v>
      </c>
      <c r="O234" s="48">
        <v>80</v>
      </c>
      <c r="P234" s="48">
        <v>9</v>
      </c>
      <c r="Q234" s="48">
        <v>211</v>
      </c>
      <c r="R234" s="48">
        <v>83</v>
      </c>
      <c r="S234" s="48">
        <v>28</v>
      </c>
      <c r="T234" s="48">
        <v>407</v>
      </c>
      <c r="U234" s="48">
        <v>78</v>
      </c>
      <c r="V234" s="48">
        <v>13</v>
      </c>
      <c r="W234" s="48">
        <v>133</v>
      </c>
      <c r="X234" s="48">
        <v>571</v>
      </c>
      <c r="Y234" s="48">
        <v>12</v>
      </c>
      <c r="Z234" s="48">
        <v>230</v>
      </c>
    </row>
    <row r="235" spans="1:26" ht="15" hidden="1" customHeight="1">
      <c r="A235" s="48" t="s">
        <v>559</v>
      </c>
      <c r="B235" s="48" t="s">
        <v>559</v>
      </c>
      <c r="C235" s="48" t="s">
        <v>560</v>
      </c>
      <c r="D235" s="48" t="s">
        <v>50</v>
      </c>
      <c r="E235" s="48" t="s">
        <v>92</v>
      </c>
      <c r="F235" s="48">
        <v>106</v>
      </c>
      <c r="G235" s="48">
        <v>18</v>
      </c>
      <c r="H235" s="48">
        <v>477</v>
      </c>
      <c r="I235" s="48">
        <v>116</v>
      </c>
      <c r="J235" s="48">
        <v>9</v>
      </c>
      <c r="K235" s="48">
        <v>186</v>
      </c>
      <c r="L235" s="48">
        <v>104.5</v>
      </c>
      <c r="M235" s="48">
        <v>28</v>
      </c>
      <c r="N235" s="48">
        <v>593</v>
      </c>
      <c r="O235" s="48">
        <v>74</v>
      </c>
      <c r="P235" s="48">
        <v>18</v>
      </c>
      <c r="Q235" s="48">
        <v>345</v>
      </c>
      <c r="R235" s="48">
        <v>92</v>
      </c>
      <c r="S235" s="48">
        <v>5</v>
      </c>
      <c r="T235" s="48">
        <v>116</v>
      </c>
      <c r="U235" s="48">
        <v>78</v>
      </c>
      <c r="V235" s="48">
        <v>11</v>
      </c>
      <c r="W235" s="48">
        <v>133</v>
      </c>
      <c r="X235" s="48">
        <v>570.5</v>
      </c>
      <c r="Y235" s="48">
        <v>8</v>
      </c>
      <c r="Z235" s="48">
        <v>232</v>
      </c>
    </row>
    <row r="236" spans="1:26" ht="15" hidden="1" customHeight="1">
      <c r="A236" s="48" t="s">
        <v>561</v>
      </c>
      <c r="B236" s="48" t="s">
        <v>561</v>
      </c>
      <c r="C236" s="48" t="s">
        <v>562</v>
      </c>
      <c r="D236" s="48" t="s">
        <v>50</v>
      </c>
      <c r="E236" s="48" t="s">
        <v>150</v>
      </c>
      <c r="F236" s="48">
        <v>97</v>
      </c>
      <c r="G236" s="48">
        <v>43</v>
      </c>
      <c r="H236" s="48">
        <v>795</v>
      </c>
      <c r="I236" s="48">
        <v>128</v>
      </c>
      <c r="J236" s="48">
        <v>6</v>
      </c>
      <c r="K236" s="48">
        <v>70</v>
      </c>
      <c r="L236" s="48">
        <v>107.5</v>
      </c>
      <c r="M236" s="48">
        <v>30</v>
      </c>
      <c r="N236" s="48">
        <v>532</v>
      </c>
      <c r="O236" s="48">
        <v>78</v>
      </c>
      <c r="P236" s="48">
        <v>9</v>
      </c>
      <c r="Q236" s="48">
        <v>256</v>
      </c>
      <c r="R236" s="48">
        <v>87</v>
      </c>
      <c r="S236" s="48">
        <v>17</v>
      </c>
      <c r="T236" s="48">
        <v>268</v>
      </c>
      <c r="U236" s="48">
        <v>73</v>
      </c>
      <c r="V236" s="48">
        <v>29</v>
      </c>
      <c r="W236" s="48">
        <v>275</v>
      </c>
      <c r="X236" s="48">
        <v>570.5</v>
      </c>
      <c r="Y236" s="48">
        <v>11</v>
      </c>
      <c r="Z236" s="48">
        <v>232</v>
      </c>
    </row>
    <row r="237" spans="1:26" ht="15" hidden="1" customHeight="1">
      <c r="A237" s="48" t="s">
        <v>563</v>
      </c>
      <c r="B237" s="48" t="s">
        <v>563</v>
      </c>
      <c r="C237" s="48" t="s">
        <v>564</v>
      </c>
      <c r="D237" s="48" t="s">
        <v>50</v>
      </c>
      <c r="E237" s="48" t="s">
        <v>296</v>
      </c>
      <c r="F237" s="48">
        <v>108</v>
      </c>
      <c r="G237" s="48">
        <v>14</v>
      </c>
      <c r="H237" s="48">
        <v>391</v>
      </c>
      <c r="I237" s="48">
        <v>134</v>
      </c>
      <c r="J237" s="48">
        <v>2</v>
      </c>
      <c r="K237" s="48">
        <v>35</v>
      </c>
      <c r="L237" s="48">
        <v>92.5</v>
      </c>
      <c r="M237" s="48">
        <v>52</v>
      </c>
      <c r="N237" s="48">
        <v>801</v>
      </c>
      <c r="O237" s="48">
        <v>84</v>
      </c>
      <c r="P237" s="48">
        <v>5</v>
      </c>
      <c r="Q237" s="48">
        <v>131</v>
      </c>
      <c r="R237" s="48">
        <v>89</v>
      </c>
      <c r="S237" s="48">
        <v>12</v>
      </c>
      <c r="T237" s="48">
        <v>200</v>
      </c>
      <c r="U237" s="48">
        <v>63</v>
      </c>
      <c r="V237" s="48">
        <v>26</v>
      </c>
      <c r="W237" s="48">
        <v>625</v>
      </c>
      <c r="X237" s="48">
        <v>570.5</v>
      </c>
      <c r="Y237" s="48">
        <v>11</v>
      </c>
      <c r="Z237" s="48">
        <v>232</v>
      </c>
    </row>
    <row r="238" spans="1:26" ht="15" hidden="1" customHeight="1">
      <c r="A238" s="48" t="s">
        <v>565</v>
      </c>
      <c r="B238" s="48" t="s">
        <v>565</v>
      </c>
      <c r="C238" s="48" t="s">
        <v>566</v>
      </c>
      <c r="D238" s="48" t="s">
        <v>50</v>
      </c>
      <c r="E238" s="48" t="s">
        <v>133</v>
      </c>
      <c r="F238" s="48">
        <v>107</v>
      </c>
      <c r="G238" s="48">
        <v>30</v>
      </c>
      <c r="H238" s="48">
        <v>429</v>
      </c>
      <c r="I238" s="48">
        <v>107</v>
      </c>
      <c r="J238" s="48">
        <v>22</v>
      </c>
      <c r="K238" s="48">
        <v>313</v>
      </c>
      <c r="L238" s="48">
        <v>118</v>
      </c>
      <c r="M238" s="48">
        <v>14</v>
      </c>
      <c r="N238" s="48">
        <v>263</v>
      </c>
      <c r="O238" s="48">
        <v>87</v>
      </c>
      <c r="P238" s="48">
        <v>5</v>
      </c>
      <c r="Q238" s="48">
        <v>92</v>
      </c>
      <c r="R238" s="48">
        <v>88</v>
      </c>
      <c r="S238" s="48">
        <v>16</v>
      </c>
      <c r="T238" s="48">
        <v>240</v>
      </c>
      <c r="U238" s="48">
        <v>63</v>
      </c>
      <c r="V238" s="48">
        <v>45</v>
      </c>
      <c r="W238" s="48">
        <v>625</v>
      </c>
      <c r="X238" s="48">
        <v>570</v>
      </c>
      <c r="Y238" s="48">
        <v>17</v>
      </c>
      <c r="Z238" s="48">
        <v>235</v>
      </c>
    </row>
    <row r="239" spans="1:26" ht="15" hidden="1" customHeight="1">
      <c r="A239" s="48" t="s">
        <v>567</v>
      </c>
      <c r="B239" s="48" t="s">
        <v>567</v>
      </c>
      <c r="C239" s="48" t="s">
        <v>568</v>
      </c>
      <c r="D239" s="48" t="s">
        <v>50</v>
      </c>
      <c r="E239" s="48" t="s">
        <v>92</v>
      </c>
      <c r="F239" s="48">
        <v>115</v>
      </c>
      <c r="G239" s="48">
        <v>3</v>
      </c>
      <c r="H239" s="48">
        <v>140</v>
      </c>
      <c r="I239" s="48">
        <v>82</v>
      </c>
      <c r="J239" s="48">
        <v>39</v>
      </c>
      <c r="K239" s="48">
        <v>676</v>
      </c>
      <c r="L239" s="48">
        <v>125</v>
      </c>
      <c r="M239" s="48">
        <v>3</v>
      </c>
      <c r="N239" s="48">
        <v>96</v>
      </c>
      <c r="O239" s="48">
        <v>85</v>
      </c>
      <c r="P239" s="48">
        <v>4</v>
      </c>
      <c r="Q239" s="48">
        <v>117</v>
      </c>
      <c r="R239" s="48">
        <v>84</v>
      </c>
      <c r="S239" s="48">
        <v>23</v>
      </c>
      <c r="T239" s="48">
        <v>379</v>
      </c>
      <c r="U239" s="48">
        <v>79</v>
      </c>
      <c r="V239" s="48">
        <v>9</v>
      </c>
      <c r="W239" s="48">
        <v>103</v>
      </c>
      <c r="X239" s="48">
        <v>570</v>
      </c>
      <c r="Y239" s="48">
        <v>9</v>
      </c>
      <c r="Z239" s="48">
        <v>235</v>
      </c>
    </row>
    <row r="240" spans="1:26" ht="15" hidden="1" customHeight="1">
      <c r="A240" s="48" t="s">
        <v>569</v>
      </c>
      <c r="B240" s="48" t="s">
        <v>569</v>
      </c>
      <c r="C240" s="48" t="s">
        <v>570</v>
      </c>
      <c r="D240" s="48" t="s">
        <v>50</v>
      </c>
      <c r="E240" s="48" t="s">
        <v>97</v>
      </c>
      <c r="F240" s="48">
        <v>104</v>
      </c>
      <c r="G240" s="48">
        <v>35</v>
      </c>
      <c r="H240" s="48">
        <v>573</v>
      </c>
      <c r="I240" s="48">
        <v>85</v>
      </c>
      <c r="J240" s="48">
        <v>36</v>
      </c>
      <c r="K240" s="48">
        <v>643</v>
      </c>
      <c r="L240" s="48">
        <v>133.5</v>
      </c>
      <c r="M240" s="48">
        <v>1</v>
      </c>
      <c r="N240" s="48">
        <v>13</v>
      </c>
      <c r="O240" s="48">
        <v>74</v>
      </c>
      <c r="P240" s="48">
        <v>14</v>
      </c>
      <c r="Q240" s="48">
        <v>345</v>
      </c>
      <c r="R240" s="48">
        <v>99</v>
      </c>
      <c r="S240" s="48">
        <v>1</v>
      </c>
      <c r="T240" s="48">
        <v>13</v>
      </c>
      <c r="U240" s="48">
        <v>74</v>
      </c>
      <c r="V240" s="48">
        <v>20</v>
      </c>
      <c r="W240" s="48">
        <v>247</v>
      </c>
      <c r="X240" s="48">
        <v>569.5</v>
      </c>
      <c r="Y240" s="48">
        <v>13</v>
      </c>
      <c r="Z240" s="48">
        <v>237</v>
      </c>
    </row>
    <row r="241" spans="1:26" ht="15" hidden="1" customHeight="1">
      <c r="A241" s="48" t="s">
        <v>571</v>
      </c>
      <c r="B241" s="48" t="s">
        <v>571</v>
      </c>
      <c r="C241" s="48" t="s">
        <v>572</v>
      </c>
      <c r="D241" s="48" t="s">
        <v>50</v>
      </c>
      <c r="E241" s="48" t="s">
        <v>133</v>
      </c>
      <c r="F241" s="48">
        <v>118</v>
      </c>
      <c r="G241" s="48">
        <v>3</v>
      </c>
      <c r="H241" s="48">
        <v>69</v>
      </c>
      <c r="I241" s="48">
        <v>100</v>
      </c>
      <c r="J241" s="48">
        <v>31</v>
      </c>
      <c r="K241" s="48">
        <v>421</v>
      </c>
      <c r="L241" s="48">
        <v>110.5</v>
      </c>
      <c r="M241" s="48">
        <v>26</v>
      </c>
      <c r="N241" s="48">
        <v>465</v>
      </c>
      <c r="O241" s="48">
        <v>85</v>
      </c>
      <c r="P241" s="48">
        <v>8</v>
      </c>
      <c r="Q241" s="48">
        <v>117</v>
      </c>
      <c r="R241" s="48">
        <v>84</v>
      </c>
      <c r="S241" s="48">
        <v>26</v>
      </c>
      <c r="T241" s="48">
        <v>379</v>
      </c>
      <c r="U241" s="48">
        <v>72</v>
      </c>
      <c r="V241" s="48">
        <v>25</v>
      </c>
      <c r="W241" s="48">
        <v>312</v>
      </c>
      <c r="X241" s="48">
        <v>569.5</v>
      </c>
      <c r="Y241" s="48">
        <v>18</v>
      </c>
      <c r="Z241" s="48">
        <v>237</v>
      </c>
    </row>
    <row r="242" spans="1:26" ht="15" customHeight="1">
      <c r="A242" s="48" t="s">
        <v>573</v>
      </c>
      <c r="B242" s="48" t="s">
        <v>573</v>
      </c>
      <c r="C242" s="48" t="s">
        <v>574</v>
      </c>
      <c r="D242" s="48" t="s">
        <v>50</v>
      </c>
      <c r="E242" s="48" t="s">
        <v>87</v>
      </c>
      <c r="F242" s="48">
        <v>100</v>
      </c>
      <c r="G242" s="48">
        <v>49</v>
      </c>
      <c r="H242" s="48">
        <v>715</v>
      </c>
      <c r="I242" s="48">
        <v>115</v>
      </c>
      <c r="J242" s="48">
        <v>36</v>
      </c>
      <c r="K242" s="48">
        <v>195</v>
      </c>
      <c r="L242" s="48">
        <v>122.5</v>
      </c>
      <c r="M242" s="48">
        <v>33</v>
      </c>
      <c r="N242" s="48">
        <v>146</v>
      </c>
      <c r="O242" s="48">
        <v>83</v>
      </c>
      <c r="P242" s="48">
        <v>32</v>
      </c>
      <c r="Q242" s="48">
        <v>153</v>
      </c>
      <c r="R242" s="48">
        <v>92</v>
      </c>
      <c r="S242" s="48">
        <v>35</v>
      </c>
      <c r="T242" s="48">
        <v>116</v>
      </c>
      <c r="U242" s="48">
        <v>57</v>
      </c>
      <c r="V242" s="48">
        <v>49</v>
      </c>
      <c r="W242" s="48">
        <v>770</v>
      </c>
      <c r="X242" s="48">
        <v>569.5</v>
      </c>
      <c r="Y242" s="48">
        <v>48</v>
      </c>
      <c r="Z242" s="48">
        <v>237</v>
      </c>
    </row>
    <row r="243" spans="1:26" ht="15" customHeight="1">
      <c r="A243" s="48" t="s">
        <v>575</v>
      </c>
      <c r="B243" s="48" t="s">
        <v>575</v>
      </c>
      <c r="C243" s="48" t="s">
        <v>576</v>
      </c>
      <c r="D243" s="48" t="s">
        <v>50</v>
      </c>
      <c r="E243" s="48" t="s">
        <v>87</v>
      </c>
      <c r="F243" s="48">
        <v>126</v>
      </c>
      <c r="G243" s="48">
        <v>3</v>
      </c>
      <c r="H243" s="48">
        <v>11</v>
      </c>
      <c r="I243" s="48">
        <v>112</v>
      </c>
      <c r="J243" s="48">
        <v>39</v>
      </c>
      <c r="K243" s="48">
        <v>235</v>
      </c>
      <c r="L243" s="48">
        <v>115</v>
      </c>
      <c r="M243" s="48">
        <v>46</v>
      </c>
      <c r="N243" s="48">
        <v>330</v>
      </c>
      <c r="O243" s="48">
        <v>54</v>
      </c>
      <c r="P243" s="48">
        <v>50</v>
      </c>
      <c r="Q243" s="48">
        <v>766</v>
      </c>
      <c r="R243" s="48">
        <v>96</v>
      </c>
      <c r="S243" s="48">
        <v>23</v>
      </c>
      <c r="T243" s="48">
        <v>45</v>
      </c>
      <c r="U243" s="48">
        <v>66</v>
      </c>
      <c r="V243" s="48">
        <v>43</v>
      </c>
      <c r="W243" s="48">
        <v>519</v>
      </c>
      <c r="X243" s="48">
        <v>569</v>
      </c>
      <c r="Y243" s="48">
        <v>49</v>
      </c>
      <c r="Z243" s="48">
        <v>240</v>
      </c>
    </row>
    <row r="244" spans="1:26" ht="15" hidden="1" customHeight="1">
      <c r="A244" s="48" t="s">
        <v>577</v>
      </c>
      <c r="B244" s="48" t="s">
        <v>577</v>
      </c>
      <c r="C244" s="48" t="s">
        <v>578</v>
      </c>
      <c r="D244" s="48" t="s">
        <v>50</v>
      </c>
      <c r="E244" s="48" t="s">
        <v>122</v>
      </c>
      <c r="F244" s="48">
        <v>104</v>
      </c>
      <c r="G244" s="48">
        <v>41</v>
      </c>
      <c r="H244" s="48">
        <v>573</v>
      </c>
      <c r="I244" s="48">
        <v>118</v>
      </c>
      <c r="J244" s="48">
        <v>15</v>
      </c>
      <c r="K244" s="48">
        <v>162</v>
      </c>
      <c r="L244" s="48">
        <v>115</v>
      </c>
      <c r="M244" s="48">
        <v>31</v>
      </c>
      <c r="N244" s="48">
        <v>330</v>
      </c>
      <c r="O244" s="48">
        <v>81</v>
      </c>
      <c r="P244" s="48">
        <v>19</v>
      </c>
      <c r="Q244" s="48">
        <v>195</v>
      </c>
      <c r="R244" s="48">
        <v>88</v>
      </c>
      <c r="S244" s="48">
        <v>33</v>
      </c>
      <c r="T244" s="48">
        <v>240</v>
      </c>
      <c r="U244" s="48">
        <v>63</v>
      </c>
      <c r="V244" s="48">
        <v>44</v>
      </c>
      <c r="W244" s="48">
        <v>625</v>
      </c>
      <c r="X244" s="48">
        <v>569</v>
      </c>
      <c r="Y244" s="48">
        <v>27</v>
      </c>
      <c r="Z244" s="48">
        <v>240</v>
      </c>
    </row>
    <row r="245" spans="1:26" ht="15" hidden="1" customHeight="1">
      <c r="A245" s="48" t="s">
        <v>579</v>
      </c>
      <c r="B245" s="48" t="s">
        <v>579</v>
      </c>
      <c r="C245" s="48" t="s">
        <v>580</v>
      </c>
      <c r="D245" s="48" t="s">
        <v>50</v>
      </c>
      <c r="E245" s="48" t="s">
        <v>122</v>
      </c>
      <c r="F245" s="48">
        <v>116</v>
      </c>
      <c r="G245" s="48">
        <v>11</v>
      </c>
      <c r="H245" s="48">
        <v>117</v>
      </c>
      <c r="I245" s="48">
        <v>95</v>
      </c>
      <c r="J245" s="48">
        <v>41</v>
      </c>
      <c r="K245" s="48">
        <v>501</v>
      </c>
      <c r="L245" s="48">
        <v>114.5</v>
      </c>
      <c r="M245" s="48">
        <v>33</v>
      </c>
      <c r="N245" s="48">
        <v>340</v>
      </c>
      <c r="O245" s="48">
        <v>86</v>
      </c>
      <c r="P245" s="48">
        <v>8</v>
      </c>
      <c r="Q245" s="48">
        <v>101</v>
      </c>
      <c r="R245" s="48">
        <v>87</v>
      </c>
      <c r="S245" s="48">
        <v>38</v>
      </c>
      <c r="T245" s="48">
        <v>268</v>
      </c>
      <c r="U245" s="48">
        <v>70</v>
      </c>
      <c r="V245" s="48">
        <v>28</v>
      </c>
      <c r="W245" s="48">
        <v>380</v>
      </c>
      <c r="X245" s="48">
        <v>568.5</v>
      </c>
      <c r="Y245" s="48">
        <v>28</v>
      </c>
      <c r="Z245" s="48">
        <v>242</v>
      </c>
    </row>
    <row r="246" spans="1:26" ht="15" hidden="1" customHeight="1">
      <c r="A246" s="48" t="s">
        <v>581</v>
      </c>
      <c r="B246" s="48" t="s">
        <v>581</v>
      </c>
      <c r="C246" s="48" t="s">
        <v>582</v>
      </c>
      <c r="D246" s="48" t="s">
        <v>50</v>
      </c>
      <c r="E246" s="48" t="s">
        <v>240</v>
      </c>
      <c r="F246" s="48">
        <v>111</v>
      </c>
      <c r="G246" s="48">
        <v>12</v>
      </c>
      <c r="H246" s="48">
        <v>271</v>
      </c>
      <c r="I246" s="48">
        <v>109</v>
      </c>
      <c r="J246" s="48">
        <v>15</v>
      </c>
      <c r="K246" s="48">
        <v>278</v>
      </c>
      <c r="L246" s="48">
        <v>113.5</v>
      </c>
      <c r="M246" s="48">
        <v>22</v>
      </c>
      <c r="N246" s="48">
        <v>374</v>
      </c>
      <c r="O246" s="48">
        <v>71</v>
      </c>
      <c r="P246" s="48">
        <v>24</v>
      </c>
      <c r="Q246" s="48">
        <v>411</v>
      </c>
      <c r="R246" s="48">
        <v>90</v>
      </c>
      <c r="S246" s="48">
        <v>7</v>
      </c>
      <c r="T246" s="48">
        <v>177</v>
      </c>
      <c r="U246" s="48">
        <v>74</v>
      </c>
      <c r="V246" s="48">
        <v>16</v>
      </c>
      <c r="W246" s="48">
        <v>247</v>
      </c>
      <c r="X246" s="48">
        <v>568.5</v>
      </c>
      <c r="Y246" s="48">
        <v>10</v>
      </c>
      <c r="Z246" s="48">
        <v>242</v>
      </c>
    </row>
    <row r="247" spans="1:26" ht="15" hidden="1" customHeight="1">
      <c r="A247" s="48" t="s">
        <v>583</v>
      </c>
      <c r="B247" s="48" t="s">
        <v>583</v>
      </c>
      <c r="C247" s="48" t="s">
        <v>584</v>
      </c>
      <c r="D247" s="48" t="s">
        <v>50</v>
      </c>
      <c r="E247" s="48" t="s">
        <v>210</v>
      </c>
      <c r="F247" s="48">
        <v>104</v>
      </c>
      <c r="G247" s="48">
        <v>37</v>
      </c>
      <c r="H247" s="48">
        <v>573</v>
      </c>
      <c r="I247" s="48">
        <v>119</v>
      </c>
      <c r="J247" s="48">
        <v>5</v>
      </c>
      <c r="K247" s="48">
        <v>154</v>
      </c>
      <c r="L247" s="48">
        <v>111</v>
      </c>
      <c r="M247" s="48">
        <v>28</v>
      </c>
      <c r="N247" s="48">
        <v>445</v>
      </c>
      <c r="O247" s="48">
        <v>65</v>
      </c>
      <c r="P247" s="48">
        <v>37</v>
      </c>
      <c r="Q247" s="48">
        <v>539</v>
      </c>
      <c r="R247" s="48">
        <v>92</v>
      </c>
      <c r="S247" s="48">
        <v>3</v>
      </c>
      <c r="T247" s="48">
        <v>116</v>
      </c>
      <c r="U247" s="48">
        <v>77</v>
      </c>
      <c r="V247" s="48">
        <v>9</v>
      </c>
      <c r="W247" s="48">
        <v>162</v>
      </c>
      <c r="X247" s="48">
        <v>568</v>
      </c>
      <c r="Y247" s="48">
        <v>12</v>
      </c>
      <c r="Z247" s="48">
        <v>244</v>
      </c>
    </row>
    <row r="248" spans="1:26" ht="15" customHeight="1">
      <c r="A248" s="48" t="s">
        <v>585</v>
      </c>
      <c r="B248" s="48" t="s">
        <v>585</v>
      </c>
      <c r="C248" s="48" t="s">
        <v>586</v>
      </c>
      <c r="D248" s="48" t="s">
        <v>50</v>
      </c>
      <c r="E248" s="48" t="s">
        <v>87</v>
      </c>
      <c r="F248" s="48">
        <v>117</v>
      </c>
      <c r="G248" s="48">
        <v>21</v>
      </c>
      <c r="H248" s="48">
        <v>86</v>
      </c>
      <c r="I248" s="48">
        <v>91</v>
      </c>
      <c r="J248" s="48">
        <v>49</v>
      </c>
      <c r="K248" s="48">
        <v>566</v>
      </c>
      <c r="L248" s="48">
        <v>118</v>
      </c>
      <c r="M248" s="48">
        <v>43</v>
      </c>
      <c r="N248" s="48">
        <v>263</v>
      </c>
      <c r="O248" s="48">
        <v>82</v>
      </c>
      <c r="P248" s="48">
        <v>36</v>
      </c>
      <c r="Q248" s="48">
        <v>171</v>
      </c>
      <c r="R248" s="48">
        <v>82</v>
      </c>
      <c r="S248" s="48">
        <v>50</v>
      </c>
      <c r="T248" s="48">
        <v>452</v>
      </c>
      <c r="U248" s="48">
        <v>78</v>
      </c>
      <c r="V248" s="48">
        <v>24</v>
      </c>
      <c r="W248" s="48">
        <v>133</v>
      </c>
      <c r="X248" s="48">
        <v>568</v>
      </c>
      <c r="Y248" s="48">
        <v>50</v>
      </c>
      <c r="Z248" s="48">
        <v>244</v>
      </c>
    </row>
    <row r="249" spans="1:26" ht="15" hidden="1" customHeight="1">
      <c r="A249" s="48" t="s">
        <v>587</v>
      </c>
      <c r="B249" s="48" t="s">
        <v>587</v>
      </c>
      <c r="C249" s="48" t="s">
        <v>588</v>
      </c>
      <c r="D249" s="48" t="s">
        <v>50</v>
      </c>
      <c r="E249" s="48" t="s">
        <v>210</v>
      </c>
      <c r="F249" s="48">
        <v>111</v>
      </c>
      <c r="G249" s="48">
        <v>15</v>
      </c>
      <c r="H249" s="48">
        <v>271</v>
      </c>
      <c r="I249" s="48">
        <v>118</v>
      </c>
      <c r="J249" s="48">
        <v>6</v>
      </c>
      <c r="K249" s="48">
        <v>162</v>
      </c>
      <c r="L249" s="48">
        <v>99.5</v>
      </c>
      <c r="M249" s="48">
        <v>41</v>
      </c>
      <c r="N249" s="48">
        <v>694</v>
      </c>
      <c r="O249" s="48">
        <v>85</v>
      </c>
      <c r="P249" s="48">
        <v>7</v>
      </c>
      <c r="Q249" s="48">
        <v>117</v>
      </c>
      <c r="R249" s="48">
        <v>85</v>
      </c>
      <c r="S249" s="48">
        <v>25</v>
      </c>
      <c r="T249" s="48">
        <v>339</v>
      </c>
      <c r="U249" s="48">
        <v>69</v>
      </c>
      <c r="V249" s="48">
        <v>21</v>
      </c>
      <c r="W249" s="48">
        <v>420</v>
      </c>
      <c r="X249" s="48">
        <v>567.5</v>
      </c>
      <c r="Y249" s="48">
        <v>13</v>
      </c>
      <c r="Z249" s="48">
        <v>246</v>
      </c>
    </row>
    <row r="250" spans="1:26" ht="15" hidden="1" customHeight="1">
      <c r="A250" s="48" t="s">
        <v>589</v>
      </c>
      <c r="B250" s="48" t="s">
        <v>589</v>
      </c>
      <c r="C250" s="48" t="s">
        <v>590</v>
      </c>
      <c r="D250" s="48" t="s">
        <v>50</v>
      </c>
      <c r="E250" s="48" t="s">
        <v>150</v>
      </c>
      <c r="F250" s="48">
        <v>89</v>
      </c>
      <c r="G250" s="48">
        <v>52</v>
      </c>
      <c r="H250" s="48">
        <v>909</v>
      </c>
      <c r="I250" s="48">
        <v>109</v>
      </c>
      <c r="J250" s="48">
        <v>24</v>
      </c>
      <c r="K250" s="48">
        <v>278</v>
      </c>
      <c r="L250" s="48">
        <v>122.5</v>
      </c>
      <c r="M250" s="48">
        <v>7</v>
      </c>
      <c r="N250" s="48">
        <v>146</v>
      </c>
      <c r="O250" s="48">
        <v>82</v>
      </c>
      <c r="P250" s="48">
        <v>3</v>
      </c>
      <c r="Q250" s="48">
        <v>171</v>
      </c>
      <c r="R250" s="48">
        <v>86</v>
      </c>
      <c r="S250" s="48">
        <v>23</v>
      </c>
      <c r="T250" s="48">
        <v>304</v>
      </c>
      <c r="U250" s="48">
        <v>78</v>
      </c>
      <c r="V250" s="48">
        <v>15</v>
      </c>
      <c r="W250" s="48">
        <v>133</v>
      </c>
      <c r="X250" s="48">
        <v>566.5</v>
      </c>
      <c r="Y250" s="48">
        <v>12</v>
      </c>
      <c r="Z250" s="48">
        <v>247</v>
      </c>
    </row>
    <row r="251" spans="1:26" ht="15" hidden="1" customHeight="1">
      <c r="A251" s="48" t="s">
        <v>591</v>
      </c>
      <c r="B251" s="48" t="s">
        <v>591</v>
      </c>
      <c r="C251" s="48" t="s">
        <v>592</v>
      </c>
      <c r="D251" s="48" t="s">
        <v>50</v>
      </c>
      <c r="E251" s="48" t="s">
        <v>133</v>
      </c>
      <c r="F251" s="48">
        <v>110</v>
      </c>
      <c r="G251" s="48">
        <v>22</v>
      </c>
      <c r="H251" s="48">
        <v>310</v>
      </c>
      <c r="I251" s="48">
        <v>106</v>
      </c>
      <c r="J251" s="48">
        <v>23</v>
      </c>
      <c r="K251" s="48">
        <v>322</v>
      </c>
      <c r="L251" s="48">
        <v>134</v>
      </c>
      <c r="M251" s="48">
        <v>1</v>
      </c>
      <c r="N251" s="48">
        <v>12</v>
      </c>
      <c r="O251" s="48">
        <v>55</v>
      </c>
      <c r="P251" s="48">
        <v>44</v>
      </c>
      <c r="Q251" s="48">
        <v>748</v>
      </c>
      <c r="R251" s="48">
        <v>88</v>
      </c>
      <c r="S251" s="48">
        <v>16</v>
      </c>
      <c r="T251" s="48">
        <v>240</v>
      </c>
      <c r="U251" s="48">
        <v>73</v>
      </c>
      <c r="V251" s="48">
        <v>20</v>
      </c>
      <c r="W251" s="48">
        <v>275</v>
      </c>
      <c r="X251" s="48">
        <v>566</v>
      </c>
      <c r="Y251" s="48">
        <v>19</v>
      </c>
      <c r="Z251" s="48">
        <v>248</v>
      </c>
    </row>
    <row r="252" spans="1:26" ht="15" hidden="1" customHeight="1">
      <c r="A252" s="48" t="s">
        <v>593</v>
      </c>
      <c r="B252" s="48" t="s">
        <v>593</v>
      </c>
      <c r="C252" s="48" t="s">
        <v>594</v>
      </c>
      <c r="D252" s="48" t="s">
        <v>50</v>
      </c>
      <c r="E252" s="48" t="s">
        <v>150</v>
      </c>
      <c r="F252" s="48">
        <v>105</v>
      </c>
      <c r="G252" s="48">
        <v>20</v>
      </c>
      <c r="H252" s="48">
        <v>515</v>
      </c>
      <c r="I252" s="48">
        <v>117</v>
      </c>
      <c r="J252" s="48">
        <v>14</v>
      </c>
      <c r="K252" s="48">
        <v>174</v>
      </c>
      <c r="L252" s="48">
        <v>100</v>
      </c>
      <c r="M252" s="48">
        <v>40</v>
      </c>
      <c r="N252" s="48">
        <v>680</v>
      </c>
      <c r="O252" s="48">
        <v>75</v>
      </c>
      <c r="P252" s="48">
        <v>15</v>
      </c>
      <c r="Q252" s="48">
        <v>324</v>
      </c>
      <c r="R252" s="48">
        <v>89</v>
      </c>
      <c r="S252" s="48">
        <v>16</v>
      </c>
      <c r="T252" s="48">
        <v>200</v>
      </c>
      <c r="U252" s="48">
        <v>80</v>
      </c>
      <c r="V252" s="48">
        <v>6</v>
      </c>
      <c r="W252" s="48">
        <v>85</v>
      </c>
      <c r="X252" s="48">
        <v>566</v>
      </c>
      <c r="Y252" s="48">
        <v>13</v>
      </c>
      <c r="Z252" s="48">
        <v>248</v>
      </c>
    </row>
    <row r="253" spans="1:26" ht="15" hidden="1" customHeight="1">
      <c r="A253" s="48" t="s">
        <v>595</v>
      </c>
      <c r="B253" s="48" t="s">
        <v>595</v>
      </c>
      <c r="C253" s="48" t="s">
        <v>596</v>
      </c>
      <c r="D253" s="48" t="s">
        <v>50</v>
      </c>
      <c r="E253" s="48" t="s">
        <v>92</v>
      </c>
      <c r="F253" s="48">
        <v>105</v>
      </c>
      <c r="G253" s="48">
        <v>21</v>
      </c>
      <c r="H253" s="48">
        <v>515</v>
      </c>
      <c r="I253" s="48">
        <v>119</v>
      </c>
      <c r="J253" s="48">
        <v>6</v>
      </c>
      <c r="K253" s="48">
        <v>154</v>
      </c>
      <c r="L253" s="48">
        <v>101</v>
      </c>
      <c r="M253" s="48">
        <v>33</v>
      </c>
      <c r="N253" s="48">
        <v>661</v>
      </c>
      <c r="O253" s="48">
        <v>83</v>
      </c>
      <c r="P253" s="48">
        <v>7</v>
      </c>
      <c r="Q253" s="48">
        <v>153</v>
      </c>
      <c r="R253" s="48">
        <v>78</v>
      </c>
      <c r="S253" s="48">
        <v>37</v>
      </c>
      <c r="T253" s="48">
        <v>577</v>
      </c>
      <c r="U253" s="48">
        <v>80</v>
      </c>
      <c r="V253" s="48">
        <v>6</v>
      </c>
      <c r="W253" s="48">
        <v>85</v>
      </c>
      <c r="X253" s="48">
        <v>566</v>
      </c>
      <c r="Y253" s="48">
        <v>10</v>
      </c>
      <c r="Z253" s="48">
        <v>248</v>
      </c>
    </row>
    <row r="254" spans="1:26" ht="15" hidden="1" customHeight="1">
      <c r="A254" s="48" t="s">
        <v>597</v>
      </c>
      <c r="B254" s="48" t="s">
        <v>597</v>
      </c>
      <c r="C254" s="48" t="s">
        <v>598</v>
      </c>
      <c r="D254" s="48" t="s">
        <v>50</v>
      </c>
      <c r="E254" s="48" t="s">
        <v>240</v>
      </c>
      <c r="F254" s="48">
        <v>110</v>
      </c>
      <c r="G254" s="48">
        <v>14</v>
      </c>
      <c r="H254" s="48">
        <v>310</v>
      </c>
      <c r="I254" s="48">
        <v>93</v>
      </c>
      <c r="J254" s="48">
        <v>30</v>
      </c>
      <c r="K254" s="48">
        <v>540</v>
      </c>
      <c r="L254" s="48">
        <v>116</v>
      </c>
      <c r="M254" s="48">
        <v>15</v>
      </c>
      <c r="N254" s="48">
        <v>309</v>
      </c>
      <c r="O254" s="48">
        <v>76</v>
      </c>
      <c r="P254" s="48">
        <v>17</v>
      </c>
      <c r="Q254" s="48">
        <v>302</v>
      </c>
      <c r="R254" s="48">
        <v>93</v>
      </c>
      <c r="S254" s="48">
        <v>3</v>
      </c>
      <c r="T254" s="48">
        <v>93</v>
      </c>
      <c r="U254" s="48">
        <v>78</v>
      </c>
      <c r="V254" s="48">
        <v>10</v>
      </c>
      <c r="W254" s="48">
        <v>133</v>
      </c>
      <c r="X254" s="48">
        <v>566</v>
      </c>
      <c r="Y254" s="48">
        <v>11</v>
      </c>
      <c r="Z254" s="48">
        <v>248</v>
      </c>
    </row>
    <row r="255" spans="1:26" ht="15" hidden="1" customHeight="1">
      <c r="A255" s="48" t="s">
        <v>599</v>
      </c>
      <c r="B255" s="48" t="s">
        <v>599</v>
      </c>
      <c r="C255" s="48" t="s">
        <v>600</v>
      </c>
      <c r="D255" s="48" t="s">
        <v>50</v>
      </c>
      <c r="E255" s="48" t="s">
        <v>150</v>
      </c>
      <c r="F255" s="48">
        <v>97</v>
      </c>
      <c r="G255" s="48">
        <v>43</v>
      </c>
      <c r="H255" s="48">
        <v>795</v>
      </c>
      <c r="I255" s="48">
        <v>120</v>
      </c>
      <c r="J255" s="48">
        <v>12</v>
      </c>
      <c r="K255" s="48">
        <v>146</v>
      </c>
      <c r="L255" s="48">
        <v>104.5</v>
      </c>
      <c r="M255" s="48">
        <v>35</v>
      </c>
      <c r="N255" s="48">
        <v>593</v>
      </c>
      <c r="O255" s="48">
        <v>77</v>
      </c>
      <c r="P255" s="48">
        <v>12</v>
      </c>
      <c r="Q255" s="48">
        <v>278</v>
      </c>
      <c r="R255" s="48">
        <v>87</v>
      </c>
      <c r="S255" s="48">
        <v>17</v>
      </c>
      <c r="T255" s="48">
        <v>268</v>
      </c>
      <c r="U255" s="48">
        <v>80</v>
      </c>
      <c r="V255" s="48">
        <v>6</v>
      </c>
      <c r="W255" s="48">
        <v>85</v>
      </c>
      <c r="X255" s="48">
        <v>565.5</v>
      </c>
      <c r="Y255" s="48">
        <v>14</v>
      </c>
      <c r="Z255" s="48">
        <v>252</v>
      </c>
    </row>
    <row r="256" spans="1:26" ht="15" hidden="1" customHeight="1">
      <c r="A256" s="48" t="s">
        <v>601</v>
      </c>
      <c r="B256" s="48" t="s">
        <v>601</v>
      </c>
      <c r="C256" s="48" t="s">
        <v>602</v>
      </c>
      <c r="D256" s="48" t="s">
        <v>50</v>
      </c>
      <c r="E256" s="48" t="s">
        <v>106</v>
      </c>
      <c r="F256" s="48">
        <v>114</v>
      </c>
      <c r="G256" s="48">
        <v>12</v>
      </c>
      <c r="H256" s="48">
        <v>170</v>
      </c>
      <c r="I256" s="48">
        <v>106</v>
      </c>
      <c r="J256" s="48">
        <v>15</v>
      </c>
      <c r="K256" s="48">
        <v>322</v>
      </c>
      <c r="L256" s="48">
        <v>117.5</v>
      </c>
      <c r="M256" s="48">
        <v>20</v>
      </c>
      <c r="N256" s="48">
        <v>281</v>
      </c>
      <c r="O256" s="48">
        <v>85</v>
      </c>
      <c r="P256" s="48">
        <v>7</v>
      </c>
      <c r="Q256" s="48">
        <v>117</v>
      </c>
      <c r="R256" s="48">
        <v>70</v>
      </c>
      <c r="S256" s="48">
        <v>39</v>
      </c>
      <c r="T256" s="48">
        <v>787</v>
      </c>
      <c r="U256" s="48">
        <v>73</v>
      </c>
      <c r="V256" s="48">
        <v>8</v>
      </c>
      <c r="W256" s="48">
        <v>275</v>
      </c>
      <c r="X256" s="48">
        <v>565.5</v>
      </c>
      <c r="Y256" s="48">
        <v>10</v>
      </c>
      <c r="Z256" s="48">
        <v>252</v>
      </c>
    </row>
    <row r="257" spans="1:26" ht="15" hidden="1" customHeight="1">
      <c r="A257" s="48" t="s">
        <v>603</v>
      </c>
      <c r="B257" s="48" t="s">
        <v>603</v>
      </c>
      <c r="C257" s="48" t="s">
        <v>604</v>
      </c>
      <c r="D257" s="48" t="s">
        <v>50</v>
      </c>
      <c r="E257" s="48" t="s">
        <v>203</v>
      </c>
      <c r="F257" s="48">
        <v>108</v>
      </c>
      <c r="G257" s="48">
        <v>21</v>
      </c>
      <c r="H257" s="48">
        <v>391</v>
      </c>
      <c r="I257" s="48">
        <v>118</v>
      </c>
      <c r="J257" s="48">
        <v>8</v>
      </c>
      <c r="K257" s="48">
        <v>162</v>
      </c>
      <c r="L257" s="48">
        <v>119.5</v>
      </c>
      <c r="M257" s="48">
        <v>9</v>
      </c>
      <c r="N257" s="48">
        <v>229</v>
      </c>
      <c r="O257" s="48">
        <v>69</v>
      </c>
      <c r="P257" s="48">
        <v>27</v>
      </c>
      <c r="Q257" s="48">
        <v>452</v>
      </c>
      <c r="R257" s="48">
        <v>79</v>
      </c>
      <c r="S257" s="48">
        <v>28</v>
      </c>
      <c r="T257" s="48">
        <v>539</v>
      </c>
      <c r="U257" s="48">
        <v>72</v>
      </c>
      <c r="V257" s="48">
        <v>15</v>
      </c>
      <c r="W257" s="48">
        <v>312</v>
      </c>
      <c r="X257" s="48">
        <v>565.5</v>
      </c>
      <c r="Y257" s="48">
        <v>13</v>
      </c>
      <c r="Z257" s="48">
        <v>252</v>
      </c>
    </row>
    <row r="258" spans="1:26" ht="15" hidden="1" customHeight="1">
      <c r="A258" s="48" t="s">
        <v>605</v>
      </c>
      <c r="B258" s="48" t="s">
        <v>605</v>
      </c>
      <c r="C258" s="48" t="s">
        <v>606</v>
      </c>
      <c r="D258" s="48" t="s">
        <v>50</v>
      </c>
      <c r="E258" s="48" t="s">
        <v>169</v>
      </c>
      <c r="F258" s="48">
        <v>99</v>
      </c>
      <c r="G258" s="48">
        <v>51</v>
      </c>
      <c r="H258" s="48">
        <v>754</v>
      </c>
      <c r="I258" s="48">
        <v>124</v>
      </c>
      <c r="J258" s="48">
        <v>6</v>
      </c>
      <c r="K258" s="48">
        <v>101</v>
      </c>
      <c r="L258" s="48">
        <v>103</v>
      </c>
      <c r="M258" s="48">
        <v>38</v>
      </c>
      <c r="N258" s="48">
        <v>630</v>
      </c>
      <c r="O258" s="48">
        <v>75</v>
      </c>
      <c r="P258" s="48">
        <v>19</v>
      </c>
      <c r="Q258" s="48">
        <v>324</v>
      </c>
      <c r="R258" s="48">
        <v>88</v>
      </c>
      <c r="S258" s="48">
        <v>10</v>
      </c>
      <c r="T258" s="48">
        <v>240</v>
      </c>
      <c r="U258" s="48">
        <v>76</v>
      </c>
      <c r="V258" s="48">
        <v>9</v>
      </c>
      <c r="W258" s="48">
        <v>194</v>
      </c>
      <c r="X258" s="48">
        <v>565</v>
      </c>
      <c r="Y258" s="48">
        <v>12</v>
      </c>
      <c r="Z258" s="48">
        <v>255</v>
      </c>
    </row>
    <row r="259" spans="1:26" ht="15" hidden="1" customHeight="1">
      <c r="A259" s="48" t="s">
        <v>607</v>
      </c>
      <c r="B259" s="48" t="s">
        <v>607</v>
      </c>
      <c r="C259" s="48" t="s">
        <v>608</v>
      </c>
      <c r="D259" s="48" t="s">
        <v>50</v>
      </c>
      <c r="E259" s="48" t="s">
        <v>133</v>
      </c>
      <c r="F259" s="48">
        <v>108</v>
      </c>
      <c r="G259" s="48">
        <v>25</v>
      </c>
      <c r="H259" s="48">
        <v>391</v>
      </c>
      <c r="I259" s="48">
        <v>119</v>
      </c>
      <c r="J259" s="48">
        <v>9</v>
      </c>
      <c r="K259" s="48">
        <v>154</v>
      </c>
      <c r="L259" s="48">
        <v>105</v>
      </c>
      <c r="M259" s="48">
        <v>34</v>
      </c>
      <c r="N259" s="48">
        <v>578</v>
      </c>
      <c r="O259" s="48">
        <v>77</v>
      </c>
      <c r="P259" s="48">
        <v>24</v>
      </c>
      <c r="Q259" s="48">
        <v>278</v>
      </c>
      <c r="R259" s="48">
        <v>89</v>
      </c>
      <c r="S259" s="48">
        <v>10</v>
      </c>
      <c r="T259" s="48">
        <v>200</v>
      </c>
      <c r="U259" s="48">
        <v>67</v>
      </c>
      <c r="V259" s="48">
        <v>35</v>
      </c>
      <c r="W259" s="48">
        <v>489</v>
      </c>
      <c r="X259" s="48">
        <v>565</v>
      </c>
      <c r="Y259" s="48">
        <v>20</v>
      </c>
      <c r="Z259" s="48">
        <v>255</v>
      </c>
    </row>
    <row r="260" spans="1:26" ht="15" hidden="1" customHeight="1">
      <c r="A260" s="48" t="s">
        <v>609</v>
      </c>
      <c r="B260" s="48" t="s">
        <v>609</v>
      </c>
      <c r="C260" s="48" t="s">
        <v>610</v>
      </c>
      <c r="D260" s="48" t="s">
        <v>50</v>
      </c>
      <c r="E260" s="48" t="s">
        <v>92</v>
      </c>
      <c r="F260" s="48">
        <v>110</v>
      </c>
      <c r="G260" s="48">
        <v>10</v>
      </c>
      <c r="H260" s="48">
        <v>310</v>
      </c>
      <c r="I260" s="48">
        <v>101</v>
      </c>
      <c r="J260" s="48">
        <v>20</v>
      </c>
      <c r="K260" s="48">
        <v>403</v>
      </c>
      <c r="L260" s="48">
        <v>108</v>
      </c>
      <c r="M260" s="48">
        <v>23</v>
      </c>
      <c r="N260" s="48">
        <v>519</v>
      </c>
      <c r="O260" s="48">
        <v>75</v>
      </c>
      <c r="P260" s="48">
        <v>16</v>
      </c>
      <c r="Q260" s="48">
        <v>324</v>
      </c>
      <c r="R260" s="48">
        <v>85</v>
      </c>
      <c r="S260" s="48">
        <v>17</v>
      </c>
      <c r="T260" s="48">
        <v>339</v>
      </c>
      <c r="U260" s="48">
        <v>86</v>
      </c>
      <c r="V260" s="48">
        <v>1</v>
      </c>
      <c r="W260" s="48">
        <v>7</v>
      </c>
      <c r="X260" s="48">
        <v>565</v>
      </c>
      <c r="Y260" s="48">
        <v>11</v>
      </c>
      <c r="Z260" s="48">
        <v>255</v>
      </c>
    </row>
    <row r="261" spans="1:26" ht="15" hidden="1" customHeight="1">
      <c r="A261" s="48" t="s">
        <v>611</v>
      </c>
      <c r="B261" s="48" t="s">
        <v>611</v>
      </c>
      <c r="C261" s="48" t="s">
        <v>612</v>
      </c>
      <c r="D261" s="48" t="s">
        <v>50</v>
      </c>
      <c r="E261" s="48" t="s">
        <v>122</v>
      </c>
      <c r="F261" s="48">
        <v>115</v>
      </c>
      <c r="G261" s="48">
        <v>13</v>
      </c>
      <c r="H261" s="48">
        <v>140</v>
      </c>
      <c r="I261" s="48">
        <v>99</v>
      </c>
      <c r="J261" s="48">
        <v>38</v>
      </c>
      <c r="K261" s="48">
        <v>436</v>
      </c>
      <c r="L261" s="48">
        <v>119</v>
      </c>
      <c r="M261" s="48">
        <v>20</v>
      </c>
      <c r="N261" s="48">
        <v>237</v>
      </c>
      <c r="O261" s="48">
        <v>67</v>
      </c>
      <c r="P261" s="48">
        <v>38</v>
      </c>
      <c r="Q261" s="48">
        <v>497</v>
      </c>
      <c r="R261" s="48">
        <v>92</v>
      </c>
      <c r="S261" s="48">
        <v>20</v>
      </c>
      <c r="T261" s="48">
        <v>116</v>
      </c>
      <c r="U261" s="48">
        <v>73</v>
      </c>
      <c r="V261" s="48">
        <v>17</v>
      </c>
      <c r="W261" s="48">
        <v>275</v>
      </c>
      <c r="X261" s="48">
        <v>565</v>
      </c>
      <c r="Y261" s="48">
        <v>29</v>
      </c>
      <c r="Z261" s="48">
        <v>255</v>
      </c>
    </row>
    <row r="262" spans="1:26" ht="15" hidden="1" customHeight="1">
      <c r="A262" s="48" t="s">
        <v>613</v>
      </c>
      <c r="B262" s="48" t="s">
        <v>613</v>
      </c>
      <c r="C262" s="48" t="s">
        <v>614</v>
      </c>
      <c r="D262" s="48" t="s">
        <v>50</v>
      </c>
      <c r="E262" s="48" t="s">
        <v>217</v>
      </c>
      <c r="F262" s="48">
        <v>113</v>
      </c>
      <c r="G262" s="48">
        <v>13</v>
      </c>
      <c r="H262" s="48">
        <v>196</v>
      </c>
      <c r="I262" s="48">
        <v>128</v>
      </c>
      <c r="J262" s="48">
        <v>2</v>
      </c>
      <c r="K262" s="48">
        <v>70</v>
      </c>
      <c r="L262" s="48">
        <v>93.5</v>
      </c>
      <c r="M262" s="48">
        <v>44</v>
      </c>
      <c r="N262" s="48">
        <v>790</v>
      </c>
      <c r="O262" s="48">
        <v>71</v>
      </c>
      <c r="P262" s="48">
        <v>26</v>
      </c>
      <c r="Q262" s="48">
        <v>411</v>
      </c>
      <c r="R262" s="48">
        <v>83</v>
      </c>
      <c r="S262" s="48">
        <v>17</v>
      </c>
      <c r="T262" s="48">
        <v>407</v>
      </c>
      <c r="U262" s="48">
        <v>76</v>
      </c>
      <c r="V262" s="48">
        <v>7</v>
      </c>
      <c r="W262" s="48">
        <v>194</v>
      </c>
      <c r="X262" s="48">
        <v>564.5</v>
      </c>
      <c r="Y262" s="48">
        <v>11</v>
      </c>
      <c r="Z262" s="48">
        <v>259</v>
      </c>
    </row>
    <row r="263" spans="1:26" ht="15" hidden="1" customHeight="1">
      <c r="A263" s="48" t="s">
        <v>615</v>
      </c>
      <c r="B263" s="48" t="s">
        <v>615</v>
      </c>
      <c r="C263" s="48" t="s">
        <v>616</v>
      </c>
      <c r="D263" s="48" t="s">
        <v>50</v>
      </c>
      <c r="E263" s="48" t="s">
        <v>169</v>
      </c>
      <c r="F263" s="48">
        <v>108</v>
      </c>
      <c r="G263" s="48">
        <v>25</v>
      </c>
      <c r="H263" s="48">
        <v>391</v>
      </c>
      <c r="I263" s="48">
        <v>112</v>
      </c>
      <c r="J263" s="48">
        <v>15</v>
      </c>
      <c r="K263" s="48">
        <v>235</v>
      </c>
      <c r="L263" s="48">
        <v>99.5</v>
      </c>
      <c r="M263" s="48">
        <v>41</v>
      </c>
      <c r="N263" s="48">
        <v>694</v>
      </c>
      <c r="O263" s="48">
        <v>83</v>
      </c>
      <c r="P263" s="48">
        <v>9</v>
      </c>
      <c r="Q263" s="48">
        <v>153</v>
      </c>
      <c r="R263" s="48">
        <v>92</v>
      </c>
      <c r="S263" s="48">
        <v>4</v>
      </c>
      <c r="T263" s="48">
        <v>116</v>
      </c>
      <c r="U263" s="48">
        <v>70</v>
      </c>
      <c r="V263" s="48">
        <v>22</v>
      </c>
      <c r="W263" s="48">
        <v>380</v>
      </c>
      <c r="X263" s="48">
        <v>564.5</v>
      </c>
      <c r="Y263" s="48">
        <v>13</v>
      </c>
      <c r="Z263" s="48">
        <v>259</v>
      </c>
    </row>
    <row r="264" spans="1:26" ht="15" hidden="1" customHeight="1">
      <c r="A264" s="48" t="s">
        <v>617</v>
      </c>
      <c r="B264" s="48" t="s">
        <v>617</v>
      </c>
      <c r="C264" s="48" t="s">
        <v>618</v>
      </c>
      <c r="D264" s="48" t="s">
        <v>50</v>
      </c>
      <c r="E264" s="48" t="s">
        <v>240</v>
      </c>
      <c r="F264" s="48">
        <v>120</v>
      </c>
      <c r="G264" s="48">
        <v>2</v>
      </c>
      <c r="H264" s="48">
        <v>43</v>
      </c>
      <c r="I264" s="48">
        <v>93</v>
      </c>
      <c r="J264" s="48">
        <v>30</v>
      </c>
      <c r="K264" s="48">
        <v>540</v>
      </c>
      <c r="L264" s="48">
        <v>133</v>
      </c>
      <c r="M264" s="48">
        <v>1</v>
      </c>
      <c r="N264" s="48">
        <v>17</v>
      </c>
      <c r="O264" s="48">
        <v>73</v>
      </c>
      <c r="P264" s="48">
        <v>20</v>
      </c>
      <c r="Q264" s="48">
        <v>370</v>
      </c>
      <c r="R264" s="48">
        <v>73</v>
      </c>
      <c r="S264" s="48">
        <v>40</v>
      </c>
      <c r="T264" s="48">
        <v>717</v>
      </c>
      <c r="U264" s="48">
        <v>72</v>
      </c>
      <c r="V264" s="48">
        <v>20</v>
      </c>
      <c r="W264" s="48">
        <v>312</v>
      </c>
      <c r="X264" s="48">
        <v>564</v>
      </c>
      <c r="Y264" s="48">
        <v>12</v>
      </c>
      <c r="Z264" s="48">
        <v>261</v>
      </c>
    </row>
    <row r="265" spans="1:26" ht="15" hidden="1" customHeight="1">
      <c r="A265" s="48" t="s">
        <v>619</v>
      </c>
      <c r="B265" s="48" t="s">
        <v>619</v>
      </c>
      <c r="C265" s="48" t="s">
        <v>620</v>
      </c>
      <c r="D265" s="48" t="s">
        <v>50</v>
      </c>
      <c r="E265" s="48" t="s">
        <v>122</v>
      </c>
      <c r="F265" s="48">
        <v>115</v>
      </c>
      <c r="G265" s="48">
        <v>13</v>
      </c>
      <c r="H265" s="48">
        <v>140</v>
      </c>
      <c r="I265" s="48">
        <v>111</v>
      </c>
      <c r="J265" s="48">
        <v>20</v>
      </c>
      <c r="K265" s="48">
        <v>247</v>
      </c>
      <c r="L265" s="48">
        <v>120.5</v>
      </c>
      <c r="M265" s="48">
        <v>16</v>
      </c>
      <c r="N265" s="48">
        <v>192</v>
      </c>
      <c r="O265" s="48">
        <v>53</v>
      </c>
      <c r="P265" s="48">
        <v>50</v>
      </c>
      <c r="Q265" s="48">
        <v>786</v>
      </c>
      <c r="R265" s="48">
        <v>92</v>
      </c>
      <c r="S265" s="48">
        <v>20</v>
      </c>
      <c r="T265" s="48">
        <v>116</v>
      </c>
      <c r="U265" s="48">
        <v>72</v>
      </c>
      <c r="V265" s="48">
        <v>20</v>
      </c>
      <c r="W265" s="48">
        <v>312</v>
      </c>
      <c r="X265" s="48">
        <v>563.5</v>
      </c>
      <c r="Y265" s="48">
        <v>30</v>
      </c>
      <c r="Z265" s="48">
        <v>262</v>
      </c>
    </row>
    <row r="266" spans="1:26" ht="15" hidden="1" customHeight="1">
      <c r="A266" s="48" t="s">
        <v>621</v>
      </c>
      <c r="B266" s="48" t="s">
        <v>621</v>
      </c>
      <c r="C266" s="48" t="s">
        <v>622</v>
      </c>
      <c r="D266" s="48" t="s">
        <v>50</v>
      </c>
      <c r="E266" s="48" t="s">
        <v>92</v>
      </c>
      <c r="F266" s="48">
        <v>109</v>
      </c>
      <c r="G266" s="48">
        <v>13</v>
      </c>
      <c r="H266" s="48">
        <v>353</v>
      </c>
      <c r="I266" s="48">
        <v>99</v>
      </c>
      <c r="J266" s="48">
        <v>23</v>
      </c>
      <c r="K266" s="48">
        <v>436</v>
      </c>
      <c r="L266" s="48">
        <v>130.5</v>
      </c>
      <c r="M266" s="48">
        <v>2</v>
      </c>
      <c r="N266" s="48">
        <v>31</v>
      </c>
      <c r="O266" s="48">
        <v>63</v>
      </c>
      <c r="P266" s="48">
        <v>35</v>
      </c>
      <c r="Q266" s="48">
        <v>581</v>
      </c>
      <c r="R266" s="48">
        <v>89</v>
      </c>
      <c r="S266" s="48">
        <v>10</v>
      </c>
      <c r="T266" s="48">
        <v>200</v>
      </c>
      <c r="U266" s="48">
        <v>73</v>
      </c>
      <c r="V266" s="48">
        <v>21</v>
      </c>
      <c r="W266" s="48">
        <v>275</v>
      </c>
      <c r="X266" s="48">
        <v>563.5</v>
      </c>
      <c r="Y266" s="48">
        <v>12</v>
      </c>
      <c r="Z266" s="48">
        <v>262</v>
      </c>
    </row>
    <row r="267" spans="1:26" ht="15" hidden="1" customHeight="1">
      <c r="A267" s="48" t="s">
        <v>623</v>
      </c>
      <c r="B267" s="48" t="s">
        <v>623</v>
      </c>
      <c r="C267" s="48" t="s">
        <v>624</v>
      </c>
      <c r="D267" s="48" t="s">
        <v>50</v>
      </c>
      <c r="E267" s="48" t="s">
        <v>133</v>
      </c>
      <c r="F267" s="48">
        <v>91</v>
      </c>
      <c r="G267" s="48">
        <v>54</v>
      </c>
      <c r="H267" s="48">
        <v>890</v>
      </c>
      <c r="I267" s="48">
        <v>120</v>
      </c>
      <c r="J267" s="48">
        <v>8</v>
      </c>
      <c r="K267" s="48">
        <v>146</v>
      </c>
      <c r="L267" s="48">
        <v>117.5</v>
      </c>
      <c r="M267" s="48">
        <v>15</v>
      </c>
      <c r="N267" s="48">
        <v>281</v>
      </c>
      <c r="O267" s="48">
        <v>81</v>
      </c>
      <c r="P267" s="48">
        <v>16</v>
      </c>
      <c r="Q267" s="48">
        <v>195</v>
      </c>
      <c r="R267" s="48">
        <v>89</v>
      </c>
      <c r="S267" s="48">
        <v>10</v>
      </c>
      <c r="T267" s="48">
        <v>200</v>
      </c>
      <c r="U267" s="48">
        <v>65</v>
      </c>
      <c r="V267" s="48">
        <v>38</v>
      </c>
      <c r="W267" s="48">
        <v>554</v>
      </c>
      <c r="X267" s="48">
        <v>563.5</v>
      </c>
      <c r="Y267" s="48">
        <v>21</v>
      </c>
      <c r="Z267" s="48">
        <v>262</v>
      </c>
    </row>
    <row r="268" spans="1:26" ht="15" hidden="1" customHeight="1">
      <c r="A268" s="48" t="s">
        <v>625</v>
      </c>
      <c r="B268" s="48" t="s">
        <v>625</v>
      </c>
      <c r="C268" s="48" t="s">
        <v>626</v>
      </c>
      <c r="D268" s="48" t="s">
        <v>50</v>
      </c>
      <c r="E268" s="48" t="s">
        <v>150</v>
      </c>
      <c r="F268" s="48">
        <v>104</v>
      </c>
      <c r="G268" s="48">
        <v>25</v>
      </c>
      <c r="H268" s="48">
        <v>573</v>
      </c>
      <c r="I268" s="48">
        <v>129</v>
      </c>
      <c r="J268" s="48">
        <v>5</v>
      </c>
      <c r="K268" s="48">
        <v>63</v>
      </c>
      <c r="L268" s="48">
        <v>101.5</v>
      </c>
      <c r="M268" s="48">
        <v>39</v>
      </c>
      <c r="N268" s="48">
        <v>654</v>
      </c>
      <c r="O268" s="48">
        <v>74</v>
      </c>
      <c r="P268" s="48">
        <v>16</v>
      </c>
      <c r="Q268" s="48">
        <v>345</v>
      </c>
      <c r="R268" s="48">
        <v>83</v>
      </c>
      <c r="S268" s="48">
        <v>29</v>
      </c>
      <c r="T268" s="48">
        <v>407</v>
      </c>
      <c r="U268" s="48">
        <v>72</v>
      </c>
      <c r="V268" s="48">
        <v>33</v>
      </c>
      <c r="W268" s="48">
        <v>312</v>
      </c>
      <c r="X268" s="48">
        <v>563.5</v>
      </c>
      <c r="Y268" s="48">
        <v>15</v>
      </c>
      <c r="Z268" s="48">
        <v>262</v>
      </c>
    </row>
    <row r="269" spans="1:26" ht="15" hidden="1" customHeight="1">
      <c r="A269" s="48" t="s">
        <v>627</v>
      </c>
      <c r="B269" s="48" t="s">
        <v>627</v>
      </c>
      <c r="C269" s="48" t="s">
        <v>628</v>
      </c>
      <c r="D269" s="48" t="s">
        <v>50</v>
      </c>
      <c r="E269" s="48" t="s">
        <v>106</v>
      </c>
      <c r="F269" s="48">
        <v>113</v>
      </c>
      <c r="G269" s="48">
        <v>16</v>
      </c>
      <c r="H269" s="48">
        <v>196</v>
      </c>
      <c r="I269" s="48">
        <v>79</v>
      </c>
      <c r="J269" s="48">
        <v>39</v>
      </c>
      <c r="K269" s="48">
        <v>713</v>
      </c>
      <c r="L269" s="48">
        <v>123.5</v>
      </c>
      <c r="M269" s="48">
        <v>7</v>
      </c>
      <c r="N269" s="48">
        <v>124</v>
      </c>
      <c r="O269" s="48">
        <v>86</v>
      </c>
      <c r="P269" s="48">
        <v>5</v>
      </c>
      <c r="Q269" s="48">
        <v>101</v>
      </c>
      <c r="R269" s="48">
        <v>83</v>
      </c>
      <c r="S269" s="48">
        <v>10</v>
      </c>
      <c r="T269" s="48">
        <v>407</v>
      </c>
      <c r="U269" s="48">
        <v>79</v>
      </c>
      <c r="V269" s="48">
        <v>5</v>
      </c>
      <c r="W269" s="48">
        <v>103</v>
      </c>
      <c r="X269" s="48">
        <v>563.5</v>
      </c>
      <c r="Y269" s="48">
        <v>11</v>
      </c>
      <c r="Z269" s="48">
        <v>262</v>
      </c>
    </row>
    <row r="270" spans="1:26" ht="15" hidden="1" customHeight="1">
      <c r="A270" s="48" t="s">
        <v>629</v>
      </c>
      <c r="B270" s="48" t="s">
        <v>629</v>
      </c>
      <c r="C270" s="48" t="s">
        <v>630</v>
      </c>
      <c r="D270" s="48" t="s">
        <v>50</v>
      </c>
      <c r="E270" s="48" t="s">
        <v>150</v>
      </c>
      <c r="F270" s="48">
        <v>101</v>
      </c>
      <c r="G270" s="48">
        <v>33</v>
      </c>
      <c r="H270" s="48">
        <v>688</v>
      </c>
      <c r="I270" s="48">
        <v>121</v>
      </c>
      <c r="J270" s="48">
        <v>10</v>
      </c>
      <c r="K270" s="48">
        <v>131</v>
      </c>
      <c r="L270" s="48">
        <v>114.5</v>
      </c>
      <c r="M270" s="48">
        <v>18</v>
      </c>
      <c r="N270" s="48">
        <v>340</v>
      </c>
      <c r="O270" s="48">
        <v>71</v>
      </c>
      <c r="P270" s="48">
        <v>20</v>
      </c>
      <c r="Q270" s="48">
        <v>411</v>
      </c>
      <c r="R270" s="48">
        <v>84</v>
      </c>
      <c r="S270" s="48">
        <v>27</v>
      </c>
      <c r="T270" s="48">
        <v>379</v>
      </c>
      <c r="U270" s="48">
        <v>72</v>
      </c>
      <c r="V270" s="48">
        <v>33</v>
      </c>
      <c r="W270" s="48">
        <v>312</v>
      </c>
      <c r="X270" s="48">
        <v>563.5</v>
      </c>
      <c r="Y270" s="48">
        <v>15</v>
      </c>
      <c r="Z270" s="48">
        <v>262</v>
      </c>
    </row>
    <row r="271" spans="1:26" ht="15" hidden="1" customHeight="1">
      <c r="A271" s="48" t="s">
        <v>631</v>
      </c>
      <c r="B271" s="48" t="s">
        <v>631</v>
      </c>
      <c r="C271" s="48" t="s">
        <v>632</v>
      </c>
      <c r="D271" s="48" t="s">
        <v>50</v>
      </c>
      <c r="E271" s="48" t="s">
        <v>111</v>
      </c>
      <c r="F271" s="48">
        <v>113</v>
      </c>
      <c r="G271" s="48">
        <v>10</v>
      </c>
      <c r="H271" s="48">
        <v>196</v>
      </c>
      <c r="I271" s="48">
        <v>98</v>
      </c>
      <c r="J271" s="48">
        <v>21</v>
      </c>
      <c r="K271" s="48">
        <v>458</v>
      </c>
      <c r="L271" s="48">
        <v>124.5</v>
      </c>
      <c r="M271" s="48">
        <v>8</v>
      </c>
      <c r="N271" s="48">
        <v>103</v>
      </c>
      <c r="O271" s="48">
        <v>76</v>
      </c>
      <c r="P271" s="48">
        <v>16</v>
      </c>
      <c r="Q271" s="48">
        <v>302</v>
      </c>
      <c r="R271" s="48">
        <v>82</v>
      </c>
      <c r="S271" s="48">
        <v>21</v>
      </c>
      <c r="T271" s="48">
        <v>452</v>
      </c>
      <c r="U271" s="48">
        <v>70</v>
      </c>
      <c r="V271" s="48">
        <v>16</v>
      </c>
      <c r="W271" s="48">
        <v>380</v>
      </c>
      <c r="X271" s="48">
        <v>563.5</v>
      </c>
      <c r="Y271" s="48">
        <v>11</v>
      </c>
      <c r="Z271" s="48">
        <v>262</v>
      </c>
    </row>
    <row r="272" spans="1:26" ht="15" hidden="1" customHeight="1">
      <c r="A272" s="48" t="s">
        <v>633</v>
      </c>
      <c r="B272" s="48" t="s">
        <v>633</v>
      </c>
      <c r="C272" s="48" t="s">
        <v>634</v>
      </c>
      <c r="D272" s="48" t="s">
        <v>50</v>
      </c>
      <c r="E272" s="48" t="s">
        <v>111</v>
      </c>
      <c r="F272" s="48">
        <v>102</v>
      </c>
      <c r="G272" s="48">
        <v>33</v>
      </c>
      <c r="H272" s="48">
        <v>655</v>
      </c>
      <c r="I272" s="48">
        <v>104</v>
      </c>
      <c r="J272" s="48">
        <v>16</v>
      </c>
      <c r="K272" s="48">
        <v>358</v>
      </c>
      <c r="L272" s="48">
        <v>101</v>
      </c>
      <c r="M272" s="48">
        <v>39</v>
      </c>
      <c r="N272" s="48">
        <v>661</v>
      </c>
      <c r="O272" s="48">
        <v>86</v>
      </c>
      <c r="P272" s="48">
        <v>4</v>
      </c>
      <c r="Q272" s="48">
        <v>101</v>
      </c>
      <c r="R272" s="48">
        <v>92</v>
      </c>
      <c r="S272" s="48">
        <v>5</v>
      </c>
      <c r="T272" s="48">
        <v>116</v>
      </c>
      <c r="U272" s="48">
        <v>78</v>
      </c>
      <c r="V272" s="48">
        <v>4</v>
      </c>
      <c r="W272" s="48">
        <v>133</v>
      </c>
      <c r="X272" s="48">
        <v>563</v>
      </c>
      <c r="Y272" s="48">
        <v>12</v>
      </c>
      <c r="Z272" s="48">
        <v>269</v>
      </c>
    </row>
    <row r="273" spans="1:26" ht="15" hidden="1" customHeight="1">
      <c r="A273" s="48" t="s">
        <v>635</v>
      </c>
      <c r="B273" s="48" t="s">
        <v>635</v>
      </c>
      <c r="C273" s="48" t="s">
        <v>636</v>
      </c>
      <c r="D273" s="48" t="s">
        <v>50</v>
      </c>
      <c r="E273" s="48" t="s">
        <v>169</v>
      </c>
      <c r="F273" s="48">
        <v>109</v>
      </c>
      <c r="G273" s="48">
        <v>20</v>
      </c>
      <c r="H273" s="48">
        <v>353</v>
      </c>
      <c r="I273" s="48">
        <v>122</v>
      </c>
      <c r="J273" s="48">
        <v>7</v>
      </c>
      <c r="K273" s="48">
        <v>116</v>
      </c>
      <c r="L273" s="48">
        <v>119</v>
      </c>
      <c r="M273" s="48">
        <v>13</v>
      </c>
      <c r="N273" s="48">
        <v>237</v>
      </c>
      <c r="O273" s="48">
        <v>63</v>
      </c>
      <c r="P273" s="48">
        <v>30</v>
      </c>
      <c r="Q273" s="48">
        <v>581</v>
      </c>
      <c r="R273" s="48">
        <v>80</v>
      </c>
      <c r="S273" s="48">
        <v>26</v>
      </c>
      <c r="T273" s="48">
        <v>511</v>
      </c>
      <c r="U273" s="48">
        <v>70</v>
      </c>
      <c r="V273" s="48">
        <v>22</v>
      </c>
      <c r="W273" s="48">
        <v>380</v>
      </c>
      <c r="X273" s="48">
        <v>563</v>
      </c>
      <c r="Y273" s="48">
        <v>14</v>
      </c>
      <c r="Z273" s="48">
        <v>269</v>
      </c>
    </row>
    <row r="274" spans="1:26" ht="15" hidden="1" customHeight="1">
      <c r="A274" s="48" t="s">
        <v>637</v>
      </c>
      <c r="B274" s="48" t="s">
        <v>637</v>
      </c>
      <c r="C274" s="48" t="s">
        <v>638</v>
      </c>
      <c r="D274" s="48" t="s">
        <v>50</v>
      </c>
      <c r="E274" s="48" t="s">
        <v>172</v>
      </c>
      <c r="F274" s="48">
        <v>119</v>
      </c>
      <c r="G274" s="48">
        <v>2</v>
      </c>
      <c r="H274" s="48">
        <v>51</v>
      </c>
      <c r="I274" s="48">
        <v>109</v>
      </c>
      <c r="J274" s="48">
        <v>12</v>
      </c>
      <c r="K274" s="48">
        <v>278</v>
      </c>
      <c r="L274" s="48">
        <v>121</v>
      </c>
      <c r="M274" s="48">
        <v>8</v>
      </c>
      <c r="N274" s="48">
        <v>173</v>
      </c>
      <c r="O274" s="48">
        <v>58</v>
      </c>
      <c r="P274" s="48">
        <v>39</v>
      </c>
      <c r="Q274" s="48">
        <v>698</v>
      </c>
      <c r="R274" s="48">
        <v>77</v>
      </c>
      <c r="S274" s="48">
        <v>31</v>
      </c>
      <c r="T274" s="48">
        <v>608</v>
      </c>
      <c r="U274" s="48">
        <v>79</v>
      </c>
      <c r="V274" s="48">
        <v>6</v>
      </c>
      <c r="W274" s="48">
        <v>103</v>
      </c>
      <c r="X274" s="48">
        <v>563</v>
      </c>
      <c r="Y274" s="48">
        <v>10</v>
      </c>
      <c r="Z274" s="48">
        <v>269</v>
      </c>
    </row>
    <row r="275" spans="1:26" ht="15" hidden="1" customHeight="1">
      <c r="A275" s="48" t="s">
        <v>639</v>
      </c>
      <c r="B275" s="48" t="s">
        <v>639</v>
      </c>
      <c r="C275" s="48" t="s">
        <v>640</v>
      </c>
      <c r="D275" s="48" t="s">
        <v>50</v>
      </c>
      <c r="E275" s="48" t="s">
        <v>122</v>
      </c>
      <c r="F275" s="48">
        <v>125</v>
      </c>
      <c r="G275" s="48">
        <v>3</v>
      </c>
      <c r="H275" s="48">
        <v>12</v>
      </c>
      <c r="I275" s="48">
        <v>96</v>
      </c>
      <c r="J275" s="48">
        <v>39</v>
      </c>
      <c r="K275" s="48">
        <v>483</v>
      </c>
      <c r="L275" s="48">
        <v>118.5</v>
      </c>
      <c r="M275" s="48">
        <v>22</v>
      </c>
      <c r="N275" s="48">
        <v>247</v>
      </c>
      <c r="O275" s="48">
        <v>63</v>
      </c>
      <c r="P275" s="48">
        <v>44</v>
      </c>
      <c r="Q275" s="48">
        <v>581</v>
      </c>
      <c r="R275" s="48">
        <v>91</v>
      </c>
      <c r="S275" s="48">
        <v>23</v>
      </c>
      <c r="T275" s="48">
        <v>151</v>
      </c>
      <c r="U275" s="48">
        <v>68</v>
      </c>
      <c r="V275" s="48">
        <v>34</v>
      </c>
      <c r="W275" s="48">
        <v>452</v>
      </c>
      <c r="X275" s="48">
        <v>561.5</v>
      </c>
      <c r="Y275" s="48">
        <v>31</v>
      </c>
      <c r="Z275" s="48">
        <v>272</v>
      </c>
    </row>
    <row r="276" spans="1:26" ht="15" hidden="1" customHeight="1">
      <c r="A276" s="48" t="s">
        <v>641</v>
      </c>
      <c r="B276" s="48" t="s">
        <v>641</v>
      </c>
      <c r="C276" s="48" t="s">
        <v>642</v>
      </c>
      <c r="D276" s="48" t="s">
        <v>50</v>
      </c>
      <c r="E276" s="48" t="s">
        <v>240</v>
      </c>
      <c r="F276" s="48">
        <v>105</v>
      </c>
      <c r="G276" s="48">
        <v>28</v>
      </c>
      <c r="H276" s="48">
        <v>515</v>
      </c>
      <c r="I276" s="48">
        <v>117</v>
      </c>
      <c r="J276" s="48">
        <v>8</v>
      </c>
      <c r="K276" s="48">
        <v>174</v>
      </c>
      <c r="L276" s="48">
        <v>108.5</v>
      </c>
      <c r="M276" s="48">
        <v>31</v>
      </c>
      <c r="N276" s="48">
        <v>508</v>
      </c>
      <c r="O276" s="48">
        <v>75</v>
      </c>
      <c r="P276" s="48">
        <v>18</v>
      </c>
      <c r="Q276" s="48">
        <v>324</v>
      </c>
      <c r="R276" s="48">
        <v>83</v>
      </c>
      <c r="S276" s="48">
        <v>21</v>
      </c>
      <c r="T276" s="48">
        <v>407</v>
      </c>
      <c r="U276" s="48">
        <v>73</v>
      </c>
      <c r="V276" s="48">
        <v>18</v>
      </c>
      <c r="W276" s="48">
        <v>275</v>
      </c>
      <c r="X276" s="48">
        <v>561.5</v>
      </c>
      <c r="Y276" s="48">
        <v>13</v>
      </c>
      <c r="Z276" s="48">
        <v>272</v>
      </c>
    </row>
    <row r="277" spans="1:26" ht="15" hidden="1" customHeight="1">
      <c r="A277" s="48" t="s">
        <v>643</v>
      </c>
      <c r="B277" s="48" t="s">
        <v>643</v>
      </c>
      <c r="C277" s="48" t="s">
        <v>644</v>
      </c>
      <c r="D277" s="48" t="s">
        <v>50</v>
      </c>
      <c r="E277" s="48" t="s">
        <v>169</v>
      </c>
      <c r="F277" s="48">
        <v>109</v>
      </c>
      <c r="G277" s="48">
        <v>20</v>
      </c>
      <c r="H277" s="48">
        <v>353</v>
      </c>
      <c r="I277" s="48">
        <v>122</v>
      </c>
      <c r="J277" s="48">
        <v>7</v>
      </c>
      <c r="K277" s="48">
        <v>116</v>
      </c>
      <c r="L277" s="48">
        <v>106</v>
      </c>
      <c r="M277" s="48">
        <v>34</v>
      </c>
      <c r="N277" s="48">
        <v>558</v>
      </c>
      <c r="O277" s="48">
        <v>75</v>
      </c>
      <c r="P277" s="48">
        <v>19</v>
      </c>
      <c r="Q277" s="48">
        <v>324</v>
      </c>
      <c r="R277" s="48">
        <v>81</v>
      </c>
      <c r="S277" s="48">
        <v>22</v>
      </c>
      <c r="T277" s="48">
        <v>474</v>
      </c>
      <c r="U277" s="48">
        <v>68</v>
      </c>
      <c r="V277" s="48">
        <v>26</v>
      </c>
      <c r="W277" s="48">
        <v>452</v>
      </c>
      <c r="X277" s="48">
        <v>561</v>
      </c>
      <c r="Y277" s="48">
        <v>15</v>
      </c>
      <c r="Z277" s="48">
        <v>274</v>
      </c>
    </row>
    <row r="278" spans="1:26" ht="15" hidden="1" customHeight="1">
      <c r="A278" s="48" t="s">
        <v>645</v>
      </c>
      <c r="B278" s="48" t="s">
        <v>645</v>
      </c>
      <c r="C278" s="48" t="s">
        <v>646</v>
      </c>
      <c r="D278" s="48" t="s">
        <v>50</v>
      </c>
      <c r="E278" s="48" t="s">
        <v>217</v>
      </c>
      <c r="F278" s="48">
        <v>98</v>
      </c>
      <c r="G278" s="48">
        <v>42</v>
      </c>
      <c r="H278" s="48">
        <v>774</v>
      </c>
      <c r="I278" s="48">
        <v>126</v>
      </c>
      <c r="J278" s="48">
        <v>3</v>
      </c>
      <c r="K278" s="48">
        <v>86</v>
      </c>
      <c r="L278" s="48">
        <v>91</v>
      </c>
      <c r="M278" s="48">
        <v>48</v>
      </c>
      <c r="N278" s="48">
        <v>817</v>
      </c>
      <c r="O278" s="48">
        <v>90</v>
      </c>
      <c r="P278" s="48">
        <v>1</v>
      </c>
      <c r="Q278" s="48">
        <v>63</v>
      </c>
      <c r="R278" s="48">
        <v>85</v>
      </c>
      <c r="S278" s="48">
        <v>12</v>
      </c>
      <c r="T278" s="48">
        <v>339</v>
      </c>
      <c r="U278" s="48">
        <v>71</v>
      </c>
      <c r="V278" s="48">
        <v>18</v>
      </c>
      <c r="W278" s="48">
        <v>342</v>
      </c>
      <c r="X278" s="48">
        <v>561</v>
      </c>
      <c r="Y278" s="48">
        <v>12</v>
      </c>
      <c r="Z278" s="48">
        <v>274</v>
      </c>
    </row>
    <row r="279" spans="1:26" ht="15" hidden="1" customHeight="1">
      <c r="A279" s="48" t="s">
        <v>647</v>
      </c>
      <c r="B279" s="48" t="s">
        <v>647</v>
      </c>
      <c r="C279" s="48" t="s">
        <v>648</v>
      </c>
      <c r="D279" s="48" t="s">
        <v>50</v>
      </c>
      <c r="E279" s="48" t="s">
        <v>122</v>
      </c>
      <c r="F279" s="48">
        <v>102</v>
      </c>
      <c r="G279" s="48">
        <v>46</v>
      </c>
      <c r="H279" s="48">
        <v>655</v>
      </c>
      <c r="I279" s="48">
        <v>106</v>
      </c>
      <c r="J279" s="48">
        <v>26</v>
      </c>
      <c r="K279" s="48">
        <v>322</v>
      </c>
      <c r="L279" s="48">
        <v>101</v>
      </c>
      <c r="M279" s="48">
        <v>49</v>
      </c>
      <c r="N279" s="48">
        <v>661</v>
      </c>
      <c r="O279" s="48">
        <v>88</v>
      </c>
      <c r="P279" s="48">
        <v>7</v>
      </c>
      <c r="Q279" s="48">
        <v>87</v>
      </c>
      <c r="R279" s="48">
        <v>94</v>
      </c>
      <c r="S279" s="48">
        <v>12</v>
      </c>
      <c r="T279" s="48">
        <v>78</v>
      </c>
      <c r="U279" s="48">
        <v>69</v>
      </c>
      <c r="V279" s="48">
        <v>32</v>
      </c>
      <c r="W279" s="48">
        <v>420</v>
      </c>
      <c r="X279" s="48">
        <v>560</v>
      </c>
      <c r="Y279" s="48">
        <v>32</v>
      </c>
      <c r="Z279" s="48">
        <v>276</v>
      </c>
    </row>
    <row r="280" spans="1:26" ht="15" hidden="1" customHeight="1">
      <c r="A280" s="48" t="s">
        <v>649</v>
      </c>
      <c r="B280" s="48" t="s">
        <v>649</v>
      </c>
      <c r="C280" s="48" t="s">
        <v>650</v>
      </c>
      <c r="D280" s="48" t="s">
        <v>50</v>
      </c>
      <c r="E280" s="48" t="s">
        <v>296</v>
      </c>
      <c r="F280" s="48">
        <v>111</v>
      </c>
      <c r="G280" s="48">
        <v>6</v>
      </c>
      <c r="H280" s="48">
        <v>271</v>
      </c>
      <c r="I280" s="48">
        <v>105</v>
      </c>
      <c r="J280" s="48">
        <v>18</v>
      </c>
      <c r="K280" s="48">
        <v>340</v>
      </c>
      <c r="L280" s="48">
        <v>104</v>
      </c>
      <c r="M280" s="48">
        <v>33</v>
      </c>
      <c r="N280" s="48">
        <v>600</v>
      </c>
      <c r="O280" s="48">
        <v>82</v>
      </c>
      <c r="P280" s="48">
        <v>6</v>
      </c>
      <c r="Q280" s="48">
        <v>171</v>
      </c>
      <c r="R280" s="48">
        <v>86</v>
      </c>
      <c r="S280" s="48">
        <v>16</v>
      </c>
      <c r="T280" s="48">
        <v>304</v>
      </c>
      <c r="U280" s="48">
        <v>72</v>
      </c>
      <c r="V280" s="48">
        <v>12</v>
      </c>
      <c r="W280" s="48">
        <v>312</v>
      </c>
      <c r="X280" s="48">
        <v>560</v>
      </c>
      <c r="Y280" s="48">
        <v>12</v>
      </c>
      <c r="Z280" s="48">
        <v>276</v>
      </c>
    </row>
    <row r="281" spans="1:26" ht="15" hidden="1" customHeight="1">
      <c r="A281" s="48" t="s">
        <v>651</v>
      </c>
      <c r="B281" s="48" t="s">
        <v>651</v>
      </c>
      <c r="C281" s="48" t="s">
        <v>652</v>
      </c>
      <c r="D281" s="48" t="s">
        <v>50</v>
      </c>
      <c r="E281" s="48" t="s">
        <v>210</v>
      </c>
      <c r="F281" s="48">
        <v>119</v>
      </c>
      <c r="G281" s="48">
        <v>4</v>
      </c>
      <c r="H281" s="48">
        <v>51</v>
      </c>
      <c r="I281" s="48">
        <v>86</v>
      </c>
      <c r="J281" s="48">
        <v>39</v>
      </c>
      <c r="K281" s="48">
        <v>626</v>
      </c>
      <c r="L281" s="48">
        <v>124.5</v>
      </c>
      <c r="M281" s="48">
        <v>5</v>
      </c>
      <c r="N281" s="48">
        <v>103</v>
      </c>
      <c r="O281" s="48">
        <v>78</v>
      </c>
      <c r="P281" s="48">
        <v>10</v>
      </c>
      <c r="Q281" s="48">
        <v>256</v>
      </c>
      <c r="R281" s="48">
        <v>87</v>
      </c>
      <c r="S281" s="48">
        <v>18</v>
      </c>
      <c r="T281" s="48">
        <v>268</v>
      </c>
      <c r="U281" s="48">
        <v>65</v>
      </c>
      <c r="V281" s="48">
        <v>31</v>
      </c>
      <c r="W281" s="48">
        <v>554</v>
      </c>
      <c r="X281" s="48">
        <v>559.5</v>
      </c>
      <c r="Y281" s="48">
        <v>14</v>
      </c>
      <c r="Z281" s="48">
        <v>278</v>
      </c>
    </row>
    <row r="282" spans="1:26" ht="15" hidden="1" customHeight="1">
      <c r="A282" s="48" t="s">
        <v>653</v>
      </c>
      <c r="B282" s="48" t="s">
        <v>653</v>
      </c>
      <c r="C282" s="48" t="s">
        <v>654</v>
      </c>
      <c r="D282" s="48" t="s">
        <v>50</v>
      </c>
      <c r="E282" s="48" t="s">
        <v>240</v>
      </c>
      <c r="F282" s="48">
        <v>104</v>
      </c>
      <c r="G282" s="48">
        <v>34</v>
      </c>
      <c r="H282" s="48">
        <v>573</v>
      </c>
      <c r="I282" s="48">
        <v>112</v>
      </c>
      <c r="J282" s="48">
        <v>13</v>
      </c>
      <c r="K282" s="48">
        <v>235</v>
      </c>
      <c r="L282" s="48">
        <v>107</v>
      </c>
      <c r="M282" s="48">
        <v>34</v>
      </c>
      <c r="N282" s="48">
        <v>546</v>
      </c>
      <c r="O282" s="48">
        <v>70</v>
      </c>
      <c r="P282" s="48">
        <v>27</v>
      </c>
      <c r="Q282" s="48">
        <v>429</v>
      </c>
      <c r="R282" s="48">
        <v>89</v>
      </c>
      <c r="S282" s="48">
        <v>10</v>
      </c>
      <c r="T282" s="48">
        <v>200</v>
      </c>
      <c r="U282" s="48">
        <v>77</v>
      </c>
      <c r="V282" s="48">
        <v>12</v>
      </c>
      <c r="W282" s="48">
        <v>162</v>
      </c>
      <c r="X282" s="48">
        <v>559</v>
      </c>
      <c r="Y282" s="48">
        <v>14</v>
      </c>
      <c r="Z282" s="48">
        <v>279</v>
      </c>
    </row>
    <row r="283" spans="1:26" ht="15" hidden="1" customHeight="1">
      <c r="A283" s="48" t="s">
        <v>655</v>
      </c>
      <c r="B283" s="48" t="s">
        <v>655</v>
      </c>
      <c r="C283" s="48" t="s">
        <v>656</v>
      </c>
      <c r="D283" s="48" t="s">
        <v>50</v>
      </c>
      <c r="E283" s="48" t="s">
        <v>122</v>
      </c>
      <c r="F283" s="48">
        <v>109</v>
      </c>
      <c r="G283" s="48">
        <v>33</v>
      </c>
      <c r="H283" s="48">
        <v>353</v>
      </c>
      <c r="I283" s="48">
        <v>108</v>
      </c>
      <c r="J283" s="48">
        <v>23</v>
      </c>
      <c r="K283" s="48">
        <v>296</v>
      </c>
      <c r="L283" s="48">
        <v>116</v>
      </c>
      <c r="M283" s="48">
        <v>27</v>
      </c>
      <c r="N283" s="48">
        <v>309</v>
      </c>
      <c r="O283" s="48">
        <v>72</v>
      </c>
      <c r="P283" s="48">
        <v>30</v>
      </c>
      <c r="Q283" s="48">
        <v>392</v>
      </c>
      <c r="R283" s="48">
        <v>86</v>
      </c>
      <c r="S283" s="48">
        <v>41</v>
      </c>
      <c r="T283" s="48">
        <v>304</v>
      </c>
      <c r="U283" s="48">
        <v>68</v>
      </c>
      <c r="V283" s="48">
        <v>34</v>
      </c>
      <c r="W283" s="48">
        <v>452</v>
      </c>
      <c r="X283" s="48">
        <v>559</v>
      </c>
      <c r="Y283" s="48">
        <v>33</v>
      </c>
      <c r="Z283" s="48">
        <v>279</v>
      </c>
    </row>
    <row r="284" spans="1:26" ht="15" hidden="1" customHeight="1">
      <c r="A284" s="48" t="s">
        <v>657</v>
      </c>
      <c r="B284" s="48" t="s">
        <v>657</v>
      </c>
      <c r="C284" s="48" t="s">
        <v>658</v>
      </c>
      <c r="D284" s="48" t="s">
        <v>50</v>
      </c>
      <c r="E284" s="48" t="s">
        <v>172</v>
      </c>
      <c r="F284" s="48">
        <v>103</v>
      </c>
      <c r="G284" s="48">
        <v>34</v>
      </c>
      <c r="H284" s="48">
        <v>606</v>
      </c>
      <c r="I284" s="48">
        <v>102</v>
      </c>
      <c r="J284" s="48">
        <v>21</v>
      </c>
      <c r="K284" s="48">
        <v>386</v>
      </c>
      <c r="L284" s="48">
        <v>115</v>
      </c>
      <c r="M284" s="48">
        <v>15</v>
      </c>
      <c r="N284" s="48">
        <v>330</v>
      </c>
      <c r="O284" s="48">
        <v>85</v>
      </c>
      <c r="P284" s="48">
        <v>8</v>
      </c>
      <c r="Q284" s="48">
        <v>117</v>
      </c>
      <c r="R284" s="48">
        <v>84</v>
      </c>
      <c r="S284" s="48">
        <v>17</v>
      </c>
      <c r="T284" s="48">
        <v>379</v>
      </c>
      <c r="U284" s="48">
        <v>70</v>
      </c>
      <c r="V284" s="48">
        <v>19</v>
      </c>
      <c r="W284" s="48">
        <v>380</v>
      </c>
      <c r="X284" s="48">
        <v>559</v>
      </c>
      <c r="Y284" s="48">
        <v>11</v>
      </c>
      <c r="Z284" s="48">
        <v>279</v>
      </c>
    </row>
    <row r="285" spans="1:26" ht="15" hidden="1" customHeight="1">
      <c r="A285" s="48" t="s">
        <v>659</v>
      </c>
      <c r="B285" s="48" t="s">
        <v>659</v>
      </c>
      <c r="C285" s="48" t="s">
        <v>660</v>
      </c>
      <c r="D285" s="48" t="s">
        <v>50</v>
      </c>
      <c r="E285" s="48" t="s">
        <v>92</v>
      </c>
      <c r="F285" s="48">
        <v>98</v>
      </c>
      <c r="G285" s="48">
        <v>41</v>
      </c>
      <c r="H285" s="48">
        <v>774</v>
      </c>
      <c r="I285" s="48">
        <v>103</v>
      </c>
      <c r="J285" s="48">
        <v>13</v>
      </c>
      <c r="K285" s="48">
        <v>374</v>
      </c>
      <c r="L285" s="48">
        <v>102</v>
      </c>
      <c r="M285" s="48">
        <v>32</v>
      </c>
      <c r="N285" s="48">
        <v>642</v>
      </c>
      <c r="O285" s="48">
        <v>81</v>
      </c>
      <c r="P285" s="48">
        <v>10</v>
      </c>
      <c r="Q285" s="48">
        <v>195</v>
      </c>
      <c r="R285" s="48">
        <v>89</v>
      </c>
      <c r="S285" s="48">
        <v>10</v>
      </c>
      <c r="T285" s="48">
        <v>200</v>
      </c>
      <c r="U285" s="48">
        <v>86</v>
      </c>
      <c r="V285" s="48">
        <v>1</v>
      </c>
      <c r="W285" s="48">
        <v>7</v>
      </c>
      <c r="X285" s="48">
        <v>559</v>
      </c>
      <c r="Y285" s="48">
        <v>13</v>
      </c>
      <c r="Z285" s="48">
        <v>279</v>
      </c>
    </row>
    <row r="286" spans="1:26" ht="15" hidden="1" customHeight="1">
      <c r="A286" s="48" t="s">
        <v>661</v>
      </c>
      <c r="B286" s="48" t="s">
        <v>661</v>
      </c>
      <c r="C286" s="48" t="s">
        <v>662</v>
      </c>
      <c r="D286" s="48" t="s">
        <v>50</v>
      </c>
      <c r="E286" s="48" t="s">
        <v>150</v>
      </c>
      <c r="F286" s="48">
        <v>109</v>
      </c>
      <c r="G286" s="48">
        <v>14</v>
      </c>
      <c r="H286" s="48">
        <v>353</v>
      </c>
      <c r="I286" s="48">
        <v>99</v>
      </c>
      <c r="J286" s="48">
        <v>33</v>
      </c>
      <c r="K286" s="48">
        <v>436</v>
      </c>
      <c r="L286" s="48">
        <v>125.5</v>
      </c>
      <c r="M286" s="48">
        <v>5</v>
      </c>
      <c r="N286" s="48">
        <v>87</v>
      </c>
      <c r="O286" s="48">
        <v>59</v>
      </c>
      <c r="P286" s="48">
        <v>40</v>
      </c>
      <c r="Q286" s="48">
        <v>672</v>
      </c>
      <c r="R286" s="48">
        <v>91</v>
      </c>
      <c r="S286" s="48">
        <v>14</v>
      </c>
      <c r="T286" s="48">
        <v>151</v>
      </c>
      <c r="U286" s="48">
        <v>75</v>
      </c>
      <c r="V286" s="48">
        <v>22</v>
      </c>
      <c r="W286" s="48">
        <v>219</v>
      </c>
      <c r="X286" s="48">
        <v>558.5</v>
      </c>
      <c r="Y286" s="48">
        <v>17</v>
      </c>
      <c r="Z286" s="48">
        <v>283</v>
      </c>
    </row>
    <row r="287" spans="1:26" ht="15" hidden="1" customHeight="1">
      <c r="A287" s="48" t="s">
        <v>663</v>
      </c>
      <c r="B287" s="48" t="s">
        <v>663</v>
      </c>
      <c r="C287" s="48" t="s">
        <v>664</v>
      </c>
      <c r="D287" s="48" t="s">
        <v>50</v>
      </c>
      <c r="E287" s="48" t="s">
        <v>122</v>
      </c>
      <c r="F287" s="48">
        <v>108</v>
      </c>
      <c r="G287" s="48">
        <v>36</v>
      </c>
      <c r="H287" s="48">
        <v>391</v>
      </c>
      <c r="I287" s="48">
        <v>83</v>
      </c>
      <c r="J287" s="48">
        <v>49</v>
      </c>
      <c r="K287" s="48">
        <v>667</v>
      </c>
      <c r="L287" s="48">
        <v>127.5</v>
      </c>
      <c r="M287" s="48">
        <v>3</v>
      </c>
      <c r="N287" s="48">
        <v>63</v>
      </c>
      <c r="O287" s="48">
        <v>73</v>
      </c>
      <c r="P287" s="48">
        <v>26</v>
      </c>
      <c r="Q287" s="48">
        <v>370</v>
      </c>
      <c r="R287" s="48">
        <v>93</v>
      </c>
      <c r="S287" s="48">
        <v>14</v>
      </c>
      <c r="T287" s="48">
        <v>93</v>
      </c>
      <c r="U287" s="48">
        <v>74</v>
      </c>
      <c r="V287" s="48">
        <v>16</v>
      </c>
      <c r="W287" s="48">
        <v>247</v>
      </c>
      <c r="X287" s="48">
        <v>558.5</v>
      </c>
      <c r="Y287" s="48">
        <v>34</v>
      </c>
      <c r="Z287" s="48">
        <v>283</v>
      </c>
    </row>
    <row r="288" spans="1:26" ht="15" hidden="1" customHeight="1">
      <c r="A288" s="48" t="s">
        <v>665</v>
      </c>
      <c r="B288" s="48" t="s">
        <v>665</v>
      </c>
      <c r="C288" s="48" t="s">
        <v>666</v>
      </c>
      <c r="D288" s="48" t="s">
        <v>50</v>
      </c>
      <c r="E288" s="48" t="s">
        <v>210</v>
      </c>
      <c r="F288" s="48">
        <v>107</v>
      </c>
      <c r="G288" s="48">
        <v>27</v>
      </c>
      <c r="H288" s="48">
        <v>429</v>
      </c>
      <c r="I288" s="48">
        <v>115</v>
      </c>
      <c r="J288" s="48">
        <v>9</v>
      </c>
      <c r="K288" s="48">
        <v>195</v>
      </c>
      <c r="L288" s="48">
        <v>119.5</v>
      </c>
      <c r="M288" s="48">
        <v>14</v>
      </c>
      <c r="N288" s="48">
        <v>229</v>
      </c>
      <c r="O288" s="48">
        <v>66</v>
      </c>
      <c r="P288" s="48">
        <v>35</v>
      </c>
      <c r="Q288" s="48">
        <v>513</v>
      </c>
      <c r="R288" s="48">
        <v>83</v>
      </c>
      <c r="S288" s="48">
        <v>31</v>
      </c>
      <c r="T288" s="48">
        <v>407</v>
      </c>
      <c r="U288" s="48">
        <v>68</v>
      </c>
      <c r="V288" s="48">
        <v>23</v>
      </c>
      <c r="W288" s="48">
        <v>452</v>
      </c>
      <c r="X288" s="48">
        <v>558.5</v>
      </c>
      <c r="Y288" s="48">
        <v>15</v>
      </c>
      <c r="Z288" s="48">
        <v>283</v>
      </c>
    </row>
    <row r="289" spans="1:26" ht="15" hidden="1" customHeight="1">
      <c r="A289" s="48" t="s">
        <v>667</v>
      </c>
      <c r="B289" s="48" t="s">
        <v>667</v>
      </c>
      <c r="C289" s="48" t="s">
        <v>668</v>
      </c>
      <c r="D289" s="48" t="s">
        <v>50</v>
      </c>
      <c r="E289" s="48" t="s">
        <v>240</v>
      </c>
      <c r="F289" s="48">
        <v>109</v>
      </c>
      <c r="G289" s="48">
        <v>18</v>
      </c>
      <c r="H289" s="48">
        <v>353</v>
      </c>
      <c r="I289" s="48">
        <v>118</v>
      </c>
      <c r="J289" s="48">
        <v>7</v>
      </c>
      <c r="K289" s="48">
        <v>162</v>
      </c>
      <c r="L289" s="48">
        <v>100</v>
      </c>
      <c r="M289" s="48">
        <v>45</v>
      </c>
      <c r="N289" s="48">
        <v>680</v>
      </c>
      <c r="O289" s="48">
        <v>70</v>
      </c>
      <c r="P289" s="48">
        <v>27</v>
      </c>
      <c r="Q289" s="48">
        <v>429</v>
      </c>
      <c r="R289" s="48">
        <v>90</v>
      </c>
      <c r="S289" s="48">
        <v>7</v>
      </c>
      <c r="T289" s="48">
        <v>177</v>
      </c>
      <c r="U289" s="48">
        <v>71</v>
      </c>
      <c r="V289" s="48">
        <v>22</v>
      </c>
      <c r="W289" s="48">
        <v>342</v>
      </c>
      <c r="X289" s="48">
        <v>558</v>
      </c>
      <c r="Y289" s="48">
        <v>15</v>
      </c>
      <c r="Z289" s="48">
        <v>286</v>
      </c>
    </row>
    <row r="290" spans="1:26" ht="15" hidden="1" customHeight="1">
      <c r="A290" s="48" t="s">
        <v>669</v>
      </c>
      <c r="B290" s="48" t="s">
        <v>669</v>
      </c>
      <c r="C290" s="48" t="s">
        <v>670</v>
      </c>
      <c r="D290" s="48" t="s">
        <v>50</v>
      </c>
      <c r="E290" s="48" t="s">
        <v>92</v>
      </c>
      <c r="F290" s="48">
        <v>101</v>
      </c>
      <c r="G290" s="48">
        <v>33</v>
      </c>
      <c r="H290" s="48">
        <v>688</v>
      </c>
      <c r="I290" s="48">
        <v>118</v>
      </c>
      <c r="J290" s="48">
        <v>8</v>
      </c>
      <c r="K290" s="48">
        <v>162</v>
      </c>
      <c r="L290" s="48">
        <v>108</v>
      </c>
      <c r="M290" s="48">
        <v>23</v>
      </c>
      <c r="N290" s="48">
        <v>519</v>
      </c>
      <c r="O290" s="48">
        <v>80</v>
      </c>
      <c r="P290" s="48">
        <v>12</v>
      </c>
      <c r="Q290" s="48">
        <v>211</v>
      </c>
      <c r="R290" s="48">
        <v>79</v>
      </c>
      <c r="S290" s="48">
        <v>31</v>
      </c>
      <c r="T290" s="48">
        <v>539</v>
      </c>
      <c r="U290" s="48">
        <v>72</v>
      </c>
      <c r="V290" s="48">
        <v>23</v>
      </c>
      <c r="W290" s="48">
        <v>312</v>
      </c>
      <c r="X290" s="48">
        <v>558</v>
      </c>
      <c r="Y290" s="48">
        <v>14</v>
      </c>
      <c r="Z290" s="48">
        <v>286</v>
      </c>
    </row>
    <row r="291" spans="1:26" ht="15" hidden="1" customHeight="1">
      <c r="A291" s="48" t="s">
        <v>671</v>
      </c>
      <c r="B291" s="48" t="s">
        <v>671</v>
      </c>
      <c r="C291" s="48" t="s">
        <v>672</v>
      </c>
      <c r="D291" s="48" t="s">
        <v>50</v>
      </c>
      <c r="E291" s="48" t="s">
        <v>150</v>
      </c>
      <c r="F291" s="48">
        <v>119</v>
      </c>
      <c r="G291" s="48">
        <v>1</v>
      </c>
      <c r="H291" s="48">
        <v>51</v>
      </c>
      <c r="I291" s="48">
        <v>114</v>
      </c>
      <c r="J291" s="48">
        <v>16</v>
      </c>
      <c r="K291" s="48">
        <v>215</v>
      </c>
      <c r="L291" s="48">
        <v>104.5</v>
      </c>
      <c r="M291" s="48">
        <v>35</v>
      </c>
      <c r="N291" s="48">
        <v>593</v>
      </c>
      <c r="O291" s="48">
        <v>64</v>
      </c>
      <c r="P291" s="48">
        <v>30</v>
      </c>
      <c r="Q291" s="48">
        <v>559</v>
      </c>
      <c r="R291" s="48">
        <v>82</v>
      </c>
      <c r="S291" s="48">
        <v>31</v>
      </c>
      <c r="T291" s="48">
        <v>452</v>
      </c>
      <c r="U291" s="48">
        <v>74</v>
      </c>
      <c r="V291" s="48">
        <v>24</v>
      </c>
      <c r="W291" s="48">
        <v>247</v>
      </c>
      <c r="X291" s="48">
        <v>557.5</v>
      </c>
      <c r="Y291" s="48">
        <v>18</v>
      </c>
      <c r="Z291" s="48">
        <v>288</v>
      </c>
    </row>
    <row r="292" spans="1:26" ht="15" hidden="1" customHeight="1">
      <c r="A292" s="48" t="s">
        <v>673</v>
      </c>
      <c r="B292" s="48" t="s">
        <v>673</v>
      </c>
      <c r="C292" s="48" t="s">
        <v>674</v>
      </c>
      <c r="D292" s="48" t="s">
        <v>50</v>
      </c>
      <c r="E292" s="48" t="s">
        <v>122</v>
      </c>
      <c r="F292" s="48">
        <v>106</v>
      </c>
      <c r="G292" s="48">
        <v>39</v>
      </c>
      <c r="H292" s="48">
        <v>477</v>
      </c>
      <c r="I292" s="48">
        <v>122</v>
      </c>
      <c r="J292" s="48">
        <v>10</v>
      </c>
      <c r="K292" s="48">
        <v>116</v>
      </c>
      <c r="L292" s="48">
        <v>115.5</v>
      </c>
      <c r="M292" s="48">
        <v>29</v>
      </c>
      <c r="N292" s="48">
        <v>325</v>
      </c>
      <c r="O292" s="48">
        <v>48</v>
      </c>
      <c r="P292" s="48">
        <v>51</v>
      </c>
      <c r="Q292" s="48">
        <v>854</v>
      </c>
      <c r="R292" s="48">
        <v>93</v>
      </c>
      <c r="S292" s="48">
        <v>14</v>
      </c>
      <c r="T292" s="48">
        <v>93</v>
      </c>
      <c r="U292" s="48">
        <v>73</v>
      </c>
      <c r="V292" s="48">
        <v>17</v>
      </c>
      <c r="W292" s="48">
        <v>275</v>
      </c>
      <c r="X292" s="48">
        <v>557.5</v>
      </c>
      <c r="Y292" s="48">
        <v>35</v>
      </c>
      <c r="Z292" s="48">
        <v>288</v>
      </c>
    </row>
    <row r="293" spans="1:26" ht="15" hidden="1" customHeight="1">
      <c r="A293" s="48" t="s">
        <v>675</v>
      </c>
      <c r="B293" s="48" t="s">
        <v>675</v>
      </c>
      <c r="C293" s="48" t="s">
        <v>676</v>
      </c>
      <c r="D293" s="48" t="s">
        <v>50</v>
      </c>
      <c r="E293" s="48" t="s">
        <v>249</v>
      </c>
      <c r="F293" s="48">
        <v>113</v>
      </c>
      <c r="G293" s="48">
        <v>15</v>
      </c>
      <c r="H293" s="48">
        <v>196</v>
      </c>
      <c r="I293" s="48">
        <v>115</v>
      </c>
      <c r="J293" s="48">
        <v>9</v>
      </c>
      <c r="K293" s="48">
        <v>195</v>
      </c>
      <c r="L293" s="48">
        <v>114</v>
      </c>
      <c r="M293" s="48">
        <v>16</v>
      </c>
      <c r="N293" s="48">
        <v>356</v>
      </c>
      <c r="O293" s="48">
        <v>77</v>
      </c>
      <c r="P293" s="48">
        <v>15</v>
      </c>
      <c r="Q293" s="48">
        <v>278</v>
      </c>
      <c r="R293" s="48">
        <v>79</v>
      </c>
      <c r="S293" s="48">
        <v>19</v>
      </c>
      <c r="T293" s="48">
        <v>539</v>
      </c>
      <c r="U293" s="48">
        <v>59</v>
      </c>
      <c r="V293" s="48">
        <v>36</v>
      </c>
      <c r="W293" s="48">
        <v>729</v>
      </c>
      <c r="X293" s="48">
        <v>557</v>
      </c>
      <c r="Y293" s="48">
        <v>12</v>
      </c>
      <c r="Z293" s="48">
        <v>290</v>
      </c>
    </row>
    <row r="294" spans="1:26" ht="15" hidden="1" customHeight="1">
      <c r="A294" s="48" t="s">
        <v>677</v>
      </c>
      <c r="B294" s="48" t="s">
        <v>677</v>
      </c>
      <c r="C294" s="48" t="s">
        <v>678</v>
      </c>
      <c r="D294" s="48" t="s">
        <v>50</v>
      </c>
      <c r="E294" s="48" t="s">
        <v>150</v>
      </c>
      <c r="F294" s="48">
        <v>115</v>
      </c>
      <c r="G294" s="48">
        <v>5</v>
      </c>
      <c r="H294" s="48">
        <v>140</v>
      </c>
      <c r="I294" s="48">
        <v>105</v>
      </c>
      <c r="J294" s="48">
        <v>26</v>
      </c>
      <c r="K294" s="48">
        <v>340</v>
      </c>
      <c r="L294" s="48">
        <v>113</v>
      </c>
      <c r="M294" s="48">
        <v>21</v>
      </c>
      <c r="N294" s="48">
        <v>396</v>
      </c>
      <c r="O294" s="48">
        <v>47</v>
      </c>
      <c r="P294" s="48">
        <v>50</v>
      </c>
      <c r="Q294" s="48">
        <v>863</v>
      </c>
      <c r="R294" s="48">
        <v>95</v>
      </c>
      <c r="S294" s="48">
        <v>5</v>
      </c>
      <c r="T294" s="48">
        <v>60</v>
      </c>
      <c r="U294" s="48">
        <v>82</v>
      </c>
      <c r="V294" s="48">
        <v>4</v>
      </c>
      <c r="W294" s="48">
        <v>46</v>
      </c>
      <c r="X294" s="48">
        <v>557</v>
      </c>
      <c r="Y294" s="48">
        <v>19</v>
      </c>
      <c r="Z294" s="48">
        <v>290</v>
      </c>
    </row>
    <row r="295" spans="1:26" ht="15" hidden="1" customHeight="1">
      <c r="A295" s="48" t="s">
        <v>679</v>
      </c>
      <c r="B295" s="48" t="s">
        <v>679</v>
      </c>
      <c r="C295" s="48" t="s">
        <v>680</v>
      </c>
      <c r="D295" s="48" t="s">
        <v>50</v>
      </c>
      <c r="E295" s="48" t="s">
        <v>106</v>
      </c>
      <c r="F295" s="48">
        <v>115</v>
      </c>
      <c r="G295" s="48">
        <v>11</v>
      </c>
      <c r="H295" s="48">
        <v>140</v>
      </c>
      <c r="I295" s="48">
        <v>110</v>
      </c>
      <c r="J295" s="48">
        <v>12</v>
      </c>
      <c r="K295" s="48">
        <v>264</v>
      </c>
      <c r="L295" s="48">
        <v>116</v>
      </c>
      <c r="M295" s="48">
        <v>21</v>
      </c>
      <c r="N295" s="48">
        <v>309</v>
      </c>
      <c r="O295" s="48">
        <v>67</v>
      </c>
      <c r="P295" s="48">
        <v>22</v>
      </c>
      <c r="Q295" s="48">
        <v>497</v>
      </c>
      <c r="R295" s="48">
        <v>83</v>
      </c>
      <c r="S295" s="48">
        <v>10</v>
      </c>
      <c r="T295" s="48">
        <v>407</v>
      </c>
      <c r="U295" s="48">
        <v>66</v>
      </c>
      <c r="V295" s="48">
        <v>22</v>
      </c>
      <c r="W295" s="48">
        <v>519</v>
      </c>
      <c r="X295" s="48">
        <v>557</v>
      </c>
      <c r="Y295" s="48">
        <v>12</v>
      </c>
      <c r="Z295" s="48">
        <v>290</v>
      </c>
    </row>
    <row r="296" spans="1:26" ht="15" hidden="1" customHeight="1">
      <c r="A296" s="48" t="s">
        <v>681</v>
      </c>
      <c r="B296" s="48" t="s">
        <v>681</v>
      </c>
      <c r="C296" s="48" t="s">
        <v>682</v>
      </c>
      <c r="D296" s="48" t="s">
        <v>50</v>
      </c>
      <c r="E296" s="48" t="s">
        <v>111</v>
      </c>
      <c r="F296" s="48">
        <v>103</v>
      </c>
      <c r="G296" s="48">
        <v>30</v>
      </c>
      <c r="H296" s="48">
        <v>606</v>
      </c>
      <c r="I296" s="48">
        <v>109</v>
      </c>
      <c r="J296" s="48">
        <v>11</v>
      </c>
      <c r="K296" s="48">
        <v>278</v>
      </c>
      <c r="L296" s="48">
        <v>104</v>
      </c>
      <c r="M296" s="48">
        <v>33</v>
      </c>
      <c r="N296" s="48">
        <v>600</v>
      </c>
      <c r="O296" s="48">
        <v>71</v>
      </c>
      <c r="P296" s="48">
        <v>20</v>
      </c>
      <c r="Q296" s="48">
        <v>411</v>
      </c>
      <c r="R296" s="48">
        <v>100</v>
      </c>
      <c r="S296" s="48">
        <v>1</v>
      </c>
      <c r="T296" s="48">
        <v>1</v>
      </c>
      <c r="U296" s="48">
        <v>70</v>
      </c>
      <c r="V296" s="48">
        <v>16</v>
      </c>
      <c r="W296" s="48">
        <v>380</v>
      </c>
      <c r="X296" s="48">
        <v>557</v>
      </c>
      <c r="Y296" s="48">
        <v>13</v>
      </c>
      <c r="Z296" s="48">
        <v>290</v>
      </c>
    </row>
    <row r="297" spans="1:26" ht="15" hidden="1" customHeight="1">
      <c r="A297" s="48" t="s">
        <v>683</v>
      </c>
      <c r="B297" s="48" t="s">
        <v>683</v>
      </c>
      <c r="C297" s="48" t="s">
        <v>684</v>
      </c>
      <c r="D297" s="48" t="s">
        <v>50</v>
      </c>
      <c r="E297" s="48" t="s">
        <v>296</v>
      </c>
      <c r="F297" s="48">
        <v>106</v>
      </c>
      <c r="G297" s="48">
        <v>19</v>
      </c>
      <c r="H297" s="48">
        <v>477</v>
      </c>
      <c r="I297" s="48">
        <v>96</v>
      </c>
      <c r="J297" s="48">
        <v>26</v>
      </c>
      <c r="K297" s="48">
        <v>483</v>
      </c>
      <c r="L297" s="48">
        <v>114</v>
      </c>
      <c r="M297" s="48">
        <v>19</v>
      </c>
      <c r="N297" s="48">
        <v>356</v>
      </c>
      <c r="O297" s="48">
        <v>76</v>
      </c>
      <c r="P297" s="48">
        <v>17</v>
      </c>
      <c r="Q297" s="48">
        <v>302</v>
      </c>
      <c r="R297" s="48">
        <v>89</v>
      </c>
      <c r="S297" s="48">
        <v>12</v>
      </c>
      <c r="T297" s="48">
        <v>200</v>
      </c>
      <c r="U297" s="48">
        <v>76</v>
      </c>
      <c r="V297" s="48">
        <v>7</v>
      </c>
      <c r="W297" s="48">
        <v>194</v>
      </c>
      <c r="X297" s="48">
        <v>557</v>
      </c>
      <c r="Y297" s="48">
        <v>13</v>
      </c>
      <c r="Z297" s="48">
        <v>290</v>
      </c>
    </row>
    <row r="298" spans="1:26" ht="15" hidden="1" customHeight="1">
      <c r="A298" s="48" t="s">
        <v>685</v>
      </c>
      <c r="B298" s="48" t="s">
        <v>685</v>
      </c>
      <c r="C298" s="48" t="s">
        <v>686</v>
      </c>
      <c r="D298" s="48" t="s">
        <v>50</v>
      </c>
      <c r="E298" s="48" t="s">
        <v>296</v>
      </c>
      <c r="F298" s="48">
        <v>101</v>
      </c>
      <c r="G298" s="48">
        <v>32</v>
      </c>
      <c r="H298" s="48">
        <v>688</v>
      </c>
      <c r="I298" s="48">
        <v>122</v>
      </c>
      <c r="J298" s="48">
        <v>10</v>
      </c>
      <c r="K298" s="48">
        <v>116</v>
      </c>
      <c r="L298" s="48">
        <v>115.5</v>
      </c>
      <c r="M298" s="48">
        <v>16</v>
      </c>
      <c r="N298" s="48">
        <v>325</v>
      </c>
      <c r="O298" s="48">
        <v>76</v>
      </c>
      <c r="P298" s="48">
        <v>17</v>
      </c>
      <c r="Q298" s="48">
        <v>302</v>
      </c>
      <c r="R298" s="48">
        <v>79</v>
      </c>
      <c r="S298" s="48">
        <v>29</v>
      </c>
      <c r="T298" s="48">
        <v>539</v>
      </c>
      <c r="U298" s="48">
        <v>63</v>
      </c>
      <c r="V298" s="48">
        <v>26</v>
      </c>
      <c r="W298" s="48">
        <v>625</v>
      </c>
      <c r="X298" s="48">
        <v>556.5</v>
      </c>
      <c r="Y298" s="48">
        <v>14</v>
      </c>
      <c r="Z298" s="48">
        <v>295</v>
      </c>
    </row>
    <row r="299" spans="1:26" ht="15" hidden="1" customHeight="1">
      <c r="A299" s="48" t="s">
        <v>687</v>
      </c>
      <c r="B299" s="48" t="s">
        <v>687</v>
      </c>
      <c r="C299" s="48" t="s">
        <v>688</v>
      </c>
      <c r="D299" s="48" t="s">
        <v>50</v>
      </c>
      <c r="E299" s="48" t="s">
        <v>172</v>
      </c>
      <c r="F299" s="48">
        <v>105</v>
      </c>
      <c r="G299" s="48">
        <v>27</v>
      </c>
      <c r="H299" s="48">
        <v>515</v>
      </c>
      <c r="I299" s="48">
        <v>110</v>
      </c>
      <c r="J299" s="48">
        <v>10</v>
      </c>
      <c r="K299" s="48">
        <v>264</v>
      </c>
      <c r="L299" s="48">
        <v>105.5</v>
      </c>
      <c r="M299" s="48">
        <v>30</v>
      </c>
      <c r="N299" s="48">
        <v>568</v>
      </c>
      <c r="O299" s="48">
        <v>77</v>
      </c>
      <c r="P299" s="48">
        <v>16</v>
      </c>
      <c r="Q299" s="48">
        <v>278</v>
      </c>
      <c r="R299" s="48">
        <v>88</v>
      </c>
      <c r="S299" s="48">
        <v>11</v>
      </c>
      <c r="T299" s="48">
        <v>240</v>
      </c>
      <c r="U299" s="48">
        <v>71</v>
      </c>
      <c r="V299" s="48">
        <v>17</v>
      </c>
      <c r="W299" s="48">
        <v>342</v>
      </c>
      <c r="X299" s="48">
        <v>556.5</v>
      </c>
      <c r="Y299" s="48">
        <v>12</v>
      </c>
      <c r="Z299" s="48">
        <v>295</v>
      </c>
    </row>
    <row r="300" spans="1:26" ht="15" hidden="1" customHeight="1">
      <c r="A300" s="48" t="s">
        <v>689</v>
      </c>
      <c r="B300" s="48" t="s">
        <v>689</v>
      </c>
      <c r="C300" s="48" t="s">
        <v>690</v>
      </c>
      <c r="D300" s="48" t="s">
        <v>50</v>
      </c>
      <c r="E300" s="48" t="s">
        <v>111</v>
      </c>
      <c r="F300" s="48">
        <v>116</v>
      </c>
      <c r="G300" s="48">
        <v>6</v>
      </c>
      <c r="H300" s="48">
        <v>117</v>
      </c>
      <c r="I300" s="48">
        <v>94</v>
      </c>
      <c r="J300" s="48">
        <v>23</v>
      </c>
      <c r="K300" s="48">
        <v>523</v>
      </c>
      <c r="L300" s="48">
        <v>119</v>
      </c>
      <c r="M300" s="48">
        <v>15</v>
      </c>
      <c r="N300" s="48">
        <v>237</v>
      </c>
      <c r="O300" s="48">
        <v>72</v>
      </c>
      <c r="P300" s="48">
        <v>19</v>
      </c>
      <c r="Q300" s="48">
        <v>392</v>
      </c>
      <c r="R300" s="48">
        <v>82</v>
      </c>
      <c r="S300" s="48">
        <v>21</v>
      </c>
      <c r="T300" s="48">
        <v>452</v>
      </c>
      <c r="U300" s="48">
        <v>73</v>
      </c>
      <c r="V300" s="48">
        <v>12</v>
      </c>
      <c r="W300" s="48">
        <v>275</v>
      </c>
      <c r="X300" s="48">
        <v>556</v>
      </c>
      <c r="Y300" s="48">
        <v>14</v>
      </c>
      <c r="Z300" s="48">
        <v>297</v>
      </c>
    </row>
    <row r="301" spans="1:26" ht="15" hidden="1" customHeight="1">
      <c r="A301" s="48" t="s">
        <v>691</v>
      </c>
      <c r="B301" s="48" t="s">
        <v>691</v>
      </c>
      <c r="C301" s="48" t="s">
        <v>692</v>
      </c>
      <c r="D301" s="48" t="s">
        <v>50</v>
      </c>
      <c r="E301" s="48" t="s">
        <v>203</v>
      </c>
      <c r="F301" s="48">
        <v>115</v>
      </c>
      <c r="G301" s="48">
        <v>10</v>
      </c>
      <c r="H301" s="48">
        <v>140</v>
      </c>
      <c r="I301" s="48">
        <v>101</v>
      </c>
      <c r="J301" s="48">
        <v>20</v>
      </c>
      <c r="K301" s="48">
        <v>403</v>
      </c>
      <c r="L301" s="48">
        <v>113.5</v>
      </c>
      <c r="M301" s="48">
        <v>19</v>
      </c>
      <c r="N301" s="48">
        <v>374</v>
      </c>
      <c r="O301" s="48">
        <v>69</v>
      </c>
      <c r="P301" s="48">
        <v>27</v>
      </c>
      <c r="Q301" s="48">
        <v>452</v>
      </c>
      <c r="R301" s="48">
        <v>96</v>
      </c>
      <c r="S301" s="48">
        <v>4</v>
      </c>
      <c r="T301" s="48">
        <v>45</v>
      </c>
      <c r="U301" s="48">
        <v>61</v>
      </c>
      <c r="V301" s="48">
        <v>35</v>
      </c>
      <c r="W301" s="48">
        <v>686</v>
      </c>
      <c r="X301" s="48">
        <v>555.5</v>
      </c>
      <c r="Y301" s="48">
        <v>14</v>
      </c>
      <c r="Z301" s="48">
        <v>298</v>
      </c>
    </row>
    <row r="302" spans="1:26" ht="15" hidden="1" customHeight="1">
      <c r="A302" s="48" t="s">
        <v>693</v>
      </c>
      <c r="B302" s="48" t="s">
        <v>693</v>
      </c>
      <c r="C302" s="48" t="s">
        <v>694</v>
      </c>
      <c r="D302" s="48" t="s">
        <v>50</v>
      </c>
      <c r="E302" s="48" t="s">
        <v>203</v>
      </c>
      <c r="F302" s="48">
        <v>120</v>
      </c>
      <c r="G302" s="48">
        <v>3</v>
      </c>
      <c r="H302" s="48">
        <v>43</v>
      </c>
      <c r="I302" s="48">
        <v>104</v>
      </c>
      <c r="J302" s="48">
        <v>17</v>
      </c>
      <c r="K302" s="48">
        <v>358</v>
      </c>
      <c r="L302" s="48">
        <v>104.5</v>
      </c>
      <c r="M302" s="48">
        <v>33</v>
      </c>
      <c r="N302" s="48">
        <v>593</v>
      </c>
      <c r="O302" s="48">
        <v>84</v>
      </c>
      <c r="P302" s="48">
        <v>6</v>
      </c>
      <c r="Q302" s="48">
        <v>131</v>
      </c>
      <c r="R302" s="48">
        <v>86</v>
      </c>
      <c r="S302" s="48">
        <v>19</v>
      </c>
      <c r="T302" s="48">
        <v>304</v>
      </c>
      <c r="U302" s="48">
        <v>57</v>
      </c>
      <c r="V302" s="48">
        <v>39</v>
      </c>
      <c r="W302" s="48">
        <v>770</v>
      </c>
      <c r="X302" s="48">
        <v>555.5</v>
      </c>
      <c r="Y302" s="48">
        <v>14</v>
      </c>
      <c r="Z302" s="48">
        <v>298</v>
      </c>
    </row>
    <row r="303" spans="1:26" ht="15" hidden="1" customHeight="1">
      <c r="A303" s="48" t="s">
        <v>695</v>
      </c>
      <c r="B303" s="48" t="s">
        <v>695</v>
      </c>
      <c r="C303" s="48" t="s">
        <v>696</v>
      </c>
      <c r="D303" s="48" t="s">
        <v>50</v>
      </c>
      <c r="E303" s="48" t="s">
        <v>296</v>
      </c>
      <c r="F303" s="48">
        <v>103</v>
      </c>
      <c r="G303" s="48">
        <v>26</v>
      </c>
      <c r="H303" s="48">
        <v>606</v>
      </c>
      <c r="I303" s="48">
        <v>107</v>
      </c>
      <c r="J303" s="48">
        <v>17</v>
      </c>
      <c r="K303" s="48">
        <v>313</v>
      </c>
      <c r="L303" s="48">
        <v>130</v>
      </c>
      <c r="M303" s="48">
        <v>2</v>
      </c>
      <c r="N303" s="48">
        <v>34</v>
      </c>
      <c r="O303" s="48">
        <v>71</v>
      </c>
      <c r="P303" s="48">
        <v>27</v>
      </c>
      <c r="Q303" s="48">
        <v>411</v>
      </c>
      <c r="R303" s="48">
        <v>77</v>
      </c>
      <c r="S303" s="48">
        <v>34</v>
      </c>
      <c r="T303" s="48">
        <v>608</v>
      </c>
      <c r="U303" s="48">
        <v>67</v>
      </c>
      <c r="V303" s="48">
        <v>20</v>
      </c>
      <c r="W303" s="48">
        <v>489</v>
      </c>
      <c r="X303" s="48">
        <v>555</v>
      </c>
      <c r="Y303" s="48">
        <v>15</v>
      </c>
      <c r="Z303" s="48">
        <v>300</v>
      </c>
    </row>
    <row r="304" spans="1:26" ht="15" hidden="1" customHeight="1">
      <c r="A304" s="48" t="s">
        <v>697</v>
      </c>
      <c r="B304" s="48" t="s">
        <v>697</v>
      </c>
      <c r="C304" s="48" t="s">
        <v>698</v>
      </c>
      <c r="D304" s="48" t="s">
        <v>50</v>
      </c>
      <c r="E304" s="48" t="s">
        <v>169</v>
      </c>
      <c r="F304" s="48">
        <v>119</v>
      </c>
      <c r="G304" s="48">
        <v>2</v>
      </c>
      <c r="H304" s="48">
        <v>51</v>
      </c>
      <c r="I304" s="48">
        <v>114</v>
      </c>
      <c r="J304" s="48">
        <v>10</v>
      </c>
      <c r="K304" s="48">
        <v>215</v>
      </c>
      <c r="L304" s="48">
        <v>94</v>
      </c>
      <c r="M304" s="48">
        <v>47</v>
      </c>
      <c r="N304" s="48">
        <v>783</v>
      </c>
      <c r="O304" s="48">
        <v>79</v>
      </c>
      <c r="P304" s="48">
        <v>14</v>
      </c>
      <c r="Q304" s="48">
        <v>236</v>
      </c>
      <c r="R304" s="48">
        <v>81</v>
      </c>
      <c r="S304" s="48">
        <v>22</v>
      </c>
      <c r="T304" s="48">
        <v>474</v>
      </c>
      <c r="U304" s="48">
        <v>68</v>
      </c>
      <c r="V304" s="48">
        <v>26</v>
      </c>
      <c r="W304" s="48">
        <v>452</v>
      </c>
      <c r="X304" s="48">
        <v>555</v>
      </c>
      <c r="Y304" s="48">
        <v>16</v>
      </c>
      <c r="Z304" s="48">
        <v>300</v>
      </c>
    </row>
    <row r="305" spans="1:26" ht="15" hidden="1" customHeight="1">
      <c r="A305" s="48" t="s">
        <v>699</v>
      </c>
      <c r="B305" s="48" t="s">
        <v>699</v>
      </c>
      <c r="C305" s="48" t="s">
        <v>700</v>
      </c>
      <c r="D305" s="48" t="s">
        <v>50</v>
      </c>
      <c r="E305" s="48" t="s">
        <v>150</v>
      </c>
      <c r="F305" s="48">
        <v>105</v>
      </c>
      <c r="G305" s="48">
        <v>20</v>
      </c>
      <c r="H305" s="48">
        <v>515</v>
      </c>
      <c r="I305" s="48">
        <v>108</v>
      </c>
      <c r="J305" s="48">
        <v>25</v>
      </c>
      <c r="K305" s="48">
        <v>296</v>
      </c>
      <c r="L305" s="48">
        <v>116</v>
      </c>
      <c r="M305" s="48">
        <v>16</v>
      </c>
      <c r="N305" s="48">
        <v>309</v>
      </c>
      <c r="O305" s="48">
        <v>60</v>
      </c>
      <c r="P305" s="48">
        <v>37</v>
      </c>
      <c r="Q305" s="48">
        <v>647</v>
      </c>
      <c r="R305" s="48">
        <v>91</v>
      </c>
      <c r="S305" s="48">
        <v>14</v>
      </c>
      <c r="T305" s="48">
        <v>151</v>
      </c>
      <c r="U305" s="48">
        <v>75</v>
      </c>
      <c r="V305" s="48">
        <v>22</v>
      </c>
      <c r="W305" s="48">
        <v>219</v>
      </c>
      <c r="X305" s="48">
        <v>555</v>
      </c>
      <c r="Y305" s="48">
        <v>20</v>
      </c>
      <c r="Z305" s="48">
        <v>300</v>
      </c>
    </row>
    <row r="306" spans="1:26" ht="15" hidden="1" customHeight="1">
      <c r="A306" s="48" t="s">
        <v>701</v>
      </c>
      <c r="B306" s="48" t="s">
        <v>701</v>
      </c>
      <c r="C306" s="48" t="s">
        <v>702</v>
      </c>
      <c r="D306" s="48" t="s">
        <v>50</v>
      </c>
      <c r="E306" s="48" t="s">
        <v>133</v>
      </c>
      <c r="F306" s="48">
        <v>102</v>
      </c>
      <c r="G306" s="48">
        <v>44</v>
      </c>
      <c r="H306" s="48">
        <v>655</v>
      </c>
      <c r="I306" s="48">
        <v>102</v>
      </c>
      <c r="J306" s="48">
        <v>30</v>
      </c>
      <c r="K306" s="48">
        <v>386</v>
      </c>
      <c r="L306" s="48">
        <v>117.5</v>
      </c>
      <c r="M306" s="48">
        <v>15</v>
      </c>
      <c r="N306" s="48">
        <v>281</v>
      </c>
      <c r="O306" s="48">
        <v>78</v>
      </c>
      <c r="P306" s="48">
        <v>23</v>
      </c>
      <c r="Q306" s="48">
        <v>256</v>
      </c>
      <c r="R306" s="48">
        <v>84</v>
      </c>
      <c r="S306" s="48">
        <v>26</v>
      </c>
      <c r="T306" s="48">
        <v>379</v>
      </c>
      <c r="U306" s="48">
        <v>71</v>
      </c>
      <c r="V306" s="48">
        <v>27</v>
      </c>
      <c r="W306" s="48">
        <v>342</v>
      </c>
      <c r="X306" s="48">
        <v>554.5</v>
      </c>
      <c r="Y306" s="48">
        <v>22</v>
      </c>
      <c r="Z306" s="48">
        <v>303</v>
      </c>
    </row>
    <row r="307" spans="1:26" ht="15" hidden="1" customHeight="1">
      <c r="A307" s="48" t="s">
        <v>703</v>
      </c>
      <c r="B307" s="48" t="s">
        <v>703</v>
      </c>
      <c r="C307" s="48" t="s">
        <v>704</v>
      </c>
      <c r="D307" s="48" t="s">
        <v>50</v>
      </c>
      <c r="E307" s="48" t="s">
        <v>92</v>
      </c>
      <c r="F307" s="48">
        <v>100</v>
      </c>
      <c r="G307" s="48">
        <v>38</v>
      </c>
      <c r="H307" s="48">
        <v>715</v>
      </c>
      <c r="I307" s="48">
        <v>103</v>
      </c>
      <c r="J307" s="48">
        <v>13</v>
      </c>
      <c r="K307" s="48">
        <v>374</v>
      </c>
      <c r="L307" s="48">
        <v>111.5</v>
      </c>
      <c r="M307" s="48">
        <v>21</v>
      </c>
      <c r="N307" s="48">
        <v>427</v>
      </c>
      <c r="O307" s="48">
        <v>73</v>
      </c>
      <c r="P307" s="48">
        <v>20</v>
      </c>
      <c r="Q307" s="48">
        <v>370</v>
      </c>
      <c r="R307" s="48">
        <v>87</v>
      </c>
      <c r="S307" s="48">
        <v>14</v>
      </c>
      <c r="T307" s="48">
        <v>268</v>
      </c>
      <c r="U307" s="48">
        <v>80</v>
      </c>
      <c r="V307" s="48">
        <v>6</v>
      </c>
      <c r="W307" s="48">
        <v>85</v>
      </c>
      <c r="X307" s="48">
        <v>554.5</v>
      </c>
      <c r="Y307" s="48">
        <v>15</v>
      </c>
      <c r="Z307" s="48">
        <v>303</v>
      </c>
    </row>
    <row r="308" spans="1:26" ht="15" hidden="1" customHeight="1">
      <c r="A308" s="48" t="s">
        <v>705</v>
      </c>
      <c r="B308" s="48" t="s">
        <v>705</v>
      </c>
      <c r="C308" s="48" t="s">
        <v>706</v>
      </c>
      <c r="D308" s="48" t="s">
        <v>50</v>
      </c>
      <c r="E308" s="48" t="s">
        <v>169</v>
      </c>
      <c r="F308" s="48">
        <v>107</v>
      </c>
      <c r="G308" s="48">
        <v>27</v>
      </c>
      <c r="H308" s="48">
        <v>429</v>
      </c>
      <c r="I308" s="48">
        <v>84</v>
      </c>
      <c r="J308" s="48">
        <v>37</v>
      </c>
      <c r="K308" s="48">
        <v>658</v>
      </c>
      <c r="L308" s="48">
        <v>120.5</v>
      </c>
      <c r="M308" s="48">
        <v>8</v>
      </c>
      <c r="N308" s="48">
        <v>192</v>
      </c>
      <c r="O308" s="48">
        <v>83</v>
      </c>
      <c r="P308" s="48">
        <v>9</v>
      </c>
      <c r="Q308" s="48">
        <v>153</v>
      </c>
      <c r="R308" s="48">
        <v>82</v>
      </c>
      <c r="S308" s="48">
        <v>21</v>
      </c>
      <c r="T308" s="48">
        <v>452</v>
      </c>
      <c r="U308" s="48">
        <v>78</v>
      </c>
      <c r="V308" s="48">
        <v>8</v>
      </c>
      <c r="W308" s="48">
        <v>133</v>
      </c>
      <c r="X308" s="48">
        <v>554.5</v>
      </c>
      <c r="Y308" s="48">
        <v>17</v>
      </c>
      <c r="Z308" s="48">
        <v>303</v>
      </c>
    </row>
    <row r="309" spans="1:26" ht="15" hidden="1" customHeight="1">
      <c r="A309" s="48" t="s">
        <v>707</v>
      </c>
      <c r="B309" s="48" t="s">
        <v>707</v>
      </c>
      <c r="C309" s="48" t="s">
        <v>708</v>
      </c>
      <c r="D309" s="48" t="s">
        <v>50</v>
      </c>
      <c r="E309" s="48" t="s">
        <v>169</v>
      </c>
      <c r="F309" s="48">
        <v>116</v>
      </c>
      <c r="G309" s="48">
        <v>7</v>
      </c>
      <c r="H309" s="48">
        <v>117</v>
      </c>
      <c r="I309" s="48">
        <v>102</v>
      </c>
      <c r="J309" s="48">
        <v>20</v>
      </c>
      <c r="K309" s="48">
        <v>386</v>
      </c>
      <c r="L309" s="48">
        <v>109.5</v>
      </c>
      <c r="M309" s="48">
        <v>28</v>
      </c>
      <c r="N309" s="48">
        <v>490</v>
      </c>
      <c r="O309" s="48">
        <v>73</v>
      </c>
      <c r="P309" s="48">
        <v>22</v>
      </c>
      <c r="Q309" s="48">
        <v>370</v>
      </c>
      <c r="R309" s="48">
        <v>80</v>
      </c>
      <c r="S309" s="48">
        <v>26</v>
      </c>
      <c r="T309" s="48">
        <v>511</v>
      </c>
      <c r="U309" s="48">
        <v>74</v>
      </c>
      <c r="V309" s="48">
        <v>15</v>
      </c>
      <c r="W309" s="48">
        <v>247</v>
      </c>
      <c r="X309" s="48">
        <v>554.5</v>
      </c>
      <c r="Y309" s="48">
        <v>17</v>
      </c>
      <c r="Z309" s="48">
        <v>303</v>
      </c>
    </row>
    <row r="310" spans="1:26" ht="15" hidden="1" customHeight="1">
      <c r="A310" s="48" t="s">
        <v>709</v>
      </c>
      <c r="B310" s="48" t="s">
        <v>709</v>
      </c>
      <c r="C310" s="48" t="s">
        <v>710</v>
      </c>
      <c r="D310" s="48" t="s">
        <v>50</v>
      </c>
      <c r="E310" s="48" t="s">
        <v>210</v>
      </c>
      <c r="F310" s="48">
        <v>105</v>
      </c>
      <c r="G310" s="48">
        <v>33</v>
      </c>
      <c r="H310" s="48">
        <v>515</v>
      </c>
      <c r="I310" s="48">
        <v>93</v>
      </c>
      <c r="J310" s="48">
        <v>31</v>
      </c>
      <c r="K310" s="48">
        <v>540</v>
      </c>
      <c r="L310" s="48">
        <v>124.5</v>
      </c>
      <c r="M310" s="48">
        <v>5</v>
      </c>
      <c r="N310" s="48">
        <v>103</v>
      </c>
      <c r="O310" s="48">
        <v>75</v>
      </c>
      <c r="P310" s="48">
        <v>17</v>
      </c>
      <c r="Q310" s="48">
        <v>324</v>
      </c>
      <c r="R310" s="48">
        <v>90</v>
      </c>
      <c r="S310" s="48">
        <v>8</v>
      </c>
      <c r="T310" s="48">
        <v>177</v>
      </c>
      <c r="U310" s="48">
        <v>67</v>
      </c>
      <c r="V310" s="48">
        <v>26</v>
      </c>
      <c r="W310" s="48">
        <v>489</v>
      </c>
      <c r="X310" s="48">
        <v>554.5</v>
      </c>
      <c r="Y310" s="48">
        <v>16</v>
      </c>
      <c r="Z310" s="48">
        <v>303</v>
      </c>
    </row>
    <row r="311" spans="1:26" ht="15" hidden="1" customHeight="1">
      <c r="A311" s="48" t="s">
        <v>711</v>
      </c>
      <c r="B311" s="48" t="s">
        <v>711</v>
      </c>
      <c r="C311" s="48" t="s">
        <v>712</v>
      </c>
      <c r="D311" s="48" t="s">
        <v>50</v>
      </c>
      <c r="E311" s="48" t="s">
        <v>84</v>
      </c>
      <c r="F311" s="48">
        <v>121</v>
      </c>
      <c r="G311" s="48">
        <v>5</v>
      </c>
      <c r="H311" s="48">
        <v>30</v>
      </c>
      <c r="I311" s="48">
        <v>101</v>
      </c>
      <c r="J311" s="48">
        <v>17</v>
      </c>
      <c r="K311" s="48">
        <v>403</v>
      </c>
      <c r="L311" s="48">
        <v>111.5</v>
      </c>
      <c r="M311" s="48">
        <v>26</v>
      </c>
      <c r="N311" s="48">
        <v>427</v>
      </c>
      <c r="O311" s="48">
        <v>70</v>
      </c>
      <c r="P311" s="48">
        <v>26</v>
      </c>
      <c r="Q311" s="48">
        <v>429</v>
      </c>
      <c r="R311" s="48">
        <v>85</v>
      </c>
      <c r="S311" s="48">
        <v>17</v>
      </c>
      <c r="T311" s="48">
        <v>339</v>
      </c>
      <c r="U311" s="48">
        <v>66</v>
      </c>
      <c r="V311" s="48">
        <v>31</v>
      </c>
      <c r="W311" s="48">
        <v>519</v>
      </c>
      <c r="X311" s="48">
        <v>554.5</v>
      </c>
      <c r="Y311" s="48">
        <v>12</v>
      </c>
      <c r="Z311" s="48">
        <v>303</v>
      </c>
    </row>
    <row r="312" spans="1:26" ht="15" hidden="1" customHeight="1">
      <c r="A312" s="48" t="s">
        <v>713</v>
      </c>
      <c r="B312" s="48" t="s">
        <v>713</v>
      </c>
      <c r="C312" s="48" t="s">
        <v>714</v>
      </c>
      <c r="D312" s="48" t="s">
        <v>50</v>
      </c>
      <c r="E312" s="48" t="s">
        <v>84</v>
      </c>
      <c r="F312" s="48">
        <v>95</v>
      </c>
      <c r="G312" s="48">
        <v>49</v>
      </c>
      <c r="H312" s="48">
        <v>837</v>
      </c>
      <c r="I312" s="48">
        <v>119</v>
      </c>
      <c r="J312" s="48">
        <v>10</v>
      </c>
      <c r="K312" s="48">
        <v>154</v>
      </c>
      <c r="L312" s="48">
        <v>100</v>
      </c>
      <c r="M312" s="48">
        <v>44</v>
      </c>
      <c r="N312" s="48">
        <v>680</v>
      </c>
      <c r="O312" s="48">
        <v>86</v>
      </c>
      <c r="P312" s="48">
        <v>6</v>
      </c>
      <c r="Q312" s="48">
        <v>101</v>
      </c>
      <c r="R312" s="48">
        <v>83</v>
      </c>
      <c r="S312" s="48">
        <v>20</v>
      </c>
      <c r="T312" s="48">
        <v>407</v>
      </c>
      <c r="U312" s="48">
        <v>71</v>
      </c>
      <c r="V312" s="48">
        <v>15</v>
      </c>
      <c r="W312" s="48">
        <v>342</v>
      </c>
      <c r="X312" s="48">
        <v>554</v>
      </c>
      <c r="Y312" s="48">
        <v>13</v>
      </c>
      <c r="Z312" s="48">
        <v>309</v>
      </c>
    </row>
    <row r="313" spans="1:26" ht="15" hidden="1" customHeight="1">
      <c r="A313" s="48" t="s">
        <v>715</v>
      </c>
      <c r="B313" s="48" t="s">
        <v>715</v>
      </c>
      <c r="C313" s="48" t="s">
        <v>37</v>
      </c>
      <c r="D313" s="48" t="s">
        <v>50</v>
      </c>
      <c r="E313" s="48" t="s">
        <v>97</v>
      </c>
      <c r="F313" s="48">
        <v>102</v>
      </c>
      <c r="G313" s="48">
        <v>43</v>
      </c>
      <c r="H313" s="48">
        <v>655</v>
      </c>
      <c r="I313" s="48">
        <v>123</v>
      </c>
      <c r="J313" s="48">
        <v>7</v>
      </c>
      <c r="K313" s="48">
        <v>113</v>
      </c>
      <c r="L313" s="48">
        <v>76</v>
      </c>
      <c r="M313" s="48">
        <v>55</v>
      </c>
      <c r="N313" s="48">
        <v>911</v>
      </c>
      <c r="O313" s="48">
        <v>85</v>
      </c>
      <c r="P313" s="48">
        <v>7</v>
      </c>
      <c r="Q313" s="48">
        <v>117</v>
      </c>
      <c r="R313" s="48">
        <v>89</v>
      </c>
      <c r="S313" s="48">
        <v>10</v>
      </c>
      <c r="T313" s="48">
        <v>200</v>
      </c>
      <c r="U313" s="48">
        <v>79</v>
      </c>
      <c r="V313" s="48">
        <v>10</v>
      </c>
      <c r="W313" s="48">
        <v>103</v>
      </c>
      <c r="X313" s="48">
        <v>554</v>
      </c>
      <c r="Y313" s="48">
        <v>14</v>
      </c>
      <c r="Z313" s="48">
        <v>309</v>
      </c>
    </row>
    <row r="314" spans="1:26" ht="15" hidden="1" customHeight="1">
      <c r="A314" s="48" t="s">
        <v>716</v>
      </c>
      <c r="B314" s="48" t="s">
        <v>716</v>
      </c>
      <c r="C314" s="48" t="s">
        <v>717</v>
      </c>
      <c r="D314" s="48" t="s">
        <v>50</v>
      </c>
      <c r="E314" s="48" t="s">
        <v>249</v>
      </c>
      <c r="F314" s="48">
        <v>112</v>
      </c>
      <c r="G314" s="48">
        <v>19</v>
      </c>
      <c r="H314" s="48">
        <v>226</v>
      </c>
      <c r="I314" s="48">
        <v>106</v>
      </c>
      <c r="J314" s="48">
        <v>15</v>
      </c>
      <c r="K314" s="48">
        <v>322</v>
      </c>
      <c r="L314" s="48">
        <v>104</v>
      </c>
      <c r="M314" s="48">
        <v>30</v>
      </c>
      <c r="N314" s="48">
        <v>600</v>
      </c>
      <c r="O314" s="48">
        <v>81</v>
      </c>
      <c r="P314" s="48">
        <v>10</v>
      </c>
      <c r="Q314" s="48">
        <v>195</v>
      </c>
      <c r="R314" s="48">
        <v>80</v>
      </c>
      <c r="S314" s="48">
        <v>16</v>
      </c>
      <c r="T314" s="48">
        <v>511</v>
      </c>
      <c r="U314" s="48">
        <v>71</v>
      </c>
      <c r="V314" s="48">
        <v>16</v>
      </c>
      <c r="W314" s="48">
        <v>342</v>
      </c>
      <c r="X314" s="48">
        <v>554</v>
      </c>
      <c r="Y314" s="48">
        <v>13</v>
      </c>
      <c r="Z314" s="48">
        <v>309</v>
      </c>
    </row>
    <row r="315" spans="1:26" ht="15" hidden="1" customHeight="1">
      <c r="A315" s="48" t="s">
        <v>718</v>
      </c>
      <c r="B315" s="48" t="s">
        <v>718</v>
      </c>
      <c r="C315" s="48" t="s">
        <v>719</v>
      </c>
      <c r="D315" s="48" t="s">
        <v>50</v>
      </c>
      <c r="E315" s="48" t="s">
        <v>249</v>
      </c>
      <c r="F315" s="48">
        <v>116</v>
      </c>
      <c r="G315" s="48">
        <v>8</v>
      </c>
      <c r="H315" s="48">
        <v>117</v>
      </c>
      <c r="I315" s="48">
        <v>102</v>
      </c>
      <c r="J315" s="48">
        <v>19</v>
      </c>
      <c r="K315" s="48">
        <v>386</v>
      </c>
      <c r="L315" s="48">
        <v>118.5</v>
      </c>
      <c r="M315" s="48">
        <v>12</v>
      </c>
      <c r="N315" s="48">
        <v>247</v>
      </c>
      <c r="O315" s="48">
        <v>60</v>
      </c>
      <c r="P315" s="48">
        <v>35</v>
      </c>
      <c r="Q315" s="48">
        <v>647</v>
      </c>
      <c r="R315" s="48">
        <v>85</v>
      </c>
      <c r="S315" s="48">
        <v>9</v>
      </c>
      <c r="T315" s="48">
        <v>339</v>
      </c>
      <c r="U315" s="48">
        <v>72</v>
      </c>
      <c r="V315" s="48">
        <v>14</v>
      </c>
      <c r="W315" s="48">
        <v>312</v>
      </c>
      <c r="X315" s="48">
        <v>553.5</v>
      </c>
      <c r="Y315" s="48">
        <v>14</v>
      </c>
      <c r="Z315" s="48">
        <v>312</v>
      </c>
    </row>
    <row r="316" spans="1:26" ht="15" hidden="1" customHeight="1">
      <c r="A316" s="48" t="s">
        <v>720</v>
      </c>
      <c r="B316" s="48" t="s">
        <v>720</v>
      </c>
      <c r="C316" s="48" t="s">
        <v>721</v>
      </c>
      <c r="D316" s="48" t="s">
        <v>50</v>
      </c>
      <c r="E316" s="48" t="s">
        <v>97</v>
      </c>
      <c r="F316" s="48">
        <v>107</v>
      </c>
      <c r="G316" s="48">
        <v>24</v>
      </c>
      <c r="H316" s="48">
        <v>429</v>
      </c>
      <c r="I316" s="48">
        <v>108</v>
      </c>
      <c r="J316" s="48">
        <v>15</v>
      </c>
      <c r="K316" s="48">
        <v>296</v>
      </c>
      <c r="L316" s="48">
        <v>112.5</v>
      </c>
      <c r="M316" s="48">
        <v>21</v>
      </c>
      <c r="N316" s="48">
        <v>401</v>
      </c>
      <c r="O316" s="48">
        <v>73</v>
      </c>
      <c r="P316" s="48">
        <v>18</v>
      </c>
      <c r="Q316" s="48">
        <v>370</v>
      </c>
      <c r="R316" s="48">
        <v>82</v>
      </c>
      <c r="S316" s="48">
        <v>32</v>
      </c>
      <c r="T316" s="48">
        <v>452</v>
      </c>
      <c r="U316" s="48">
        <v>71</v>
      </c>
      <c r="V316" s="48">
        <v>25</v>
      </c>
      <c r="W316" s="48">
        <v>342</v>
      </c>
      <c r="X316" s="48">
        <v>553.5</v>
      </c>
      <c r="Y316" s="48">
        <v>15</v>
      </c>
      <c r="Z316" s="48">
        <v>312</v>
      </c>
    </row>
    <row r="317" spans="1:26" ht="15" hidden="1" customHeight="1">
      <c r="A317" s="48" t="s">
        <v>722</v>
      </c>
      <c r="B317" s="48" t="s">
        <v>722</v>
      </c>
      <c r="C317" s="48" t="s">
        <v>723</v>
      </c>
      <c r="D317" s="48" t="s">
        <v>50</v>
      </c>
      <c r="E317" s="48" t="s">
        <v>210</v>
      </c>
      <c r="F317" s="48">
        <v>116</v>
      </c>
      <c r="G317" s="48">
        <v>7</v>
      </c>
      <c r="H317" s="48">
        <v>117</v>
      </c>
      <c r="I317" s="48">
        <v>93</v>
      </c>
      <c r="J317" s="48">
        <v>31</v>
      </c>
      <c r="K317" s="48">
        <v>540</v>
      </c>
      <c r="L317" s="48">
        <v>108</v>
      </c>
      <c r="M317" s="48">
        <v>32</v>
      </c>
      <c r="N317" s="48">
        <v>519</v>
      </c>
      <c r="O317" s="48">
        <v>79</v>
      </c>
      <c r="P317" s="48">
        <v>9</v>
      </c>
      <c r="Q317" s="48">
        <v>236</v>
      </c>
      <c r="R317" s="48">
        <v>88</v>
      </c>
      <c r="S317" s="48">
        <v>15</v>
      </c>
      <c r="T317" s="48">
        <v>240</v>
      </c>
      <c r="U317" s="48">
        <v>69</v>
      </c>
      <c r="V317" s="48">
        <v>21</v>
      </c>
      <c r="W317" s="48">
        <v>420</v>
      </c>
      <c r="X317" s="48">
        <v>553</v>
      </c>
      <c r="Y317" s="48">
        <v>17</v>
      </c>
      <c r="Z317" s="48">
        <v>314</v>
      </c>
    </row>
    <row r="318" spans="1:26" ht="15" hidden="1" customHeight="1">
      <c r="A318" s="48" t="s">
        <v>724</v>
      </c>
      <c r="B318" s="48" t="s">
        <v>724</v>
      </c>
      <c r="C318" s="48" t="s">
        <v>725</v>
      </c>
      <c r="D318" s="48" t="s">
        <v>50</v>
      </c>
      <c r="E318" s="48" t="s">
        <v>150</v>
      </c>
      <c r="F318" s="48">
        <v>108</v>
      </c>
      <c r="G318" s="48">
        <v>16</v>
      </c>
      <c r="H318" s="48">
        <v>391</v>
      </c>
      <c r="I318" s="48">
        <v>98</v>
      </c>
      <c r="J318" s="48">
        <v>35</v>
      </c>
      <c r="K318" s="48">
        <v>458</v>
      </c>
      <c r="L318" s="48">
        <v>116.5</v>
      </c>
      <c r="M318" s="48">
        <v>14</v>
      </c>
      <c r="N318" s="48">
        <v>298</v>
      </c>
      <c r="O318" s="48">
        <v>70</v>
      </c>
      <c r="P318" s="48">
        <v>21</v>
      </c>
      <c r="Q318" s="48">
        <v>429</v>
      </c>
      <c r="R318" s="48">
        <v>84</v>
      </c>
      <c r="S318" s="48">
        <v>27</v>
      </c>
      <c r="T318" s="48">
        <v>379</v>
      </c>
      <c r="U318" s="48">
        <v>76</v>
      </c>
      <c r="V318" s="48">
        <v>20</v>
      </c>
      <c r="W318" s="48">
        <v>194</v>
      </c>
      <c r="X318" s="48">
        <v>552.5</v>
      </c>
      <c r="Y318" s="48">
        <v>21</v>
      </c>
      <c r="Z318" s="48">
        <v>315</v>
      </c>
    </row>
    <row r="319" spans="1:26" ht="15" hidden="1" customHeight="1">
      <c r="A319" s="48" t="s">
        <v>726</v>
      </c>
      <c r="B319" s="48" t="s">
        <v>726</v>
      </c>
      <c r="C319" s="48" t="s">
        <v>727</v>
      </c>
      <c r="D319" s="48" t="s">
        <v>50</v>
      </c>
      <c r="E319" s="48" t="s">
        <v>172</v>
      </c>
      <c r="F319" s="48">
        <v>87</v>
      </c>
      <c r="G319" s="48">
        <v>56</v>
      </c>
      <c r="H319" s="48">
        <v>922</v>
      </c>
      <c r="I319" s="48">
        <v>106</v>
      </c>
      <c r="J319" s="48">
        <v>15</v>
      </c>
      <c r="K319" s="48">
        <v>322</v>
      </c>
      <c r="L319" s="48">
        <v>107.5</v>
      </c>
      <c r="M319" s="48">
        <v>27</v>
      </c>
      <c r="N319" s="48">
        <v>532</v>
      </c>
      <c r="O319" s="48">
        <v>102</v>
      </c>
      <c r="P319" s="48">
        <v>1</v>
      </c>
      <c r="Q319" s="48">
        <v>9</v>
      </c>
      <c r="R319" s="48">
        <v>83</v>
      </c>
      <c r="S319" s="48">
        <v>18</v>
      </c>
      <c r="T319" s="48">
        <v>407</v>
      </c>
      <c r="U319" s="48">
        <v>67</v>
      </c>
      <c r="V319" s="48">
        <v>32</v>
      </c>
      <c r="W319" s="48">
        <v>489</v>
      </c>
      <c r="X319" s="48">
        <v>552.5</v>
      </c>
      <c r="Y319" s="48">
        <v>13</v>
      </c>
      <c r="Z319" s="48">
        <v>315</v>
      </c>
    </row>
    <row r="320" spans="1:26" ht="15" hidden="1" customHeight="1">
      <c r="A320" s="48" t="s">
        <v>728</v>
      </c>
      <c r="B320" s="48" t="s">
        <v>728</v>
      </c>
      <c r="C320" s="48" t="s">
        <v>729</v>
      </c>
      <c r="D320" s="48" t="s">
        <v>50</v>
      </c>
      <c r="E320" s="48" t="s">
        <v>122</v>
      </c>
      <c r="F320" s="48">
        <v>108</v>
      </c>
      <c r="G320" s="48">
        <v>36</v>
      </c>
      <c r="H320" s="48">
        <v>391</v>
      </c>
      <c r="I320" s="48">
        <v>107</v>
      </c>
      <c r="J320" s="48">
        <v>25</v>
      </c>
      <c r="K320" s="48">
        <v>313</v>
      </c>
      <c r="L320" s="48">
        <v>121.5</v>
      </c>
      <c r="M320" s="48">
        <v>13</v>
      </c>
      <c r="N320" s="48">
        <v>160</v>
      </c>
      <c r="O320" s="48">
        <v>64</v>
      </c>
      <c r="P320" s="48">
        <v>42</v>
      </c>
      <c r="Q320" s="48">
        <v>559</v>
      </c>
      <c r="R320" s="48">
        <v>87</v>
      </c>
      <c r="S320" s="48">
        <v>38</v>
      </c>
      <c r="T320" s="48">
        <v>268</v>
      </c>
      <c r="U320" s="48">
        <v>65</v>
      </c>
      <c r="V320" s="48">
        <v>37</v>
      </c>
      <c r="W320" s="48">
        <v>554</v>
      </c>
      <c r="X320" s="48">
        <v>552.5</v>
      </c>
      <c r="Y320" s="48">
        <v>36</v>
      </c>
      <c r="Z320" s="48">
        <v>315</v>
      </c>
    </row>
    <row r="321" spans="1:26" ht="15" hidden="1" customHeight="1">
      <c r="A321" s="48" t="s">
        <v>730</v>
      </c>
      <c r="B321" s="48" t="s">
        <v>730</v>
      </c>
      <c r="C321" s="48" t="s">
        <v>731</v>
      </c>
      <c r="D321" s="48" t="s">
        <v>50</v>
      </c>
      <c r="E321" s="48" t="s">
        <v>240</v>
      </c>
      <c r="F321" s="48">
        <v>113</v>
      </c>
      <c r="G321" s="48">
        <v>8</v>
      </c>
      <c r="H321" s="48">
        <v>196</v>
      </c>
      <c r="I321" s="48">
        <v>116</v>
      </c>
      <c r="J321" s="48">
        <v>9</v>
      </c>
      <c r="K321" s="48">
        <v>186</v>
      </c>
      <c r="L321" s="48">
        <v>110</v>
      </c>
      <c r="M321" s="48">
        <v>29</v>
      </c>
      <c r="N321" s="48">
        <v>478</v>
      </c>
      <c r="O321" s="48">
        <v>65</v>
      </c>
      <c r="P321" s="48">
        <v>36</v>
      </c>
      <c r="Q321" s="48">
        <v>539</v>
      </c>
      <c r="R321" s="48">
        <v>89</v>
      </c>
      <c r="S321" s="48">
        <v>10</v>
      </c>
      <c r="T321" s="48">
        <v>200</v>
      </c>
      <c r="U321" s="48">
        <v>59</v>
      </c>
      <c r="V321" s="48">
        <v>49</v>
      </c>
      <c r="W321" s="48">
        <v>729</v>
      </c>
      <c r="X321" s="48">
        <v>552</v>
      </c>
      <c r="Y321" s="48">
        <v>16</v>
      </c>
      <c r="Z321" s="48">
        <v>318</v>
      </c>
    </row>
    <row r="322" spans="1:26" ht="15" hidden="1" customHeight="1">
      <c r="A322" s="48" t="s">
        <v>732</v>
      </c>
      <c r="B322" s="48" t="s">
        <v>732</v>
      </c>
      <c r="C322" s="48" t="s">
        <v>733</v>
      </c>
      <c r="D322" s="48" t="s">
        <v>50</v>
      </c>
      <c r="E322" s="48" t="s">
        <v>249</v>
      </c>
      <c r="F322" s="48">
        <v>117</v>
      </c>
      <c r="G322" s="48">
        <v>5</v>
      </c>
      <c r="H322" s="48">
        <v>86</v>
      </c>
      <c r="I322" s="48">
        <v>106</v>
      </c>
      <c r="J322" s="48">
        <v>15</v>
      </c>
      <c r="K322" s="48">
        <v>322</v>
      </c>
      <c r="L322" s="48">
        <v>111</v>
      </c>
      <c r="M322" s="48">
        <v>21</v>
      </c>
      <c r="N322" s="48">
        <v>445</v>
      </c>
      <c r="O322" s="48">
        <v>79</v>
      </c>
      <c r="P322" s="48">
        <v>12</v>
      </c>
      <c r="Q322" s="48">
        <v>236</v>
      </c>
      <c r="R322" s="48">
        <v>80</v>
      </c>
      <c r="S322" s="48">
        <v>16</v>
      </c>
      <c r="T322" s="48">
        <v>511</v>
      </c>
      <c r="U322" s="48">
        <v>59</v>
      </c>
      <c r="V322" s="48">
        <v>36</v>
      </c>
      <c r="W322" s="48">
        <v>729</v>
      </c>
      <c r="X322" s="48">
        <v>552</v>
      </c>
      <c r="Y322" s="48">
        <v>15</v>
      </c>
      <c r="Z322" s="48">
        <v>318</v>
      </c>
    </row>
    <row r="323" spans="1:26" ht="15" hidden="1" customHeight="1">
      <c r="A323" s="48" t="s">
        <v>734</v>
      </c>
      <c r="B323" s="48" t="s">
        <v>734</v>
      </c>
      <c r="C323" s="48" t="s">
        <v>735</v>
      </c>
      <c r="D323" s="48" t="s">
        <v>50</v>
      </c>
      <c r="E323" s="48" t="s">
        <v>150</v>
      </c>
      <c r="F323" s="48">
        <v>100</v>
      </c>
      <c r="G323" s="48">
        <v>35</v>
      </c>
      <c r="H323" s="48">
        <v>715</v>
      </c>
      <c r="I323" s="48">
        <v>114</v>
      </c>
      <c r="J323" s="48">
        <v>16</v>
      </c>
      <c r="K323" s="48">
        <v>215</v>
      </c>
      <c r="L323" s="48">
        <v>111</v>
      </c>
      <c r="M323" s="48">
        <v>26</v>
      </c>
      <c r="N323" s="48">
        <v>445</v>
      </c>
      <c r="O323" s="48">
        <v>76</v>
      </c>
      <c r="P323" s="48">
        <v>14</v>
      </c>
      <c r="Q323" s="48">
        <v>302</v>
      </c>
      <c r="R323" s="48">
        <v>78</v>
      </c>
      <c r="S323" s="48">
        <v>41</v>
      </c>
      <c r="T323" s="48">
        <v>577</v>
      </c>
      <c r="U323" s="48">
        <v>73</v>
      </c>
      <c r="V323" s="48">
        <v>29</v>
      </c>
      <c r="W323" s="48">
        <v>275</v>
      </c>
      <c r="X323" s="48">
        <v>552</v>
      </c>
      <c r="Y323" s="48">
        <v>22</v>
      </c>
      <c r="Z323" s="48">
        <v>318</v>
      </c>
    </row>
    <row r="324" spans="1:26" ht="15" hidden="1" customHeight="1">
      <c r="A324" s="48" t="s">
        <v>736</v>
      </c>
      <c r="B324" s="48" t="s">
        <v>736</v>
      </c>
      <c r="C324" s="48" t="s">
        <v>737</v>
      </c>
      <c r="D324" s="48" t="s">
        <v>50</v>
      </c>
      <c r="E324" s="48" t="s">
        <v>240</v>
      </c>
      <c r="F324" s="48">
        <v>127</v>
      </c>
      <c r="G324" s="48">
        <v>1</v>
      </c>
      <c r="H324" s="48">
        <v>4</v>
      </c>
      <c r="I324" s="48">
        <v>91</v>
      </c>
      <c r="J324" s="48">
        <v>32</v>
      </c>
      <c r="K324" s="48">
        <v>566</v>
      </c>
      <c r="L324" s="48">
        <v>111</v>
      </c>
      <c r="M324" s="48">
        <v>26</v>
      </c>
      <c r="N324" s="48">
        <v>445</v>
      </c>
      <c r="O324" s="48">
        <v>72</v>
      </c>
      <c r="P324" s="48">
        <v>23</v>
      </c>
      <c r="Q324" s="48">
        <v>392</v>
      </c>
      <c r="R324" s="48">
        <v>86</v>
      </c>
      <c r="S324" s="48">
        <v>13</v>
      </c>
      <c r="T324" s="48">
        <v>304</v>
      </c>
      <c r="U324" s="48">
        <v>65</v>
      </c>
      <c r="V324" s="48">
        <v>33</v>
      </c>
      <c r="W324" s="48">
        <v>554</v>
      </c>
      <c r="X324" s="48">
        <v>552</v>
      </c>
      <c r="Y324" s="48">
        <v>16</v>
      </c>
      <c r="Z324" s="48">
        <v>318</v>
      </c>
    </row>
    <row r="325" spans="1:26" ht="15" hidden="1" customHeight="1">
      <c r="A325" s="48" t="s">
        <v>738</v>
      </c>
      <c r="B325" s="48" t="s">
        <v>738</v>
      </c>
      <c r="C325" s="48" t="s">
        <v>739</v>
      </c>
      <c r="D325" s="48" t="s">
        <v>50</v>
      </c>
      <c r="E325" s="48" t="s">
        <v>210</v>
      </c>
      <c r="F325" s="48">
        <v>107</v>
      </c>
      <c r="G325" s="48">
        <v>27</v>
      </c>
      <c r="H325" s="48">
        <v>429</v>
      </c>
      <c r="I325" s="48">
        <v>94</v>
      </c>
      <c r="J325" s="48">
        <v>30</v>
      </c>
      <c r="K325" s="48">
        <v>523</v>
      </c>
      <c r="L325" s="48">
        <v>114.5</v>
      </c>
      <c r="M325" s="48">
        <v>23</v>
      </c>
      <c r="N325" s="48">
        <v>340</v>
      </c>
      <c r="O325" s="48">
        <v>67</v>
      </c>
      <c r="P325" s="48">
        <v>30</v>
      </c>
      <c r="Q325" s="48">
        <v>497</v>
      </c>
      <c r="R325" s="48">
        <v>90</v>
      </c>
      <c r="S325" s="48">
        <v>8</v>
      </c>
      <c r="T325" s="48">
        <v>177</v>
      </c>
      <c r="U325" s="48">
        <v>79</v>
      </c>
      <c r="V325" s="48">
        <v>5</v>
      </c>
      <c r="W325" s="48">
        <v>103</v>
      </c>
      <c r="X325" s="48">
        <v>551.5</v>
      </c>
      <c r="Y325" s="48">
        <v>18</v>
      </c>
      <c r="Z325" s="48">
        <v>322</v>
      </c>
    </row>
    <row r="326" spans="1:26" ht="15" hidden="1" customHeight="1">
      <c r="A326" s="48" t="s">
        <v>740</v>
      </c>
      <c r="B326" s="48" t="s">
        <v>740</v>
      </c>
      <c r="C326" s="48" t="s">
        <v>741</v>
      </c>
      <c r="D326" s="48" t="s">
        <v>50</v>
      </c>
      <c r="E326" s="48" t="s">
        <v>296</v>
      </c>
      <c r="F326" s="48">
        <v>100</v>
      </c>
      <c r="G326" s="48">
        <v>33</v>
      </c>
      <c r="H326" s="48">
        <v>715</v>
      </c>
      <c r="I326" s="48">
        <v>127</v>
      </c>
      <c r="J326" s="48">
        <v>4</v>
      </c>
      <c r="K326" s="48">
        <v>78</v>
      </c>
      <c r="L326" s="48">
        <v>60.5</v>
      </c>
      <c r="M326" s="48">
        <v>56</v>
      </c>
      <c r="N326" s="48">
        <v>942</v>
      </c>
      <c r="O326" s="48">
        <v>103</v>
      </c>
      <c r="P326" s="48">
        <v>1</v>
      </c>
      <c r="Q326" s="48">
        <v>7</v>
      </c>
      <c r="R326" s="48">
        <v>88</v>
      </c>
      <c r="S326" s="48">
        <v>15</v>
      </c>
      <c r="T326" s="48">
        <v>240</v>
      </c>
      <c r="U326" s="48">
        <v>73</v>
      </c>
      <c r="V326" s="48">
        <v>9</v>
      </c>
      <c r="W326" s="48">
        <v>275</v>
      </c>
      <c r="X326" s="48">
        <v>551.5</v>
      </c>
      <c r="Y326" s="48">
        <v>16</v>
      </c>
      <c r="Z326" s="48">
        <v>322</v>
      </c>
    </row>
    <row r="327" spans="1:26" ht="15" hidden="1" customHeight="1">
      <c r="A327" s="48" t="s">
        <v>742</v>
      </c>
      <c r="B327" s="48" t="s">
        <v>742</v>
      </c>
      <c r="C327" s="48" t="s">
        <v>743</v>
      </c>
      <c r="D327" s="48" t="s">
        <v>50</v>
      </c>
      <c r="E327" s="48" t="s">
        <v>296</v>
      </c>
      <c r="F327" s="48">
        <v>112</v>
      </c>
      <c r="G327" s="48">
        <v>5</v>
      </c>
      <c r="H327" s="48">
        <v>226</v>
      </c>
      <c r="I327" s="48">
        <v>115</v>
      </c>
      <c r="J327" s="48">
        <v>13</v>
      </c>
      <c r="K327" s="48">
        <v>195</v>
      </c>
      <c r="L327" s="48">
        <v>103.5</v>
      </c>
      <c r="M327" s="48">
        <v>36</v>
      </c>
      <c r="N327" s="48">
        <v>612</v>
      </c>
      <c r="O327" s="48">
        <v>63</v>
      </c>
      <c r="P327" s="48">
        <v>34</v>
      </c>
      <c r="Q327" s="48">
        <v>581</v>
      </c>
      <c r="R327" s="48">
        <v>92</v>
      </c>
      <c r="S327" s="48">
        <v>4</v>
      </c>
      <c r="T327" s="48">
        <v>116</v>
      </c>
      <c r="U327" s="48">
        <v>66</v>
      </c>
      <c r="V327" s="48">
        <v>22</v>
      </c>
      <c r="W327" s="48">
        <v>519</v>
      </c>
      <c r="X327" s="48">
        <v>551.5</v>
      </c>
      <c r="Y327" s="48">
        <v>16</v>
      </c>
      <c r="Z327" s="48">
        <v>322</v>
      </c>
    </row>
    <row r="328" spans="1:26" ht="15" hidden="1" customHeight="1">
      <c r="A328" s="48" t="s">
        <v>744</v>
      </c>
      <c r="B328" s="48" t="s">
        <v>744</v>
      </c>
      <c r="C328" s="48" t="s">
        <v>745</v>
      </c>
      <c r="D328" s="48" t="s">
        <v>50</v>
      </c>
      <c r="E328" s="48" t="s">
        <v>84</v>
      </c>
      <c r="F328" s="48">
        <v>112</v>
      </c>
      <c r="G328" s="48">
        <v>11</v>
      </c>
      <c r="H328" s="48">
        <v>226</v>
      </c>
      <c r="I328" s="48">
        <v>99</v>
      </c>
      <c r="J328" s="48">
        <v>20</v>
      </c>
      <c r="K328" s="48">
        <v>436</v>
      </c>
      <c r="L328" s="48">
        <v>130</v>
      </c>
      <c r="M328" s="48">
        <v>4</v>
      </c>
      <c r="N328" s="48">
        <v>34</v>
      </c>
      <c r="O328" s="48">
        <v>55</v>
      </c>
      <c r="P328" s="48">
        <v>48</v>
      </c>
      <c r="Q328" s="48">
        <v>748</v>
      </c>
      <c r="R328" s="48">
        <v>94</v>
      </c>
      <c r="S328" s="48">
        <v>2</v>
      </c>
      <c r="T328" s="48">
        <v>78</v>
      </c>
      <c r="U328" s="48">
        <v>61</v>
      </c>
      <c r="V328" s="48">
        <v>42</v>
      </c>
      <c r="W328" s="48">
        <v>686</v>
      </c>
      <c r="X328" s="48">
        <v>551</v>
      </c>
      <c r="Y328" s="48">
        <v>14</v>
      </c>
      <c r="Z328" s="48">
        <v>325</v>
      </c>
    </row>
    <row r="329" spans="1:26" ht="15" hidden="1" customHeight="1">
      <c r="A329" s="48" t="s">
        <v>746</v>
      </c>
      <c r="B329" s="48" t="s">
        <v>746</v>
      </c>
      <c r="C329" s="48" t="s">
        <v>747</v>
      </c>
      <c r="D329" s="48" t="s">
        <v>50</v>
      </c>
      <c r="E329" s="48" t="s">
        <v>84</v>
      </c>
      <c r="F329" s="48">
        <v>91</v>
      </c>
      <c r="G329" s="48">
        <v>51</v>
      </c>
      <c r="H329" s="48">
        <v>890</v>
      </c>
      <c r="I329" s="48">
        <v>112</v>
      </c>
      <c r="J329" s="48">
        <v>12</v>
      </c>
      <c r="K329" s="48">
        <v>235</v>
      </c>
      <c r="L329" s="48">
        <v>102.5</v>
      </c>
      <c r="M329" s="48">
        <v>42</v>
      </c>
      <c r="N329" s="48">
        <v>635</v>
      </c>
      <c r="O329" s="48">
        <v>90</v>
      </c>
      <c r="P329" s="48">
        <v>2</v>
      </c>
      <c r="Q329" s="48">
        <v>63</v>
      </c>
      <c r="R329" s="48">
        <v>90</v>
      </c>
      <c r="S329" s="48">
        <v>7</v>
      </c>
      <c r="T329" s="48">
        <v>177</v>
      </c>
      <c r="U329" s="48">
        <v>65</v>
      </c>
      <c r="V329" s="48">
        <v>35</v>
      </c>
      <c r="W329" s="48">
        <v>554</v>
      </c>
      <c r="X329" s="48">
        <v>550.5</v>
      </c>
      <c r="Y329" s="48">
        <v>15</v>
      </c>
      <c r="Z329" s="48">
        <v>326</v>
      </c>
    </row>
    <row r="330" spans="1:26" ht="15" hidden="1" customHeight="1">
      <c r="A330" s="48" t="s">
        <v>748</v>
      </c>
      <c r="B330" s="48" t="s">
        <v>748</v>
      </c>
      <c r="C330" s="48" t="s">
        <v>749</v>
      </c>
      <c r="D330" s="48" t="s">
        <v>50</v>
      </c>
      <c r="E330" s="48" t="s">
        <v>84</v>
      </c>
      <c r="F330" s="48">
        <v>107</v>
      </c>
      <c r="G330" s="48">
        <v>24</v>
      </c>
      <c r="H330" s="48">
        <v>429</v>
      </c>
      <c r="I330" s="48">
        <v>93</v>
      </c>
      <c r="J330" s="48">
        <v>27</v>
      </c>
      <c r="K330" s="48">
        <v>540</v>
      </c>
      <c r="L330" s="48">
        <v>120.5</v>
      </c>
      <c r="M330" s="48">
        <v>11</v>
      </c>
      <c r="N330" s="48">
        <v>192</v>
      </c>
      <c r="O330" s="48">
        <v>66</v>
      </c>
      <c r="P330" s="48">
        <v>32</v>
      </c>
      <c r="Q330" s="48">
        <v>513</v>
      </c>
      <c r="R330" s="48">
        <v>88</v>
      </c>
      <c r="S330" s="48">
        <v>11</v>
      </c>
      <c r="T330" s="48">
        <v>240</v>
      </c>
      <c r="U330" s="48">
        <v>76</v>
      </c>
      <c r="V330" s="48">
        <v>10</v>
      </c>
      <c r="W330" s="48">
        <v>194</v>
      </c>
      <c r="X330" s="48">
        <v>550.5</v>
      </c>
      <c r="Y330" s="48">
        <v>15</v>
      </c>
      <c r="Z330" s="48">
        <v>326</v>
      </c>
    </row>
    <row r="331" spans="1:26" ht="15" hidden="1" customHeight="1">
      <c r="A331" s="48" t="s">
        <v>750</v>
      </c>
      <c r="B331" s="48" t="s">
        <v>750</v>
      </c>
      <c r="C331" s="48" t="s">
        <v>751</v>
      </c>
      <c r="D331" s="48" t="s">
        <v>50</v>
      </c>
      <c r="E331" s="48" t="s">
        <v>150</v>
      </c>
      <c r="F331" s="48">
        <v>93</v>
      </c>
      <c r="G331" s="48">
        <v>48</v>
      </c>
      <c r="H331" s="48">
        <v>868</v>
      </c>
      <c r="I331" s="48">
        <v>128</v>
      </c>
      <c r="J331" s="48">
        <v>6</v>
      </c>
      <c r="K331" s="48">
        <v>70</v>
      </c>
      <c r="L331" s="48">
        <v>120.5</v>
      </c>
      <c r="M331" s="48">
        <v>9</v>
      </c>
      <c r="N331" s="48">
        <v>192</v>
      </c>
      <c r="O331" s="48">
        <v>70</v>
      </c>
      <c r="P331" s="48">
        <v>21</v>
      </c>
      <c r="Q331" s="48">
        <v>429</v>
      </c>
      <c r="R331" s="48">
        <v>74</v>
      </c>
      <c r="S331" s="48">
        <v>47</v>
      </c>
      <c r="T331" s="48">
        <v>702</v>
      </c>
      <c r="U331" s="48">
        <v>65</v>
      </c>
      <c r="V331" s="48">
        <v>46</v>
      </c>
      <c r="W331" s="48">
        <v>554</v>
      </c>
      <c r="X331" s="48">
        <v>550.5</v>
      </c>
      <c r="Y331" s="48">
        <v>23</v>
      </c>
      <c r="Z331" s="48">
        <v>326</v>
      </c>
    </row>
    <row r="332" spans="1:26" ht="15" hidden="1" customHeight="1">
      <c r="A332" s="48" t="s">
        <v>752</v>
      </c>
      <c r="B332" s="48" t="s">
        <v>752</v>
      </c>
      <c r="C332" s="48" t="s">
        <v>753</v>
      </c>
      <c r="D332" s="48" t="s">
        <v>50</v>
      </c>
      <c r="E332" s="48" t="s">
        <v>92</v>
      </c>
      <c r="F332" s="48">
        <v>94</v>
      </c>
      <c r="G332" s="48">
        <v>46</v>
      </c>
      <c r="H332" s="48">
        <v>856</v>
      </c>
      <c r="I332" s="48">
        <v>123</v>
      </c>
      <c r="J332" s="48">
        <v>5</v>
      </c>
      <c r="K332" s="48">
        <v>113</v>
      </c>
      <c r="L332" s="48">
        <v>96.5</v>
      </c>
      <c r="M332" s="48">
        <v>42</v>
      </c>
      <c r="N332" s="48">
        <v>750</v>
      </c>
      <c r="O332" s="48">
        <v>82</v>
      </c>
      <c r="P332" s="48">
        <v>9</v>
      </c>
      <c r="Q332" s="48">
        <v>171</v>
      </c>
      <c r="R332" s="48">
        <v>84</v>
      </c>
      <c r="S332" s="48">
        <v>23</v>
      </c>
      <c r="T332" s="48">
        <v>379</v>
      </c>
      <c r="U332" s="48">
        <v>71</v>
      </c>
      <c r="V332" s="48">
        <v>25</v>
      </c>
      <c r="W332" s="48">
        <v>342</v>
      </c>
      <c r="X332" s="48">
        <v>550.5</v>
      </c>
      <c r="Y332" s="48">
        <v>16</v>
      </c>
      <c r="Z332" s="48">
        <v>326</v>
      </c>
    </row>
    <row r="333" spans="1:26" ht="15" hidden="1" customHeight="1">
      <c r="A333" s="48" t="s">
        <v>754</v>
      </c>
      <c r="B333" s="48" t="s">
        <v>754</v>
      </c>
      <c r="C333" s="48" t="s">
        <v>755</v>
      </c>
      <c r="D333" s="48" t="s">
        <v>50</v>
      </c>
      <c r="E333" s="48" t="s">
        <v>133</v>
      </c>
      <c r="F333" s="48">
        <v>108</v>
      </c>
      <c r="G333" s="48">
        <v>25</v>
      </c>
      <c r="H333" s="48">
        <v>391</v>
      </c>
      <c r="I333" s="48">
        <v>96</v>
      </c>
      <c r="J333" s="48">
        <v>33</v>
      </c>
      <c r="K333" s="48">
        <v>483</v>
      </c>
      <c r="L333" s="48">
        <v>107</v>
      </c>
      <c r="M333" s="48">
        <v>32</v>
      </c>
      <c r="N333" s="48">
        <v>546</v>
      </c>
      <c r="O333" s="48">
        <v>84</v>
      </c>
      <c r="P333" s="48">
        <v>9</v>
      </c>
      <c r="Q333" s="48">
        <v>131</v>
      </c>
      <c r="R333" s="48">
        <v>83</v>
      </c>
      <c r="S333" s="48">
        <v>28</v>
      </c>
      <c r="T333" s="48">
        <v>407</v>
      </c>
      <c r="U333" s="48">
        <v>72</v>
      </c>
      <c r="V333" s="48">
        <v>25</v>
      </c>
      <c r="W333" s="48">
        <v>312</v>
      </c>
      <c r="X333" s="48">
        <v>550</v>
      </c>
      <c r="Y333" s="48">
        <v>23</v>
      </c>
      <c r="Z333" s="48">
        <v>330</v>
      </c>
    </row>
    <row r="334" spans="1:26" ht="15" hidden="1" customHeight="1">
      <c r="A334" s="48" t="s">
        <v>756</v>
      </c>
      <c r="B334" s="48" t="s">
        <v>756</v>
      </c>
      <c r="C334" s="48" t="s">
        <v>757</v>
      </c>
      <c r="D334" s="48" t="s">
        <v>50</v>
      </c>
      <c r="E334" s="48" t="s">
        <v>84</v>
      </c>
      <c r="F334" s="48">
        <v>116</v>
      </c>
      <c r="G334" s="48">
        <v>6</v>
      </c>
      <c r="H334" s="48">
        <v>117</v>
      </c>
      <c r="I334" s="48">
        <v>112</v>
      </c>
      <c r="J334" s="48">
        <v>12</v>
      </c>
      <c r="K334" s="48">
        <v>235</v>
      </c>
      <c r="L334" s="48">
        <v>116</v>
      </c>
      <c r="M334" s="48">
        <v>19</v>
      </c>
      <c r="N334" s="48">
        <v>309</v>
      </c>
      <c r="O334" s="48">
        <v>71</v>
      </c>
      <c r="P334" s="48">
        <v>24</v>
      </c>
      <c r="Q334" s="48">
        <v>411</v>
      </c>
      <c r="R334" s="48">
        <v>66</v>
      </c>
      <c r="S334" s="48">
        <v>49</v>
      </c>
      <c r="T334" s="48">
        <v>849</v>
      </c>
      <c r="U334" s="48">
        <v>69</v>
      </c>
      <c r="V334" s="48">
        <v>23</v>
      </c>
      <c r="W334" s="48">
        <v>420</v>
      </c>
      <c r="X334" s="48">
        <v>550</v>
      </c>
      <c r="Y334" s="48">
        <v>17</v>
      </c>
      <c r="Z334" s="48">
        <v>330</v>
      </c>
    </row>
    <row r="335" spans="1:26" ht="15" hidden="1" customHeight="1">
      <c r="A335" s="48" t="s">
        <v>758</v>
      </c>
      <c r="B335" s="48" t="s">
        <v>758</v>
      </c>
      <c r="C335" s="48" t="s">
        <v>759</v>
      </c>
      <c r="D335" s="48" t="s">
        <v>50</v>
      </c>
      <c r="E335" s="48" t="s">
        <v>111</v>
      </c>
      <c r="F335" s="48">
        <v>105</v>
      </c>
      <c r="G335" s="48">
        <v>28</v>
      </c>
      <c r="H335" s="48">
        <v>515</v>
      </c>
      <c r="I335" s="48">
        <v>116</v>
      </c>
      <c r="J335" s="48">
        <v>8</v>
      </c>
      <c r="K335" s="48">
        <v>186</v>
      </c>
      <c r="L335" s="48">
        <v>114</v>
      </c>
      <c r="M335" s="48">
        <v>20</v>
      </c>
      <c r="N335" s="48">
        <v>356</v>
      </c>
      <c r="O335" s="48">
        <v>65</v>
      </c>
      <c r="P335" s="48">
        <v>26</v>
      </c>
      <c r="Q335" s="48">
        <v>539</v>
      </c>
      <c r="R335" s="48">
        <v>86</v>
      </c>
      <c r="S335" s="48">
        <v>13</v>
      </c>
      <c r="T335" s="48">
        <v>304</v>
      </c>
      <c r="U335" s="48">
        <v>64</v>
      </c>
      <c r="V335" s="48">
        <v>25</v>
      </c>
      <c r="W335" s="48">
        <v>593</v>
      </c>
      <c r="X335" s="48">
        <v>550</v>
      </c>
      <c r="Y335" s="48">
        <v>15</v>
      </c>
      <c r="Z335" s="48">
        <v>330</v>
      </c>
    </row>
    <row r="336" spans="1:26" ht="15" hidden="1" customHeight="1">
      <c r="A336" s="48" t="s">
        <v>760</v>
      </c>
      <c r="B336" s="48" t="s">
        <v>760</v>
      </c>
      <c r="C336" s="48" t="s">
        <v>761</v>
      </c>
      <c r="D336" s="48" t="s">
        <v>50</v>
      </c>
      <c r="E336" s="48" t="s">
        <v>169</v>
      </c>
      <c r="F336" s="48">
        <v>110</v>
      </c>
      <c r="G336" s="48">
        <v>15</v>
      </c>
      <c r="H336" s="48">
        <v>310</v>
      </c>
      <c r="I336" s="48">
        <v>113</v>
      </c>
      <c r="J336" s="48">
        <v>13</v>
      </c>
      <c r="K336" s="48">
        <v>224</v>
      </c>
      <c r="L336" s="48">
        <v>111</v>
      </c>
      <c r="M336" s="48">
        <v>24</v>
      </c>
      <c r="N336" s="48">
        <v>445</v>
      </c>
      <c r="O336" s="48">
        <v>62</v>
      </c>
      <c r="P336" s="48">
        <v>33</v>
      </c>
      <c r="Q336" s="48">
        <v>607</v>
      </c>
      <c r="R336" s="48">
        <v>83</v>
      </c>
      <c r="S336" s="48">
        <v>16</v>
      </c>
      <c r="T336" s="48">
        <v>407</v>
      </c>
      <c r="U336" s="48">
        <v>71</v>
      </c>
      <c r="V336" s="48">
        <v>19</v>
      </c>
      <c r="W336" s="48">
        <v>342</v>
      </c>
      <c r="X336" s="48">
        <v>550</v>
      </c>
      <c r="Y336" s="48">
        <v>19</v>
      </c>
      <c r="Z336" s="48">
        <v>330</v>
      </c>
    </row>
    <row r="337" spans="1:26" ht="15" hidden="1" customHeight="1">
      <c r="A337" s="48" t="s">
        <v>762</v>
      </c>
      <c r="B337" s="48" t="s">
        <v>762</v>
      </c>
      <c r="C337" s="48" t="s">
        <v>763</v>
      </c>
      <c r="D337" s="48" t="s">
        <v>50</v>
      </c>
      <c r="E337" s="48" t="s">
        <v>169</v>
      </c>
      <c r="F337" s="48">
        <v>105</v>
      </c>
      <c r="G337" s="48">
        <v>32</v>
      </c>
      <c r="H337" s="48">
        <v>515</v>
      </c>
      <c r="I337" s="48">
        <v>102</v>
      </c>
      <c r="J337" s="48">
        <v>20</v>
      </c>
      <c r="K337" s="48">
        <v>386</v>
      </c>
      <c r="L337" s="48">
        <v>120.5</v>
      </c>
      <c r="M337" s="48">
        <v>8</v>
      </c>
      <c r="N337" s="48">
        <v>192</v>
      </c>
      <c r="O337" s="48">
        <v>68</v>
      </c>
      <c r="P337" s="48">
        <v>25</v>
      </c>
      <c r="Q337" s="48">
        <v>474</v>
      </c>
      <c r="R337" s="48">
        <v>79</v>
      </c>
      <c r="S337" s="48">
        <v>30</v>
      </c>
      <c r="T337" s="48">
        <v>539</v>
      </c>
      <c r="U337" s="48">
        <v>75</v>
      </c>
      <c r="V337" s="48">
        <v>10</v>
      </c>
      <c r="W337" s="48">
        <v>219</v>
      </c>
      <c r="X337" s="48">
        <v>549.5</v>
      </c>
      <c r="Y337" s="48">
        <v>20</v>
      </c>
      <c r="Z337" s="48">
        <v>334</v>
      </c>
    </row>
    <row r="338" spans="1:26" ht="15" hidden="1" customHeight="1">
      <c r="A338" s="48" t="s">
        <v>764</v>
      </c>
      <c r="B338" s="48" t="s">
        <v>764</v>
      </c>
      <c r="C338" s="48" t="s">
        <v>765</v>
      </c>
      <c r="D338" s="48" t="s">
        <v>50</v>
      </c>
      <c r="E338" s="48" t="s">
        <v>203</v>
      </c>
      <c r="F338" s="48">
        <v>107</v>
      </c>
      <c r="G338" s="48">
        <v>26</v>
      </c>
      <c r="H338" s="48">
        <v>429</v>
      </c>
      <c r="I338" s="48">
        <v>111</v>
      </c>
      <c r="J338" s="48">
        <v>14</v>
      </c>
      <c r="K338" s="48">
        <v>247</v>
      </c>
      <c r="L338" s="48">
        <v>105.5</v>
      </c>
      <c r="M338" s="48">
        <v>30</v>
      </c>
      <c r="N338" s="48">
        <v>568</v>
      </c>
      <c r="O338" s="48">
        <v>70</v>
      </c>
      <c r="P338" s="48">
        <v>26</v>
      </c>
      <c r="Q338" s="48">
        <v>429</v>
      </c>
      <c r="R338" s="48">
        <v>90</v>
      </c>
      <c r="S338" s="48">
        <v>12</v>
      </c>
      <c r="T338" s="48">
        <v>177</v>
      </c>
      <c r="U338" s="48">
        <v>66</v>
      </c>
      <c r="V338" s="48">
        <v>28</v>
      </c>
      <c r="W338" s="48">
        <v>519</v>
      </c>
      <c r="X338" s="48">
        <v>549.5</v>
      </c>
      <c r="Y338" s="48">
        <v>16</v>
      </c>
      <c r="Z338" s="48">
        <v>334</v>
      </c>
    </row>
    <row r="339" spans="1:26" ht="15" hidden="1" customHeight="1">
      <c r="A339" s="48" t="s">
        <v>766</v>
      </c>
      <c r="B339" s="48" t="s">
        <v>766</v>
      </c>
      <c r="C339" s="48" t="s">
        <v>767</v>
      </c>
      <c r="D339" s="48" t="s">
        <v>50</v>
      </c>
      <c r="E339" s="48" t="s">
        <v>150</v>
      </c>
      <c r="F339" s="48">
        <v>100</v>
      </c>
      <c r="G339" s="48">
        <v>35</v>
      </c>
      <c r="H339" s="48">
        <v>715</v>
      </c>
      <c r="I339" s="48">
        <v>111</v>
      </c>
      <c r="J339" s="48">
        <v>19</v>
      </c>
      <c r="K339" s="48">
        <v>247</v>
      </c>
      <c r="L339" s="48">
        <v>92.5</v>
      </c>
      <c r="M339" s="48">
        <v>44</v>
      </c>
      <c r="N339" s="48">
        <v>801</v>
      </c>
      <c r="O339" s="48">
        <v>82</v>
      </c>
      <c r="P339" s="48">
        <v>3</v>
      </c>
      <c r="Q339" s="48">
        <v>171</v>
      </c>
      <c r="R339" s="48">
        <v>81</v>
      </c>
      <c r="S339" s="48">
        <v>32</v>
      </c>
      <c r="T339" s="48">
        <v>474</v>
      </c>
      <c r="U339" s="48">
        <v>83</v>
      </c>
      <c r="V339" s="48">
        <v>3</v>
      </c>
      <c r="W339" s="48">
        <v>30</v>
      </c>
      <c r="X339" s="48">
        <v>549.5</v>
      </c>
      <c r="Y339" s="48">
        <v>24</v>
      </c>
      <c r="Z339" s="48">
        <v>334</v>
      </c>
    </row>
    <row r="340" spans="1:26" ht="15" hidden="1" customHeight="1">
      <c r="A340" s="48" t="s">
        <v>768</v>
      </c>
      <c r="B340" s="48" t="s">
        <v>768</v>
      </c>
      <c r="C340" s="48" t="s">
        <v>769</v>
      </c>
      <c r="D340" s="48" t="s">
        <v>50</v>
      </c>
      <c r="E340" s="48" t="s">
        <v>240</v>
      </c>
      <c r="F340" s="48">
        <v>110</v>
      </c>
      <c r="G340" s="48">
        <v>14</v>
      </c>
      <c r="H340" s="48">
        <v>310</v>
      </c>
      <c r="I340" s="48">
        <v>108</v>
      </c>
      <c r="J340" s="48">
        <v>17</v>
      </c>
      <c r="K340" s="48">
        <v>296</v>
      </c>
      <c r="L340" s="48">
        <v>114</v>
      </c>
      <c r="M340" s="48">
        <v>19</v>
      </c>
      <c r="N340" s="48">
        <v>356</v>
      </c>
      <c r="O340" s="48">
        <v>66</v>
      </c>
      <c r="P340" s="48">
        <v>35</v>
      </c>
      <c r="Q340" s="48">
        <v>513</v>
      </c>
      <c r="R340" s="48">
        <v>77</v>
      </c>
      <c r="S340" s="48">
        <v>33</v>
      </c>
      <c r="T340" s="48">
        <v>608</v>
      </c>
      <c r="U340" s="48">
        <v>74</v>
      </c>
      <c r="V340" s="48">
        <v>16</v>
      </c>
      <c r="W340" s="48">
        <v>247</v>
      </c>
      <c r="X340" s="48">
        <v>549</v>
      </c>
      <c r="Y340" s="48">
        <v>18</v>
      </c>
      <c r="Z340" s="48">
        <v>337</v>
      </c>
    </row>
    <row r="341" spans="1:26" ht="15" hidden="1" customHeight="1">
      <c r="A341" s="48" t="s">
        <v>770</v>
      </c>
      <c r="B341" s="48" t="s">
        <v>770</v>
      </c>
      <c r="C341" s="48" t="s">
        <v>771</v>
      </c>
      <c r="D341" s="48" t="s">
        <v>50</v>
      </c>
      <c r="E341" s="48" t="s">
        <v>217</v>
      </c>
      <c r="F341" s="48">
        <v>101</v>
      </c>
      <c r="G341" s="48">
        <v>37</v>
      </c>
      <c r="H341" s="48">
        <v>688</v>
      </c>
      <c r="I341" s="48">
        <v>117</v>
      </c>
      <c r="J341" s="48">
        <v>8</v>
      </c>
      <c r="K341" s="48">
        <v>174</v>
      </c>
      <c r="L341" s="48">
        <v>96.5</v>
      </c>
      <c r="M341" s="48">
        <v>39</v>
      </c>
      <c r="N341" s="48">
        <v>750</v>
      </c>
      <c r="O341" s="48">
        <v>74</v>
      </c>
      <c r="P341" s="48">
        <v>21</v>
      </c>
      <c r="Q341" s="48">
        <v>345</v>
      </c>
      <c r="R341" s="48">
        <v>87</v>
      </c>
      <c r="S341" s="48">
        <v>8</v>
      </c>
      <c r="T341" s="48">
        <v>268</v>
      </c>
      <c r="U341" s="48">
        <v>73</v>
      </c>
      <c r="V341" s="48">
        <v>13</v>
      </c>
      <c r="W341" s="48">
        <v>275</v>
      </c>
      <c r="X341" s="48">
        <v>548.5</v>
      </c>
      <c r="Y341" s="48">
        <v>13</v>
      </c>
      <c r="Z341" s="48">
        <v>338</v>
      </c>
    </row>
    <row r="342" spans="1:26" ht="15" hidden="1" customHeight="1">
      <c r="A342" s="48" t="s">
        <v>772</v>
      </c>
      <c r="B342" s="48" t="s">
        <v>772</v>
      </c>
      <c r="C342" s="48" t="s">
        <v>773</v>
      </c>
      <c r="D342" s="48" t="s">
        <v>50</v>
      </c>
      <c r="E342" s="48" t="s">
        <v>217</v>
      </c>
      <c r="F342" s="48">
        <v>114</v>
      </c>
      <c r="G342" s="48">
        <v>11</v>
      </c>
      <c r="H342" s="48">
        <v>170</v>
      </c>
      <c r="I342" s="48">
        <v>101</v>
      </c>
      <c r="J342" s="48">
        <v>23</v>
      </c>
      <c r="K342" s="48">
        <v>403</v>
      </c>
      <c r="L342" s="48">
        <v>102.5</v>
      </c>
      <c r="M342" s="48">
        <v>32</v>
      </c>
      <c r="N342" s="48">
        <v>635</v>
      </c>
      <c r="O342" s="48">
        <v>78</v>
      </c>
      <c r="P342" s="48">
        <v>12</v>
      </c>
      <c r="Q342" s="48">
        <v>256</v>
      </c>
      <c r="R342" s="48">
        <v>81</v>
      </c>
      <c r="S342" s="48">
        <v>24</v>
      </c>
      <c r="T342" s="48">
        <v>474</v>
      </c>
      <c r="U342" s="48">
        <v>72</v>
      </c>
      <c r="V342" s="48">
        <v>16</v>
      </c>
      <c r="W342" s="48">
        <v>312</v>
      </c>
      <c r="X342" s="48">
        <v>548.5</v>
      </c>
      <c r="Y342" s="48">
        <v>13</v>
      </c>
      <c r="Z342" s="48">
        <v>338</v>
      </c>
    </row>
    <row r="343" spans="1:26" ht="15" hidden="1" customHeight="1">
      <c r="A343" s="48" t="s">
        <v>774</v>
      </c>
      <c r="B343" s="48" t="s">
        <v>774</v>
      </c>
      <c r="C343" s="48" t="s">
        <v>775</v>
      </c>
      <c r="D343" s="48" t="s">
        <v>50</v>
      </c>
      <c r="E343" s="48" t="s">
        <v>150</v>
      </c>
      <c r="F343" s="48">
        <v>108</v>
      </c>
      <c r="G343" s="48">
        <v>16</v>
      </c>
      <c r="H343" s="48">
        <v>391</v>
      </c>
      <c r="I343" s="48">
        <v>100</v>
      </c>
      <c r="J343" s="48">
        <v>31</v>
      </c>
      <c r="K343" s="48">
        <v>421</v>
      </c>
      <c r="L343" s="48">
        <v>121</v>
      </c>
      <c r="M343" s="48">
        <v>8</v>
      </c>
      <c r="N343" s="48">
        <v>173</v>
      </c>
      <c r="O343" s="48">
        <v>72</v>
      </c>
      <c r="P343" s="48">
        <v>19</v>
      </c>
      <c r="Q343" s="48">
        <v>392</v>
      </c>
      <c r="R343" s="48">
        <v>81</v>
      </c>
      <c r="S343" s="48">
        <v>32</v>
      </c>
      <c r="T343" s="48">
        <v>474</v>
      </c>
      <c r="U343" s="48">
        <v>66</v>
      </c>
      <c r="V343" s="48">
        <v>43</v>
      </c>
      <c r="W343" s="48">
        <v>519</v>
      </c>
      <c r="X343" s="48">
        <v>548</v>
      </c>
      <c r="Y343" s="48">
        <v>25</v>
      </c>
      <c r="Z343" s="48">
        <v>340</v>
      </c>
    </row>
    <row r="344" spans="1:26" ht="15" hidden="1" customHeight="1">
      <c r="A344" s="48" t="s">
        <v>776</v>
      </c>
      <c r="B344" s="48" t="s">
        <v>776</v>
      </c>
      <c r="C344" s="48" t="s">
        <v>777</v>
      </c>
      <c r="D344" s="48" t="s">
        <v>50</v>
      </c>
      <c r="E344" s="48" t="s">
        <v>296</v>
      </c>
      <c r="F344" s="48">
        <v>94</v>
      </c>
      <c r="G344" s="48">
        <v>47</v>
      </c>
      <c r="H344" s="48">
        <v>856</v>
      </c>
      <c r="I344" s="48">
        <v>138</v>
      </c>
      <c r="J344" s="48">
        <v>1</v>
      </c>
      <c r="K344" s="48">
        <v>24</v>
      </c>
      <c r="L344" s="48">
        <v>99.5</v>
      </c>
      <c r="M344" s="48">
        <v>41</v>
      </c>
      <c r="N344" s="48">
        <v>694</v>
      </c>
      <c r="O344" s="48">
        <v>95</v>
      </c>
      <c r="P344" s="48">
        <v>2</v>
      </c>
      <c r="Q344" s="48">
        <v>31</v>
      </c>
      <c r="R344" s="48">
        <v>73</v>
      </c>
      <c r="S344" s="48">
        <v>42</v>
      </c>
      <c r="T344" s="48">
        <v>717</v>
      </c>
      <c r="U344" s="48">
        <v>48</v>
      </c>
      <c r="V344" s="48">
        <v>49</v>
      </c>
      <c r="W344" s="48">
        <v>893</v>
      </c>
      <c r="X344" s="48">
        <v>547.5</v>
      </c>
      <c r="Y344" s="48">
        <v>18</v>
      </c>
      <c r="Z344" s="48">
        <v>341</v>
      </c>
    </row>
    <row r="345" spans="1:26" ht="15" hidden="1" customHeight="1">
      <c r="A345" s="48" t="s">
        <v>778</v>
      </c>
      <c r="B345" s="48" t="s">
        <v>778</v>
      </c>
      <c r="C345" s="48" t="s">
        <v>779</v>
      </c>
      <c r="D345" s="48" t="s">
        <v>50</v>
      </c>
      <c r="E345" s="48" t="s">
        <v>240</v>
      </c>
      <c r="F345" s="48">
        <v>112</v>
      </c>
      <c r="G345" s="48">
        <v>10</v>
      </c>
      <c r="H345" s="48">
        <v>226</v>
      </c>
      <c r="I345" s="48">
        <v>96</v>
      </c>
      <c r="J345" s="48">
        <v>28</v>
      </c>
      <c r="K345" s="48">
        <v>483</v>
      </c>
      <c r="L345" s="48">
        <v>104.5</v>
      </c>
      <c r="M345" s="48">
        <v>37</v>
      </c>
      <c r="N345" s="48">
        <v>593</v>
      </c>
      <c r="O345" s="48">
        <v>82</v>
      </c>
      <c r="P345" s="48">
        <v>9</v>
      </c>
      <c r="Q345" s="48">
        <v>171</v>
      </c>
      <c r="R345" s="48">
        <v>75</v>
      </c>
      <c r="S345" s="48">
        <v>36</v>
      </c>
      <c r="T345" s="48">
        <v>671</v>
      </c>
      <c r="U345" s="48">
        <v>78</v>
      </c>
      <c r="V345" s="48">
        <v>10</v>
      </c>
      <c r="W345" s="48">
        <v>133</v>
      </c>
      <c r="X345" s="48">
        <v>547.5</v>
      </c>
      <c r="Y345" s="48">
        <v>19</v>
      </c>
      <c r="Z345" s="48">
        <v>341</v>
      </c>
    </row>
    <row r="346" spans="1:26" ht="15" hidden="1" customHeight="1">
      <c r="A346" s="48" t="s">
        <v>780</v>
      </c>
      <c r="B346" s="48" t="s">
        <v>780</v>
      </c>
      <c r="C346" s="48" t="s">
        <v>781</v>
      </c>
      <c r="D346" s="48" t="s">
        <v>50</v>
      </c>
      <c r="E346" s="48" t="s">
        <v>169</v>
      </c>
      <c r="F346" s="48">
        <v>106</v>
      </c>
      <c r="G346" s="48">
        <v>29</v>
      </c>
      <c r="H346" s="48">
        <v>477</v>
      </c>
      <c r="I346" s="48">
        <v>111</v>
      </c>
      <c r="J346" s="48">
        <v>16</v>
      </c>
      <c r="K346" s="48">
        <v>247</v>
      </c>
      <c r="L346" s="48">
        <v>108</v>
      </c>
      <c r="M346" s="48">
        <v>32</v>
      </c>
      <c r="N346" s="48">
        <v>519</v>
      </c>
      <c r="O346" s="48">
        <v>75</v>
      </c>
      <c r="P346" s="48">
        <v>19</v>
      </c>
      <c r="Q346" s="48">
        <v>324</v>
      </c>
      <c r="R346" s="48">
        <v>93</v>
      </c>
      <c r="S346" s="48">
        <v>3</v>
      </c>
      <c r="T346" s="48">
        <v>93</v>
      </c>
      <c r="U346" s="48">
        <v>54</v>
      </c>
      <c r="V346" s="48">
        <v>45</v>
      </c>
      <c r="W346" s="48">
        <v>817</v>
      </c>
      <c r="X346" s="48">
        <v>547</v>
      </c>
      <c r="Y346" s="48">
        <v>21</v>
      </c>
      <c r="Z346" s="48">
        <v>343</v>
      </c>
    </row>
    <row r="347" spans="1:26" ht="15" hidden="1" customHeight="1">
      <c r="A347" s="48" t="s">
        <v>782</v>
      </c>
      <c r="B347" s="48" t="s">
        <v>782</v>
      </c>
      <c r="C347" s="48" t="s">
        <v>783</v>
      </c>
      <c r="D347" s="48" t="s">
        <v>50</v>
      </c>
      <c r="E347" s="48" t="s">
        <v>210</v>
      </c>
      <c r="F347" s="48">
        <v>97</v>
      </c>
      <c r="G347" s="48">
        <v>50</v>
      </c>
      <c r="H347" s="48">
        <v>795</v>
      </c>
      <c r="I347" s="48">
        <v>113</v>
      </c>
      <c r="J347" s="48">
        <v>12</v>
      </c>
      <c r="K347" s="48">
        <v>224</v>
      </c>
      <c r="L347" s="48">
        <v>91</v>
      </c>
      <c r="M347" s="48">
        <v>49</v>
      </c>
      <c r="N347" s="48">
        <v>817</v>
      </c>
      <c r="O347" s="48">
        <v>78</v>
      </c>
      <c r="P347" s="48">
        <v>10</v>
      </c>
      <c r="Q347" s="48">
        <v>256</v>
      </c>
      <c r="R347" s="48">
        <v>93</v>
      </c>
      <c r="S347" s="48">
        <v>2</v>
      </c>
      <c r="T347" s="48">
        <v>93</v>
      </c>
      <c r="U347" s="48">
        <v>75</v>
      </c>
      <c r="V347" s="48">
        <v>11</v>
      </c>
      <c r="W347" s="48">
        <v>219</v>
      </c>
      <c r="X347" s="48">
        <v>547</v>
      </c>
      <c r="Y347" s="48">
        <v>19</v>
      </c>
      <c r="Z347" s="48">
        <v>343</v>
      </c>
    </row>
    <row r="348" spans="1:26" ht="15" hidden="1" customHeight="1">
      <c r="A348" s="48" t="s">
        <v>784</v>
      </c>
      <c r="B348" s="48" t="s">
        <v>784</v>
      </c>
      <c r="C348" s="48" t="s">
        <v>785</v>
      </c>
      <c r="D348" s="48" t="s">
        <v>50</v>
      </c>
      <c r="E348" s="48" t="s">
        <v>210</v>
      </c>
      <c r="F348" s="48">
        <v>109</v>
      </c>
      <c r="G348" s="48">
        <v>21</v>
      </c>
      <c r="H348" s="48">
        <v>353</v>
      </c>
      <c r="I348" s="48">
        <v>110</v>
      </c>
      <c r="J348" s="48">
        <v>15</v>
      </c>
      <c r="K348" s="48">
        <v>264</v>
      </c>
      <c r="L348" s="48">
        <v>106</v>
      </c>
      <c r="M348" s="48">
        <v>35</v>
      </c>
      <c r="N348" s="48">
        <v>558</v>
      </c>
      <c r="O348" s="48">
        <v>67</v>
      </c>
      <c r="P348" s="48">
        <v>30</v>
      </c>
      <c r="Q348" s="48">
        <v>497</v>
      </c>
      <c r="R348" s="48">
        <v>84</v>
      </c>
      <c r="S348" s="48">
        <v>28</v>
      </c>
      <c r="T348" s="48">
        <v>379</v>
      </c>
      <c r="U348" s="48">
        <v>71</v>
      </c>
      <c r="V348" s="48">
        <v>17</v>
      </c>
      <c r="W348" s="48">
        <v>342</v>
      </c>
      <c r="X348" s="48">
        <v>547</v>
      </c>
      <c r="Y348" s="48">
        <v>19</v>
      </c>
      <c r="Z348" s="48">
        <v>343</v>
      </c>
    </row>
    <row r="349" spans="1:26" ht="15" hidden="1" customHeight="1">
      <c r="A349" s="48" t="s">
        <v>786</v>
      </c>
      <c r="B349" s="48" t="s">
        <v>786</v>
      </c>
      <c r="C349" s="48" t="s">
        <v>787</v>
      </c>
      <c r="D349" s="48" t="s">
        <v>50</v>
      </c>
      <c r="E349" s="48" t="s">
        <v>240</v>
      </c>
      <c r="F349" s="48">
        <v>97</v>
      </c>
      <c r="G349" s="48">
        <v>47</v>
      </c>
      <c r="H349" s="48">
        <v>795</v>
      </c>
      <c r="I349" s="48">
        <v>110</v>
      </c>
      <c r="J349" s="48">
        <v>14</v>
      </c>
      <c r="K349" s="48">
        <v>264</v>
      </c>
      <c r="L349" s="48">
        <v>109</v>
      </c>
      <c r="M349" s="48">
        <v>30</v>
      </c>
      <c r="N349" s="48">
        <v>500</v>
      </c>
      <c r="O349" s="48">
        <v>80</v>
      </c>
      <c r="P349" s="48">
        <v>12</v>
      </c>
      <c r="Q349" s="48">
        <v>211</v>
      </c>
      <c r="R349" s="48">
        <v>84</v>
      </c>
      <c r="S349" s="48">
        <v>17</v>
      </c>
      <c r="T349" s="48">
        <v>379</v>
      </c>
      <c r="U349" s="48">
        <v>67</v>
      </c>
      <c r="V349" s="48">
        <v>29</v>
      </c>
      <c r="W349" s="48">
        <v>489</v>
      </c>
      <c r="X349" s="48">
        <v>547</v>
      </c>
      <c r="Y349" s="48">
        <v>20</v>
      </c>
      <c r="Z349" s="48">
        <v>343</v>
      </c>
    </row>
    <row r="350" spans="1:26" ht="15" hidden="1" customHeight="1">
      <c r="A350" s="48" t="s">
        <v>788</v>
      </c>
      <c r="B350" s="48" t="s">
        <v>788</v>
      </c>
      <c r="C350" s="48" t="s">
        <v>789</v>
      </c>
      <c r="D350" s="48" t="s">
        <v>50</v>
      </c>
      <c r="E350" s="48" t="s">
        <v>122</v>
      </c>
      <c r="F350" s="48">
        <v>115</v>
      </c>
      <c r="G350" s="48">
        <v>13</v>
      </c>
      <c r="H350" s="48">
        <v>140</v>
      </c>
      <c r="I350" s="48">
        <v>109</v>
      </c>
      <c r="J350" s="48">
        <v>22</v>
      </c>
      <c r="K350" s="48">
        <v>278</v>
      </c>
      <c r="L350" s="48">
        <v>111</v>
      </c>
      <c r="M350" s="48">
        <v>36</v>
      </c>
      <c r="N350" s="48">
        <v>445</v>
      </c>
      <c r="O350" s="48">
        <v>71</v>
      </c>
      <c r="P350" s="48">
        <v>31</v>
      </c>
      <c r="Q350" s="48">
        <v>411</v>
      </c>
      <c r="R350" s="48">
        <v>79</v>
      </c>
      <c r="S350" s="48">
        <v>52</v>
      </c>
      <c r="T350" s="48">
        <v>539</v>
      </c>
      <c r="U350" s="48">
        <v>62</v>
      </c>
      <c r="V350" s="48">
        <v>47</v>
      </c>
      <c r="W350" s="48">
        <v>657</v>
      </c>
      <c r="X350" s="48">
        <v>547</v>
      </c>
      <c r="Y350" s="48">
        <v>37</v>
      </c>
      <c r="Z350" s="48">
        <v>343</v>
      </c>
    </row>
    <row r="351" spans="1:26" ht="15" hidden="1" customHeight="1">
      <c r="A351" s="48" t="s">
        <v>790</v>
      </c>
      <c r="B351" s="48" t="s">
        <v>790</v>
      </c>
      <c r="C351" s="48" t="s">
        <v>791</v>
      </c>
      <c r="D351" s="48" t="s">
        <v>50</v>
      </c>
      <c r="E351" s="48" t="s">
        <v>150</v>
      </c>
      <c r="F351" s="48">
        <v>111</v>
      </c>
      <c r="G351" s="48">
        <v>9</v>
      </c>
      <c r="H351" s="48">
        <v>271</v>
      </c>
      <c r="I351" s="48">
        <v>96</v>
      </c>
      <c r="J351" s="48">
        <v>38</v>
      </c>
      <c r="K351" s="48">
        <v>483</v>
      </c>
      <c r="L351" s="48">
        <v>120.5</v>
      </c>
      <c r="M351" s="48">
        <v>9</v>
      </c>
      <c r="N351" s="48">
        <v>192</v>
      </c>
      <c r="O351" s="48">
        <v>74</v>
      </c>
      <c r="P351" s="48">
        <v>16</v>
      </c>
      <c r="Q351" s="48">
        <v>345</v>
      </c>
      <c r="R351" s="48">
        <v>76</v>
      </c>
      <c r="S351" s="48">
        <v>44</v>
      </c>
      <c r="T351" s="48">
        <v>642</v>
      </c>
      <c r="U351" s="48">
        <v>69</v>
      </c>
      <c r="V351" s="48">
        <v>38</v>
      </c>
      <c r="W351" s="48">
        <v>420</v>
      </c>
      <c r="X351" s="48">
        <v>546.5</v>
      </c>
      <c r="Y351" s="48">
        <v>26</v>
      </c>
      <c r="Z351" s="48">
        <v>348</v>
      </c>
    </row>
    <row r="352" spans="1:26" ht="15" hidden="1" customHeight="1">
      <c r="A352" s="48" t="s">
        <v>792</v>
      </c>
      <c r="B352" s="48" t="s">
        <v>792</v>
      </c>
      <c r="C352" s="48" t="s">
        <v>793</v>
      </c>
      <c r="D352" s="48" t="s">
        <v>50</v>
      </c>
      <c r="E352" s="48" t="s">
        <v>133</v>
      </c>
      <c r="F352" s="48">
        <v>114</v>
      </c>
      <c r="G352" s="48">
        <v>11</v>
      </c>
      <c r="H352" s="48">
        <v>170</v>
      </c>
      <c r="I352" s="48">
        <v>96</v>
      </c>
      <c r="J352" s="48">
        <v>33</v>
      </c>
      <c r="K352" s="48">
        <v>483</v>
      </c>
      <c r="L352" s="48">
        <v>117.5</v>
      </c>
      <c r="M352" s="48">
        <v>15</v>
      </c>
      <c r="N352" s="48">
        <v>281</v>
      </c>
      <c r="O352" s="48">
        <v>63</v>
      </c>
      <c r="P352" s="48">
        <v>34</v>
      </c>
      <c r="Q352" s="48">
        <v>581</v>
      </c>
      <c r="R352" s="48">
        <v>83</v>
      </c>
      <c r="S352" s="48">
        <v>28</v>
      </c>
      <c r="T352" s="48">
        <v>407</v>
      </c>
      <c r="U352" s="48">
        <v>73</v>
      </c>
      <c r="V352" s="48">
        <v>20</v>
      </c>
      <c r="W352" s="48">
        <v>275</v>
      </c>
      <c r="X352" s="48">
        <v>546.5</v>
      </c>
      <c r="Y352" s="48">
        <v>24</v>
      </c>
      <c r="Z352" s="48">
        <v>348</v>
      </c>
    </row>
    <row r="353" spans="1:26" ht="15" hidden="1" customHeight="1">
      <c r="A353" s="48" t="s">
        <v>794</v>
      </c>
      <c r="B353" s="48" t="s">
        <v>794</v>
      </c>
      <c r="C353" s="48" t="s">
        <v>795</v>
      </c>
      <c r="D353" s="48" t="s">
        <v>50</v>
      </c>
      <c r="E353" s="48" t="s">
        <v>97</v>
      </c>
      <c r="F353" s="48">
        <v>112</v>
      </c>
      <c r="G353" s="48">
        <v>12</v>
      </c>
      <c r="H353" s="48">
        <v>226</v>
      </c>
      <c r="I353" s="48">
        <v>92</v>
      </c>
      <c r="J353" s="48">
        <v>32</v>
      </c>
      <c r="K353" s="48">
        <v>557</v>
      </c>
      <c r="L353" s="48">
        <v>112.5</v>
      </c>
      <c r="M353" s="48">
        <v>21</v>
      </c>
      <c r="N353" s="48">
        <v>401</v>
      </c>
      <c r="O353" s="48">
        <v>76</v>
      </c>
      <c r="P353" s="48">
        <v>12</v>
      </c>
      <c r="Q353" s="48">
        <v>302</v>
      </c>
      <c r="R353" s="48">
        <v>84</v>
      </c>
      <c r="S353" s="48">
        <v>25</v>
      </c>
      <c r="T353" s="48">
        <v>379</v>
      </c>
      <c r="U353" s="48">
        <v>70</v>
      </c>
      <c r="V353" s="48">
        <v>30</v>
      </c>
      <c r="W353" s="48">
        <v>380</v>
      </c>
      <c r="X353" s="48">
        <v>546.5</v>
      </c>
      <c r="Y353" s="48">
        <v>16</v>
      </c>
      <c r="Z353" s="48">
        <v>348</v>
      </c>
    </row>
    <row r="354" spans="1:26" ht="15" hidden="1" customHeight="1">
      <c r="A354" s="48" t="s">
        <v>796</v>
      </c>
      <c r="B354" s="48" t="s">
        <v>796</v>
      </c>
      <c r="C354" s="48" t="s">
        <v>797</v>
      </c>
      <c r="D354" s="48" t="s">
        <v>50</v>
      </c>
      <c r="E354" s="48" t="s">
        <v>240</v>
      </c>
      <c r="F354" s="48">
        <v>105</v>
      </c>
      <c r="G354" s="48">
        <v>28</v>
      </c>
      <c r="H354" s="48">
        <v>515</v>
      </c>
      <c r="I354" s="48">
        <v>99</v>
      </c>
      <c r="J354" s="48">
        <v>24</v>
      </c>
      <c r="K354" s="48">
        <v>436</v>
      </c>
      <c r="L354" s="48">
        <v>102</v>
      </c>
      <c r="M354" s="48">
        <v>41</v>
      </c>
      <c r="N354" s="48">
        <v>642</v>
      </c>
      <c r="O354" s="48">
        <v>77</v>
      </c>
      <c r="P354" s="48">
        <v>15</v>
      </c>
      <c r="Q354" s="48">
        <v>278</v>
      </c>
      <c r="R354" s="48">
        <v>81</v>
      </c>
      <c r="S354" s="48">
        <v>26</v>
      </c>
      <c r="T354" s="48">
        <v>474</v>
      </c>
      <c r="U354" s="48">
        <v>82</v>
      </c>
      <c r="V354" s="48">
        <v>3</v>
      </c>
      <c r="W354" s="48">
        <v>46</v>
      </c>
      <c r="X354" s="48">
        <v>546</v>
      </c>
      <c r="Y354" s="48">
        <v>21</v>
      </c>
      <c r="Z354" s="48">
        <v>351</v>
      </c>
    </row>
    <row r="355" spans="1:26" ht="15" hidden="1" customHeight="1">
      <c r="A355" s="48" t="s">
        <v>798</v>
      </c>
      <c r="B355" s="48" t="s">
        <v>798</v>
      </c>
      <c r="C355" s="48" t="s">
        <v>799</v>
      </c>
      <c r="D355" s="48" t="s">
        <v>50</v>
      </c>
      <c r="E355" s="48" t="s">
        <v>296</v>
      </c>
      <c r="F355" s="48">
        <v>107</v>
      </c>
      <c r="G355" s="48">
        <v>17</v>
      </c>
      <c r="H355" s="48">
        <v>429</v>
      </c>
      <c r="I355" s="48">
        <v>112</v>
      </c>
      <c r="J355" s="48">
        <v>15</v>
      </c>
      <c r="K355" s="48">
        <v>235</v>
      </c>
      <c r="L355" s="48">
        <v>115</v>
      </c>
      <c r="M355" s="48">
        <v>17</v>
      </c>
      <c r="N355" s="48">
        <v>330</v>
      </c>
      <c r="O355" s="48">
        <v>65</v>
      </c>
      <c r="P355" s="48">
        <v>32</v>
      </c>
      <c r="Q355" s="48">
        <v>539</v>
      </c>
      <c r="R355" s="48">
        <v>78</v>
      </c>
      <c r="S355" s="48">
        <v>32</v>
      </c>
      <c r="T355" s="48">
        <v>577</v>
      </c>
      <c r="U355" s="48">
        <v>69</v>
      </c>
      <c r="V355" s="48">
        <v>15</v>
      </c>
      <c r="W355" s="48">
        <v>420</v>
      </c>
      <c r="X355" s="48">
        <v>546</v>
      </c>
      <c r="Y355" s="48">
        <v>19</v>
      </c>
      <c r="Z355" s="48">
        <v>351</v>
      </c>
    </row>
    <row r="356" spans="1:26" ht="15" hidden="1" customHeight="1">
      <c r="A356" s="48" t="s">
        <v>800</v>
      </c>
      <c r="B356" s="48" t="s">
        <v>800</v>
      </c>
      <c r="C356" s="48" t="s">
        <v>801</v>
      </c>
      <c r="D356" s="48" t="s">
        <v>50</v>
      </c>
      <c r="E356" s="48" t="s">
        <v>150</v>
      </c>
      <c r="F356" s="48">
        <v>104</v>
      </c>
      <c r="G356" s="48">
        <v>25</v>
      </c>
      <c r="H356" s="48">
        <v>573</v>
      </c>
      <c r="I356" s="48">
        <v>84</v>
      </c>
      <c r="J356" s="48">
        <v>46</v>
      </c>
      <c r="K356" s="48">
        <v>658</v>
      </c>
      <c r="L356" s="48">
        <v>111.5</v>
      </c>
      <c r="M356" s="48">
        <v>24</v>
      </c>
      <c r="N356" s="48">
        <v>427</v>
      </c>
      <c r="O356" s="48">
        <v>69</v>
      </c>
      <c r="P356" s="48">
        <v>24</v>
      </c>
      <c r="Q356" s="48">
        <v>452</v>
      </c>
      <c r="R356" s="48">
        <v>97</v>
      </c>
      <c r="S356" s="48">
        <v>2</v>
      </c>
      <c r="T356" s="48">
        <v>30</v>
      </c>
      <c r="U356" s="48">
        <v>80</v>
      </c>
      <c r="V356" s="48">
        <v>6</v>
      </c>
      <c r="W356" s="48">
        <v>85</v>
      </c>
      <c r="X356" s="48">
        <v>545.5</v>
      </c>
      <c r="Y356" s="48">
        <v>27</v>
      </c>
      <c r="Z356" s="48">
        <v>353</v>
      </c>
    </row>
    <row r="357" spans="1:26" ht="15" hidden="1" customHeight="1">
      <c r="A357" s="48" t="s">
        <v>802</v>
      </c>
      <c r="B357" s="48" t="s">
        <v>802</v>
      </c>
      <c r="C357" s="48" t="s">
        <v>803</v>
      </c>
      <c r="D357" s="48" t="s">
        <v>50</v>
      </c>
      <c r="E357" s="48" t="s">
        <v>106</v>
      </c>
      <c r="F357" s="48">
        <v>96</v>
      </c>
      <c r="G357" s="48">
        <v>50</v>
      </c>
      <c r="H357" s="48">
        <v>814</v>
      </c>
      <c r="I357" s="48">
        <v>110</v>
      </c>
      <c r="J357" s="48">
        <v>12</v>
      </c>
      <c r="K357" s="48">
        <v>264</v>
      </c>
      <c r="L357" s="48">
        <v>115.5</v>
      </c>
      <c r="M357" s="48">
        <v>23</v>
      </c>
      <c r="N357" s="48">
        <v>325</v>
      </c>
      <c r="O357" s="48">
        <v>72</v>
      </c>
      <c r="P357" s="48">
        <v>15</v>
      </c>
      <c r="Q357" s="48">
        <v>392</v>
      </c>
      <c r="R357" s="48">
        <v>79</v>
      </c>
      <c r="S357" s="48">
        <v>19</v>
      </c>
      <c r="T357" s="48">
        <v>539</v>
      </c>
      <c r="U357" s="48">
        <v>73</v>
      </c>
      <c r="V357" s="48">
        <v>8</v>
      </c>
      <c r="W357" s="48">
        <v>275</v>
      </c>
      <c r="X357" s="48">
        <v>545.5</v>
      </c>
      <c r="Y357" s="48">
        <v>13</v>
      </c>
      <c r="Z357" s="48">
        <v>353</v>
      </c>
    </row>
    <row r="358" spans="1:26" ht="15" hidden="1" customHeight="1">
      <c r="A358" s="48" t="s">
        <v>804</v>
      </c>
      <c r="B358" s="48" t="s">
        <v>804</v>
      </c>
      <c r="C358" s="48" t="s">
        <v>805</v>
      </c>
      <c r="D358" s="48" t="s">
        <v>50</v>
      </c>
      <c r="E358" s="48" t="s">
        <v>122</v>
      </c>
      <c r="F358" s="48">
        <v>110</v>
      </c>
      <c r="G358" s="48">
        <v>31</v>
      </c>
      <c r="H358" s="48">
        <v>310</v>
      </c>
      <c r="I358" s="48">
        <v>101</v>
      </c>
      <c r="J358" s="48">
        <v>34</v>
      </c>
      <c r="K358" s="48">
        <v>403</v>
      </c>
      <c r="L358" s="48">
        <v>118.5</v>
      </c>
      <c r="M358" s="48">
        <v>22</v>
      </c>
      <c r="N358" s="48">
        <v>247</v>
      </c>
      <c r="O358" s="48">
        <v>71</v>
      </c>
      <c r="P358" s="48">
        <v>31</v>
      </c>
      <c r="Q358" s="48">
        <v>411</v>
      </c>
      <c r="R358" s="48">
        <v>86</v>
      </c>
      <c r="S358" s="48">
        <v>41</v>
      </c>
      <c r="T358" s="48">
        <v>304</v>
      </c>
      <c r="U358" s="48">
        <v>59</v>
      </c>
      <c r="V358" s="48">
        <v>50</v>
      </c>
      <c r="W358" s="48">
        <v>729</v>
      </c>
      <c r="X358" s="48">
        <v>545.5</v>
      </c>
      <c r="Y358" s="48">
        <v>38</v>
      </c>
      <c r="Z358" s="48">
        <v>353</v>
      </c>
    </row>
    <row r="359" spans="1:26" ht="15" hidden="1" customHeight="1">
      <c r="A359" s="48" t="s">
        <v>806</v>
      </c>
      <c r="B359" s="48" t="s">
        <v>806</v>
      </c>
      <c r="C359" s="48" t="s">
        <v>807</v>
      </c>
      <c r="D359" s="48" t="s">
        <v>50</v>
      </c>
      <c r="E359" s="48" t="s">
        <v>217</v>
      </c>
      <c r="F359" s="48">
        <v>100</v>
      </c>
      <c r="G359" s="48">
        <v>39</v>
      </c>
      <c r="H359" s="48">
        <v>715</v>
      </c>
      <c r="I359" s="48">
        <v>94</v>
      </c>
      <c r="J359" s="48">
        <v>34</v>
      </c>
      <c r="K359" s="48">
        <v>523</v>
      </c>
      <c r="L359" s="48">
        <v>110.5</v>
      </c>
      <c r="M359" s="48">
        <v>23</v>
      </c>
      <c r="N359" s="48">
        <v>465</v>
      </c>
      <c r="O359" s="48">
        <v>80</v>
      </c>
      <c r="P359" s="48">
        <v>10</v>
      </c>
      <c r="Q359" s="48">
        <v>211</v>
      </c>
      <c r="R359" s="48">
        <v>86</v>
      </c>
      <c r="S359" s="48">
        <v>10</v>
      </c>
      <c r="T359" s="48">
        <v>304</v>
      </c>
      <c r="U359" s="48">
        <v>75</v>
      </c>
      <c r="V359" s="48">
        <v>9</v>
      </c>
      <c r="W359" s="48">
        <v>219</v>
      </c>
      <c r="X359" s="48">
        <v>545.5</v>
      </c>
      <c r="Y359" s="48">
        <v>15</v>
      </c>
      <c r="Z359" s="48">
        <v>353</v>
      </c>
    </row>
    <row r="360" spans="1:26" ht="15" hidden="1" customHeight="1">
      <c r="A360" s="48" t="s">
        <v>808</v>
      </c>
      <c r="B360" s="48" t="s">
        <v>808</v>
      </c>
      <c r="C360" s="48" t="s">
        <v>809</v>
      </c>
      <c r="D360" s="48" t="s">
        <v>50</v>
      </c>
      <c r="E360" s="48" t="s">
        <v>172</v>
      </c>
      <c r="F360" s="48">
        <v>100</v>
      </c>
      <c r="G360" s="48">
        <v>41</v>
      </c>
      <c r="H360" s="48">
        <v>715</v>
      </c>
      <c r="I360" s="48">
        <v>121</v>
      </c>
      <c r="J360" s="48">
        <v>6</v>
      </c>
      <c r="K360" s="48">
        <v>131</v>
      </c>
      <c r="L360" s="48">
        <v>83.5</v>
      </c>
      <c r="M360" s="48">
        <v>53</v>
      </c>
      <c r="N360" s="48">
        <v>877</v>
      </c>
      <c r="O360" s="48">
        <v>86</v>
      </c>
      <c r="P360" s="48">
        <v>6</v>
      </c>
      <c r="Q360" s="48">
        <v>101</v>
      </c>
      <c r="R360" s="48">
        <v>87</v>
      </c>
      <c r="S360" s="48">
        <v>12</v>
      </c>
      <c r="T360" s="48">
        <v>268</v>
      </c>
      <c r="U360" s="48">
        <v>67</v>
      </c>
      <c r="V360" s="48">
        <v>32</v>
      </c>
      <c r="W360" s="48">
        <v>489</v>
      </c>
      <c r="X360" s="48">
        <v>544.5</v>
      </c>
      <c r="Y360" s="48">
        <v>14</v>
      </c>
      <c r="Z360" s="48">
        <v>357</v>
      </c>
    </row>
    <row r="361" spans="1:26" ht="15" hidden="1" customHeight="1">
      <c r="A361" s="48" t="s">
        <v>810</v>
      </c>
      <c r="B361" s="48" t="s">
        <v>810</v>
      </c>
      <c r="C361" s="48" t="s">
        <v>811</v>
      </c>
      <c r="D361" s="48" t="s">
        <v>50</v>
      </c>
      <c r="E361" s="48" t="s">
        <v>203</v>
      </c>
      <c r="F361" s="48">
        <v>115</v>
      </c>
      <c r="G361" s="48">
        <v>10</v>
      </c>
      <c r="H361" s="48">
        <v>140</v>
      </c>
      <c r="I361" s="48">
        <v>95</v>
      </c>
      <c r="J361" s="48">
        <v>21</v>
      </c>
      <c r="K361" s="48">
        <v>501</v>
      </c>
      <c r="L361" s="48">
        <v>118.5</v>
      </c>
      <c r="M361" s="48">
        <v>10</v>
      </c>
      <c r="N361" s="48">
        <v>247</v>
      </c>
      <c r="O361" s="48">
        <v>61</v>
      </c>
      <c r="P361" s="48">
        <v>35</v>
      </c>
      <c r="Q361" s="48">
        <v>627</v>
      </c>
      <c r="R361" s="48">
        <v>86</v>
      </c>
      <c r="S361" s="48">
        <v>19</v>
      </c>
      <c r="T361" s="48">
        <v>304</v>
      </c>
      <c r="U361" s="48">
        <v>69</v>
      </c>
      <c r="V361" s="48">
        <v>20</v>
      </c>
      <c r="W361" s="48">
        <v>420</v>
      </c>
      <c r="X361" s="48">
        <v>544.5</v>
      </c>
      <c r="Y361" s="48">
        <v>17</v>
      </c>
      <c r="Z361" s="48">
        <v>357</v>
      </c>
    </row>
    <row r="362" spans="1:26" ht="15" hidden="1" customHeight="1">
      <c r="A362" s="48" t="s">
        <v>812</v>
      </c>
      <c r="B362" s="48" t="s">
        <v>812</v>
      </c>
      <c r="C362" s="48" t="s">
        <v>813</v>
      </c>
      <c r="D362" s="48" t="s">
        <v>50</v>
      </c>
      <c r="E362" s="48" t="s">
        <v>296</v>
      </c>
      <c r="F362" s="48">
        <v>99</v>
      </c>
      <c r="G362" s="48">
        <v>36</v>
      </c>
      <c r="H362" s="48">
        <v>754</v>
      </c>
      <c r="I362" s="48">
        <v>130</v>
      </c>
      <c r="J362" s="48">
        <v>3</v>
      </c>
      <c r="K362" s="48">
        <v>54</v>
      </c>
      <c r="L362" s="48">
        <v>116</v>
      </c>
      <c r="M362" s="48">
        <v>15</v>
      </c>
      <c r="N362" s="48">
        <v>309</v>
      </c>
      <c r="O362" s="48">
        <v>68</v>
      </c>
      <c r="P362" s="48">
        <v>30</v>
      </c>
      <c r="Q362" s="48">
        <v>474</v>
      </c>
      <c r="R362" s="48">
        <v>70</v>
      </c>
      <c r="S362" s="48">
        <v>47</v>
      </c>
      <c r="T362" s="48">
        <v>787</v>
      </c>
      <c r="U362" s="48">
        <v>61</v>
      </c>
      <c r="V362" s="48">
        <v>30</v>
      </c>
      <c r="W362" s="48">
        <v>686</v>
      </c>
      <c r="X362" s="48">
        <v>544</v>
      </c>
      <c r="Y362" s="48">
        <v>20</v>
      </c>
      <c r="Z362" s="48">
        <v>359</v>
      </c>
    </row>
    <row r="363" spans="1:26" ht="15" hidden="1" customHeight="1">
      <c r="A363" s="48" t="s">
        <v>814</v>
      </c>
      <c r="B363" s="48" t="s">
        <v>814</v>
      </c>
      <c r="C363" s="48" t="s">
        <v>815</v>
      </c>
      <c r="D363" s="48" t="s">
        <v>50</v>
      </c>
      <c r="E363" s="48" t="s">
        <v>172</v>
      </c>
      <c r="F363" s="48">
        <v>99</v>
      </c>
      <c r="G363" s="48">
        <v>44</v>
      </c>
      <c r="H363" s="48">
        <v>754</v>
      </c>
      <c r="I363" s="48">
        <v>85</v>
      </c>
      <c r="J363" s="48">
        <v>38</v>
      </c>
      <c r="K363" s="48">
        <v>643</v>
      </c>
      <c r="L363" s="48">
        <v>126</v>
      </c>
      <c r="M363" s="48">
        <v>1</v>
      </c>
      <c r="N363" s="48">
        <v>82</v>
      </c>
      <c r="O363" s="48">
        <v>75</v>
      </c>
      <c r="P363" s="48">
        <v>20</v>
      </c>
      <c r="Q363" s="48">
        <v>324</v>
      </c>
      <c r="R363" s="48">
        <v>87</v>
      </c>
      <c r="S363" s="48">
        <v>12</v>
      </c>
      <c r="T363" s="48">
        <v>268</v>
      </c>
      <c r="U363" s="48">
        <v>72</v>
      </c>
      <c r="V363" s="48">
        <v>16</v>
      </c>
      <c r="W363" s="48">
        <v>312</v>
      </c>
      <c r="X363" s="48">
        <v>544</v>
      </c>
      <c r="Y363" s="48">
        <v>15</v>
      </c>
      <c r="Z363" s="48">
        <v>359</v>
      </c>
    </row>
    <row r="364" spans="1:26" ht="15" hidden="1" customHeight="1">
      <c r="A364" s="48" t="s">
        <v>816</v>
      </c>
      <c r="B364" s="48" t="s">
        <v>816</v>
      </c>
      <c r="C364" s="48" t="s">
        <v>817</v>
      </c>
      <c r="D364" s="48" t="s">
        <v>50</v>
      </c>
      <c r="E364" s="48" t="s">
        <v>133</v>
      </c>
      <c r="F364" s="48">
        <v>107</v>
      </c>
      <c r="G364" s="48">
        <v>30</v>
      </c>
      <c r="H364" s="48">
        <v>429</v>
      </c>
      <c r="I364" s="48">
        <v>116</v>
      </c>
      <c r="J364" s="48">
        <v>11</v>
      </c>
      <c r="K364" s="48">
        <v>186</v>
      </c>
      <c r="L364" s="48">
        <v>67</v>
      </c>
      <c r="M364" s="48">
        <v>57</v>
      </c>
      <c r="N364" s="48">
        <v>932</v>
      </c>
      <c r="O364" s="48">
        <v>84</v>
      </c>
      <c r="P364" s="48">
        <v>9</v>
      </c>
      <c r="Q364" s="48">
        <v>131</v>
      </c>
      <c r="R364" s="48">
        <v>88</v>
      </c>
      <c r="S364" s="48">
        <v>16</v>
      </c>
      <c r="T364" s="48">
        <v>240</v>
      </c>
      <c r="U364" s="48">
        <v>82</v>
      </c>
      <c r="V364" s="48">
        <v>6</v>
      </c>
      <c r="W364" s="48">
        <v>46</v>
      </c>
      <c r="X364" s="48">
        <v>544</v>
      </c>
      <c r="Y364" s="48">
        <v>25</v>
      </c>
      <c r="Z364" s="48">
        <v>359</v>
      </c>
    </row>
    <row r="365" spans="1:26" ht="15" hidden="1" customHeight="1">
      <c r="A365" s="48" t="s">
        <v>818</v>
      </c>
      <c r="B365" s="48" t="s">
        <v>818</v>
      </c>
      <c r="C365" s="48" t="s">
        <v>819</v>
      </c>
      <c r="D365" s="48" t="s">
        <v>50</v>
      </c>
      <c r="E365" s="48" t="s">
        <v>97</v>
      </c>
      <c r="F365" s="48">
        <v>117</v>
      </c>
      <c r="G365" s="48">
        <v>6</v>
      </c>
      <c r="H365" s="48">
        <v>86</v>
      </c>
      <c r="I365" s="48">
        <v>93</v>
      </c>
      <c r="J365" s="48">
        <v>30</v>
      </c>
      <c r="K365" s="48">
        <v>540</v>
      </c>
      <c r="L365" s="48">
        <v>132</v>
      </c>
      <c r="M365" s="48">
        <v>2</v>
      </c>
      <c r="N365" s="48">
        <v>22</v>
      </c>
      <c r="O365" s="48">
        <v>72</v>
      </c>
      <c r="P365" s="48">
        <v>19</v>
      </c>
      <c r="Q365" s="48">
        <v>392</v>
      </c>
      <c r="R365" s="48">
        <v>69</v>
      </c>
      <c r="S365" s="48">
        <v>49</v>
      </c>
      <c r="T365" s="48">
        <v>810</v>
      </c>
      <c r="U365" s="48">
        <v>61</v>
      </c>
      <c r="V365" s="48">
        <v>47</v>
      </c>
      <c r="W365" s="48">
        <v>686</v>
      </c>
      <c r="X365" s="48">
        <v>544</v>
      </c>
      <c r="Y365" s="48">
        <v>17</v>
      </c>
      <c r="Z365" s="48">
        <v>359</v>
      </c>
    </row>
    <row r="366" spans="1:26" ht="15" hidden="1" customHeight="1">
      <c r="A366" s="48" t="s">
        <v>820</v>
      </c>
      <c r="B366" s="48" t="s">
        <v>820</v>
      </c>
      <c r="C366" s="48" t="s">
        <v>821</v>
      </c>
      <c r="D366" s="48" t="s">
        <v>50</v>
      </c>
      <c r="E366" s="48" t="s">
        <v>296</v>
      </c>
      <c r="F366" s="48">
        <v>93</v>
      </c>
      <c r="G366" s="48">
        <v>49</v>
      </c>
      <c r="H366" s="48">
        <v>868</v>
      </c>
      <c r="I366" s="48">
        <v>109</v>
      </c>
      <c r="J366" s="48">
        <v>16</v>
      </c>
      <c r="K366" s="48">
        <v>278</v>
      </c>
      <c r="L366" s="48">
        <v>107.5</v>
      </c>
      <c r="M366" s="48">
        <v>30</v>
      </c>
      <c r="N366" s="48">
        <v>532</v>
      </c>
      <c r="O366" s="48">
        <v>71</v>
      </c>
      <c r="P366" s="48">
        <v>27</v>
      </c>
      <c r="Q366" s="48">
        <v>411</v>
      </c>
      <c r="R366" s="48">
        <v>86</v>
      </c>
      <c r="S366" s="48">
        <v>16</v>
      </c>
      <c r="T366" s="48">
        <v>304</v>
      </c>
      <c r="U366" s="48">
        <v>77</v>
      </c>
      <c r="V366" s="48">
        <v>3</v>
      </c>
      <c r="W366" s="48">
        <v>162</v>
      </c>
      <c r="X366" s="48">
        <v>543.5</v>
      </c>
      <c r="Y366" s="48">
        <v>21</v>
      </c>
      <c r="Z366" s="48">
        <v>363</v>
      </c>
    </row>
    <row r="367" spans="1:26" ht="15" hidden="1" customHeight="1">
      <c r="A367" s="48" t="s">
        <v>822</v>
      </c>
      <c r="B367" s="48" t="s">
        <v>822</v>
      </c>
      <c r="C367" s="48" t="s">
        <v>823</v>
      </c>
      <c r="D367" s="48" t="s">
        <v>50</v>
      </c>
      <c r="E367" s="48" t="s">
        <v>84</v>
      </c>
      <c r="F367" s="48">
        <v>100</v>
      </c>
      <c r="G367" s="48">
        <v>40</v>
      </c>
      <c r="H367" s="48">
        <v>715</v>
      </c>
      <c r="I367" s="48">
        <v>88</v>
      </c>
      <c r="J367" s="48">
        <v>33</v>
      </c>
      <c r="K367" s="48">
        <v>601</v>
      </c>
      <c r="L367" s="48">
        <v>118.5</v>
      </c>
      <c r="M367" s="48">
        <v>13</v>
      </c>
      <c r="N367" s="48">
        <v>247</v>
      </c>
      <c r="O367" s="48">
        <v>74</v>
      </c>
      <c r="P367" s="48">
        <v>20</v>
      </c>
      <c r="Q367" s="48">
        <v>345</v>
      </c>
      <c r="R367" s="48">
        <v>81</v>
      </c>
      <c r="S367" s="48">
        <v>26</v>
      </c>
      <c r="T367" s="48">
        <v>474</v>
      </c>
      <c r="U367" s="48">
        <v>81</v>
      </c>
      <c r="V367" s="48">
        <v>4</v>
      </c>
      <c r="W367" s="48">
        <v>66</v>
      </c>
      <c r="X367" s="48">
        <v>542.5</v>
      </c>
      <c r="Y367" s="48">
        <v>18</v>
      </c>
      <c r="Z367" s="48">
        <v>364</v>
      </c>
    </row>
    <row r="368" spans="1:26" ht="15" hidden="1" customHeight="1">
      <c r="A368" s="48" t="s">
        <v>824</v>
      </c>
      <c r="B368" s="48" t="s">
        <v>824</v>
      </c>
      <c r="C368" s="48" t="s">
        <v>825</v>
      </c>
      <c r="D368" s="48" t="s">
        <v>50</v>
      </c>
      <c r="E368" s="48" t="s">
        <v>92</v>
      </c>
      <c r="F368" s="48">
        <v>114</v>
      </c>
      <c r="G368" s="48">
        <v>5</v>
      </c>
      <c r="H368" s="48">
        <v>170</v>
      </c>
      <c r="I368" s="48">
        <v>110</v>
      </c>
      <c r="J368" s="48">
        <v>11</v>
      </c>
      <c r="K368" s="48">
        <v>264</v>
      </c>
      <c r="L368" s="48">
        <v>90.5</v>
      </c>
      <c r="M368" s="48">
        <v>45</v>
      </c>
      <c r="N368" s="48">
        <v>822</v>
      </c>
      <c r="O368" s="48">
        <v>66</v>
      </c>
      <c r="P368" s="48">
        <v>25</v>
      </c>
      <c r="Q368" s="48">
        <v>513</v>
      </c>
      <c r="R368" s="48">
        <v>82</v>
      </c>
      <c r="S368" s="48">
        <v>27</v>
      </c>
      <c r="T368" s="48">
        <v>452</v>
      </c>
      <c r="U368" s="48">
        <v>80</v>
      </c>
      <c r="V368" s="48">
        <v>6</v>
      </c>
      <c r="W368" s="48">
        <v>85</v>
      </c>
      <c r="X368" s="48">
        <v>542.5</v>
      </c>
      <c r="Y368" s="48">
        <v>17</v>
      </c>
      <c r="Z368" s="48">
        <v>364</v>
      </c>
    </row>
    <row r="369" spans="1:26" ht="15" hidden="1" customHeight="1">
      <c r="A369" s="48" t="s">
        <v>826</v>
      </c>
      <c r="B369" s="48" t="s">
        <v>826</v>
      </c>
      <c r="C369" s="48" t="s">
        <v>827</v>
      </c>
      <c r="D369" s="48" t="s">
        <v>50</v>
      </c>
      <c r="E369" s="48" t="s">
        <v>133</v>
      </c>
      <c r="F369" s="48">
        <v>112</v>
      </c>
      <c r="G369" s="48">
        <v>16</v>
      </c>
      <c r="H369" s="48">
        <v>226</v>
      </c>
      <c r="I369" s="48">
        <v>104</v>
      </c>
      <c r="J369" s="48">
        <v>27</v>
      </c>
      <c r="K369" s="48">
        <v>358</v>
      </c>
      <c r="L369" s="48">
        <v>105</v>
      </c>
      <c r="M369" s="48">
        <v>34</v>
      </c>
      <c r="N369" s="48">
        <v>578</v>
      </c>
      <c r="O369" s="48">
        <v>75</v>
      </c>
      <c r="P369" s="48">
        <v>25</v>
      </c>
      <c r="Q369" s="48">
        <v>324</v>
      </c>
      <c r="R369" s="48">
        <v>83</v>
      </c>
      <c r="S369" s="48">
        <v>28</v>
      </c>
      <c r="T369" s="48">
        <v>407</v>
      </c>
      <c r="U369" s="48">
        <v>63</v>
      </c>
      <c r="V369" s="48">
        <v>45</v>
      </c>
      <c r="W369" s="48">
        <v>625</v>
      </c>
      <c r="X369" s="48">
        <v>542</v>
      </c>
      <c r="Y369" s="48">
        <v>26</v>
      </c>
      <c r="Z369" s="48">
        <v>366</v>
      </c>
    </row>
    <row r="370" spans="1:26" ht="15" hidden="1" customHeight="1">
      <c r="A370" s="48" t="s">
        <v>828</v>
      </c>
      <c r="B370" s="48" t="s">
        <v>828</v>
      </c>
      <c r="C370" s="48" t="s">
        <v>829</v>
      </c>
      <c r="D370" s="48" t="s">
        <v>50</v>
      </c>
      <c r="E370" s="48" t="s">
        <v>133</v>
      </c>
      <c r="F370" s="48">
        <v>106</v>
      </c>
      <c r="G370" s="48">
        <v>33</v>
      </c>
      <c r="H370" s="48">
        <v>477</v>
      </c>
      <c r="I370" s="48">
        <v>104</v>
      </c>
      <c r="J370" s="48">
        <v>27</v>
      </c>
      <c r="K370" s="48">
        <v>358</v>
      </c>
      <c r="L370" s="48">
        <v>104</v>
      </c>
      <c r="M370" s="48">
        <v>37</v>
      </c>
      <c r="N370" s="48">
        <v>600</v>
      </c>
      <c r="O370" s="48">
        <v>63</v>
      </c>
      <c r="P370" s="48">
        <v>34</v>
      </c>
      <c r="Q370" s="48">
        <v>581</v>
      </c>
      <c r="R370" s="48">
        <v>89</v>
      </c>
      <c r="S370" s="48">
        <v>10</v>
      </c>
      <c r="T370" s="48">
        <v>200</v>
      </c>
      <c r="U370" s="48">
        <v>76</v>
      </c>
      <c r="V370" s="48">
        <v>18</v>
      </c>
      <c r="W370" s="48">
        <v>194</v>
      </c>
      <c r="X370" s="48">
        <v>542</v>
      </c>
      <c r="Y370" s="48">
        <v>26</v>
      </c>
      <c r="Z370" s="48">
        <v>366</v>
      </c>
    </row>
    <row r="371" spans="1:26" ht="15" hidden="1" customHeight="1">
      <c r="A371" s="48" t="s">
        <v>830</v>
      </c>
      <c r="B371" s="48" t="s">
        <v>830</v>
      </c>
      <c r="C371" s="48" t="s">
        <v>831</v>
      </c>
      <c r="D371" s="48" t="s">
        <v>50</v>
      </c>
      <c r="E371" s="48" t="s">
        <v>106</v>
      </c>
      <c r="F371" s="48">
        <v>117</v>
      </c>
      <c r="G371" s="48">
        <v>9</v>
      </c>
      <c r="H371" s="48">
        <v>86</v>
      </c>
      <c r="I371" s="48">
        <v>120</v>
      </c>
      <c r="J371" s="48">
        <v>5</v>
      </c>
      <c r="K371" s="48">
        <v>146</v>
      </c>
      <c r="L371" s="48">
        <v>89</v>
      </c>
      <c r="M371" s="48">
        <v>48</v>
      </c>
      <c r="N371" s="48">
        <v>841</v>
      </c>
      <c r="O371" s="48">
        <v>68</v>
      </c>
      <c r="P371" s="48">
        <v>19</v>
      </c>
      <c r="Q371" s="48">
        <v>474</v>
      </c>
      <c r="R371" s="48">
        <v>82</v>
      </c>
      <c r="S371" s="48">
        <v>14</v>
      </c>
      <c r="T371" s="48">
        <v>452</v>
      </c>
      <c r="U371" s="48">
        <v>66</v>
      </c>
      <c r="V371" s="48">
        <v>22</v>
      </c>
      <c r="W371" s="48">
        <v>519</v>
      </c>
      <c r="X371" s="48">
        <v>542</v>
      </c>
      <c r="Y371" s="48">
        <v>14</v>
      </c>
      <c r="Z371" s="48">
        <v>366</v>
      </c>
    </row>
    <row r="372" spans="1:26" ht="15" hidden="1" customHeight="1">
      <c r="A372" s="48" t="s">
        <v>832</v>
      </c>
      <c r="B372" s="48" t="s">
        <v>832</v>
      </c>
      <c r="C372" s="48" t="s">
        <v>833</v>
      </c>
      <c r="D372" s="48" t="s">
        <v>50</v>
      </c>
      <c r="E372" s="48" t="s">
        <v>122</v>
      </c>
      <c r="F372" s="48">
        <v>105</v>
      </c>
      <c r="G372" s="48">
        <v>40</v>
      </c>
      <c r="H372" s="48">
        <v>515</v>
      </c>
      <c r="I372" s="48">
        <v>100</v>
      </c>
      <c r="J372" s="48">
        <v>36</v>
      </c>
      <c r="K372" s="48">
        <v>421</v>
      </c>
      <c r="L372" s="48">
        <v>107</v>
      </c>
      <c r="M372" s="48">
        <v>46</v>
      </c>
      <c r="N372" s="48">
        <v>546</v>
      </c>
      <c r="O372" s="48">
        <v>73</v>
      </c>
      <c r="P372" s="48">
        <v>26</v>
      </c>
      <c r="Q372" s="48">
        <v>370</v>
      </c>
      <c r="R372" s="48">
        <v>86</v>
      </c>
      <c r="S372" s="48">
        <v>41</v>
      </c>
      <c r="T372" s="48">
        <v>304</v>
      </c>
      <c r="U372" s="48">
        <v>71</v>
      </c>
      <c r="V372" s="48">
        <v>25</v>
      </c>
      <c r="W372" s="48">
        <v>342</v>
      </c>
      <c r="X372" s="48">
        <v>542</v>
      </c>
      <c r="Y372" s="48">
        <v>39</v>
      </c>
      <c r="Z372" s="48">
        <v>366</v>
      </c>
    </row>
    <row r="373" spans="1:26" ht="15" hidden="1" customHeight="1">
      <c r="A373" s="48" t="s">
        <v>834</v>
      </c>
      <c r="B373" s="48" t="s">
        <v>834</v>
      </c>
      <c r="C373" s="48" t="s">
        <v>835</v>
      </c>
      <c r="D373" s="48" t="s">
        <v>50</v>
      </c>
      <c r="E373" s="48" t="s">
        <v>203</v>
      </c>
      <c r="F373" s="48">
        <v>107</v>
      </c>
      <c r="G373" s="48">
        <v>26</v>
      </c>
      <c r="H373" s="48">
        <v>429</v>
      </c>
      <c r="I373" s="48">
        <v>94</v>
      </c>
      <c r="J373" s="48">
        <v>23</v>
      </c>
      <c r="K373" s="48">
        <v>523</v>
      </c>
      <c r="L373" s="48">
        <v>108</v>
      </c>
      <c r="M373" s="48">
        <v>28</v>
      </c>
      <c r="N373" s="48">
        <v>519</v>
      </c>
      <c r="O373" s="48">
        <v>79</v>
      </c>
      <c r="P373" s="48">
        <v>11</v>
      </c>
      <c r="Q373" s="48">
        <v>236</v>
      </c>
      <c r="R373" s="48">
        <v>87</v>
      </c>
      <c r="S373" s="48">
        <v>17</v>
      </c>
      <c r="T373" s="48">
        <v>268</v>
      </c>
      <c r="U373" s="48">
        <v>67</v>
      </c>
      <c r="V373" s="48">
        <v>25</v>
      </c>
      <c r="W373" s="48">
        <v>489</v>
      </c>
      <c r="X373" s="48">
        <v>542</v>
      </c>
      <c r="Y373" s="48">
        <v>18</v>
      </c>
      <c r="Z373" s="48">
        <v>366</v>
      </c>
    </row>
    <row r="374" spans="1:26" ht="15" hidden="1" customHeight="1">
      <c r="A374" s="48" t="s">
        <v>836</v>
      </c>
      <c r="B374" s="48" t="s">
        <v>836</v>
      </c>
      <c r="C374" s="48" t="s">
        <v>837</v>
      </c>
      <c r="D374" s="48" t="s">
        <v>50</v>
      </c>
      <c r="E374" s="48" t="s">
        <v>240</v>
      </c>
      <c r="F374" s="48">
        <v>110</v>
      </c>
      <c r="G374" s="48">
        <v>14</v>
      </c>
      <c r="H374" s="48">
        <v>310</v>
      </c>
      <c r="I374" s="48">
        <v>105</v>
      </c>
      <c r="J374" s="48">
        <v>21</v>
      </c>
      <c r="K374" s="48">
        <v>340</v>
      </c>
      <c r="L374" s="48">
        <v>101.5</v>
      </c>
      <c r="M374" s="48">
        <v>43</v>
      </c>
      <c r="N374" s="48">
        <v>654</v>
      </c>
      <c r="O374" s="48">
        <v>73</v>
      </c>
      <c r="P374" s="48">
        <v>20</v>
      </c>
      <c r="Q374" s="48">
        <v>370</v>
      </c>
      <c r="R374" s="48">
        <v>83</v>
      </c>
      <c r="S374" s="48">
        <v>21</v>
      </c>
      <c r="T374" s="48">
        <v>407</v>
      </c>
      <c r="U374" s="48">
        <v>69</v>
      </c>
      <c r="V374" s="48">
        <v>25</v>
      </c>
      <c r="W374" s="48">
        <v>420</v>
      </c>
      <c r="X374" s="48">
        <v>541.5</v>
      </c>
      <c r="Y374" s="48">
        <v>22</v>
      </c>
      <c r="Z374" s="48">
        <v>371</v>
      </c>
    </row>
    <row r="375" spans="1:26" ht="15" hidden="1" customHeight="1">
      <c r="A375" s="48" t="s">
        <v>838</v>
      </c>
      <c r="B375" s="48" t="s">
        <v>838</v>
      </c>
      <c r="C375" s="48" t="s">
        <v>839</v>
      </c>
      <c r="D375" s="48" t="s">
        <v>50</v>
      </c>
      <c r="E375" s="48" t="s">
        <v>122</v>
      </c>
      <c r="F375" s="48">
        <v>108</v>
      </c>
      <c r="G375" s="48">
        <v>36</v>
      </c>
      <c r="H375" s="48">
        <v>391</v>
      </c>
      <c r="I375" s="48">
        <v>111</v>
      </c>
      <c r="J375" s="48">
        <v>20</v>
      </c>
      <c r="K375" s="48">
        <v>247</v>
      </c>
      <c r="L375" s="48">
        <v>107.5</v>
      </c>
      <c r="M375" s="48">
        <v>44</v>
      </c>
      <c r="N375" s="48">
        <v>532</v>
      </c>
      <c r="O375" s="48">
        <v>66</v>
      </c>
      <c r="P375" s="48">
        <v>39</v>
      </c>
      <c r="Q375" s="48">
        <v>513</v>
      </c>
      <c r="R375" s="48">
        <v>85</v>
      </c>
      <c r="S375" s="48">
        <v>45</v>
      </c>
      <c r="T375" s="48">
        <v>339</v>
      </c>
      <c r="U375" s="48">
        <v>64</v>
      </c>
      <c r="V375" s="48">
        <v>39</v>
      </c>
      <c r="W375" s="48">
        <v>593</v>
      </c>
      <c r="X375" s="48">
        <v>541.5</v>
      </c>
      <c r="Y375" s="48">
        <v>40</v>
      </c>
      <c r="Z375" s="48">
        <v>371</v>
      </c>
    </row>
    <row r="376" spans="1:26" ht="15" hidden="1" customHeight="1">
      <c r="A376" s="48" t="s">
        <v>840</v>
      </c>
      <c r="B376" s="48" t="s">
        <v>840</v>
      </c>
      <c r="C376" s="48" t="s">
        <v>841</v>
      </c>
      <c r="D376" s="48" t="s">
        <v>50</v>
      </c>
      <c r="E376" s="48" t="s">
        <v>217</v>
      </c>
      <c r="F376" s="48">
        <v>110</v>
      </c>
      <c r="G376" s="48">
        <v>21</v>
      </c>
      <c r="H376" s="48">
        <v>310</v>
      </c>
      <c r="I376" s="48">
        <v>84</v>
      </c>
      <c r="J376" s="48">
        <v>42</v>
      </c>
      <c r="K376" s="48">
        <v>658</v>
      </c>
      <c r="L376" s="48">
        <v>129.5</v>
      </c>
      <c r="M376" s="48">
        <v>1</v>
      </c>
      <c r="N376" s="48">
        <v>48</v>
      </c>
      <c r="O376" s="48">
        <v>63</v>
      </c>
      <c r="P376" s="48">
        <v>32</v>
      </c>
      <c r="Q376" s="48">
        <v>581</v>
      </c>
      <c r="R376" s="48">
        <v>78</v>
      </c>
      <c r="S376" s="48">
        <v>33</v>
      </c>
      <c r="T376" s="48">
        <v>577</v>
      </c>
      <c r="U376" s="48">
        <v>77</v>
      </c>
      <c r="V376" s="48">
        <v>5</v>
      </c>
      <c r="W376" s="48">
        <v>162</v>
      </c>
      <c r="X376" s="48">
        <v>541.5</v>
      </c>
      <c r="Y376" s="48">
        <v>16</v>
      </c>
      <c r="Z376" s="48">
        <v>371</v>
      </c>
    </row>
    <row r="377" spans="1:26" ht="15" hidden="1" customHeight="1">
      <c r="A377" s="48" t="s">
        <v>842</v>
      </c>
      <c r="B377" s="48" t="s">
        <v>842</v>
      </c>
      <c r="C377" s="48" t="s">
        <v>843</v>
      </c>
      <c r="D377" s="48" t="s">
        <v>50</v>
      </c>
      <c r="E377" s="48" t="s">
        <v>97</v>
      </c>
      <c r="F377" s="48">
        <v>113</v>
      </c>
      <c r="G377" s="48">
        <v>11</v>
      </c>
      <c r="H377" s="48">
        <v>196</v>
      </c>
      <c r="I377" s="48">
        <v>107</v>
      </c>
      <c r="J377" s="48">
        <v>16</v>
      </c>
      <c r="K377" s="48">
        <v>313</v>
      </c>
      <c r="L377" s="48">
        <v>95.5</v>
      </c>
      <c r="M377" s="48">
        <v>43</v>
      </c>
      <c r="N377" s="48">
        <v>769</v>
      </c>
      <c r="O377" s="48">
        <v>68</v>
      </c>
      <c r="P377" s="48">
        <v>26</v>
      </c>
      <c r="Q377" s="48">
        <v>474</v>
      </c>
      <c r="R377" s="48">
        <v>85</v>
      </c>
      <c r="S377" s="48">
        <v>21</v>
      </c>
      <c r="T377" s="48">
        <v>339</v>
      </c>
      <c r="U377" s="48">
        <v>73</v>
      </c>
      <c r="V377" s="48">
        <v>23</v>
      </c>
      <c r="W377" s="48">
        <v>275</v>
      </c>
      <c r="X377" s="48">
        <v>541.5</v>
      </c>
      <c r="Y377" s="48">
        <v>18</v>
      </c>
      <c r="Z377" s="48">
        <v>371</v>
      </c>
    </row>
    <row r="378" spans="1:26" ht="15" hidden="1" customHeight="1">
      <c r="A378" s="48" t="s">
        <v>844</v>
      </c>
      <c r="B378" s="48" t="s">
        <v>844</v>
      </c>
      <c r="C378" s="48" t="s">
        <v>845</v>
      </c>
      <c r="D378" s="48" t="s">
        <v>50</v>
      </c>
      <c r="E378" s="48" t="s">
        <v>92</v>
      </c>
      <c r="F378" s="48">
        <v>118</v>
      </c>
      <c r="G378" s="48">
        <v>2</v>
      </c>
      <c r="H378" s="48">
        <v>69</v>
      </c>
      <c r="I378" s="48">
        <v>93</v>
      </c>
      <c r="J378" s="48">
        <v>31</v>
      </c>
      <c r="K378" s="48">
        <v>540</v>
      </c>
      <c r="L378" s="48">
        <v>114</v>
      </c>
      <c r="M378" s="48">
        <v>17</v>
      </c>
      <c r="N378" s="48">
        <v>356</v>
      </c>
      <c r="O378" s="48">
        <v>80</v>
      </c>
      <c r="P378" s="48">
        <v>12</v>
      </c>
      <c r="Q378" s="48">
        <v>211</v>
      </c>
      <c r="R378" s="48">
        <v>80</v>
      </c>
      <c r="S378" s="48">
        <v>30</v>
      </c>
      <c r="T378" s="48">
        <v>511</v>
      </c>
      <c r="U378" s="48">
        <v>56</v>
      </c>
      <c r="V378" s="48">
        <v>51</v>
      </c>
      <c r="W378" s="48">
        <v>789</v>
      </c>
      <c r="X378" s="48">
        <v>541</v>
      </c>
      <c r="Y378" s="48">
        <v>18</v>
      </c>
      <c r="Z378" s="48">
        <v>375</v>
      </c>
    </row>
    <row r="379" spans="1:26" ht="15" hidden="1" customHeight="1">
      <c r="A379" s="48" t="s">
        <v>846</v>
      </c>
      <c r="B379" s="48" t="s">
        <v>846</v>
      </c>
      <c r="C379" s="48" t="s">
        <v>847</v>
      </c>
      <c r="D379" s="48" t="s">
        <v>50</v>
      </c>
      <c r="E379" s="48" t="s">
        <v>133</v>
      </c>
      <c r="F379" s="48">
        <v>110</v>
      </c>
      <c r="G379" s="48">
        <v>22</v>
      </c>
      <c r="H379" s="48">
        <v>310</v>
      </c>
      <c r="I379" s="48">
        <v>84</v>
      </c>
      <c r="J379" s="48">
        <v>43</v>
      </c>
      <c r="K379" s="48">
        <v>658</v>
      </c>
      <c r="L379" s="48">
        <v>102</v>
      </c>
      <c r="M379" s="48">
        <v>40</v>
      </c>
      <c r="N379" s="48">
        <v>642</v>
      </c>
      <c r="O379" s="48">
        <v>79</v>
      </c>
      <c r="P379" s="48">
        <v>20</v>
      </c>
      <c r="Q379" s="48">
        <v>236</v>
      </c>
      <c r="R379" s="48">
        <v>88</v>
      </c>
      <c r="S379" s="48">
        <v>16</v>
      </c>
      <c r="T379" s="48">
        <v>240</v>
      </c>
      <c r="U379" s="48">
        <v>78</v>
      </c>
      <c r="V379" s="48">
        <v>13</v>
      </c>
      <c r="W379" s="48">
        <v>133</v>
      </c>
      <c r="X379" s="48">
        <v>541</v>
      </c>
      <c r="Y379" s="48">
        <v>28</v>
      </c>
      <c r="Z379" s="48">
        <v>375</v>
      </c>
    </row>
    <row r="380" spans="1:26" ht="15" hidden="1" customHeight="1">
      <c r="A380" s="48" t="s">
        <v>848</v>
      </c>
      <c r="B380" s="48" t="s">
        <v>848</v>
      </c>
      <c r="C380" s="48" t="s">
        <v>849</v>
      </c>
      <c r="D380" s="48" t="s">
        <v>50</v>
      </c>
      <c r="E380" s="48" t="s">
        <v>111</v>
      </c>
      <c r="F380" s="48">
        <v>112</v>
      </c>
      <c r="G380" s="48">
        <v>13</v>
      </c>
      <c r="H380" s="48">
        <v>226</v>
      </c>
      <c r="I380" s="48">
        <v>91</v>
      </c>
      <c r="J380" s="48">
        <v>26</v>
      </c>
      <c r="K380" s="48">
        <v>566</v>
      </c>
      <c r="L380" s="48">
        <v>129</v>
      </c>
      <c r="M380" s="48">
        <v>4</v>
      </c>
      <c r="N380" s="48">
        <v>50</v>
      </c>
      <c r="O380" s="48">
        <v>68</v>
      </c>
      <c r="P380" s="48">
        <v>23</v>
      </c>
      <c r="Q380" s="48">
        <v>474</v>
      </c>
      <c r="R380" s="48">
        <v>85</v>
      </c>
      <c r="S380" s="48">
        <v>15</v>
      </c>
      <c r="T380" s="48">
        <v>339</v>
      </c>
      <c r="U380" s="48">
        <v>56</v>
      </c>
      <c r="V380" s="48">
        <v>43</v>
      </c>
      <c r="W380" s="48">
        <v>789</v>
      </c>
      <c r="X380" s="48">
        <v>541</v>
      </c>
      <c r="Y380" s="48">
        <v>16</v>
      </c>
      <c r="Z380" s="48">
        <v>375</v>
      </c>
    </row>
    <row r="381" spans="1:26" ht="15" hidden="1" customHeight="1">
      <c r="A381" s="48" t="s">
        <v>850</v>
      </c>
      <c r="B381" s="48" t="s">
        <v>850</v>
      </c>
      <c r="C381" s="48" t="s">
        <v>851</v>
      </c>
      <c r="D381" s="48" t="s">
        <v>50</v>
      </c>
      <c r="E381" s="48" t="s">
        <v>210</v>
      </c>
      <c r="F381" s="48">
        <v>105</v>
      </c>
      <c r="G381" s="48">
        <v>33</v>
      </c>
      <c r="H381" s="48">
        <v>515</v>
      </c>
      <c r="I381" s="48">
        <v>84</v>
      </c>
      <c r="J381" s="48">
        <v>42</v>
      </c>
      <c r="K381" s="48">
        <v>658</v>
      </c>
      <c r="L381" s="48">
        <v>114.5</v>
      </c>
      <c r="M381" s="48">
        <v>23</v>
      </c>
      <c r="N381" s="48">
        <v>340</v>
      </c>
      <c r="O381" s="48">
        <v>87</v>
      </c>
      <c r="P381" s="48">
        <v>5</v>
      </c>
      <c r="Q381" s="48">
        <v>92</v>
      </c>
      <c r="R381" s="48">
        <v>75</v>
      </c>
      <c r="S381" s="48">
        <v>42</v>
      </c>
      <c r="T381" s="48">
        <v>671</v>
      </c>
      <c r="U381" s="48">
        <v>75</v>
      </c>
      <c r="V381" s="48">
        <v>11</v>
      </c>
      <c r="W381" s="48">
        <v>219</v>
      </c>
      <c r="X381" s="48">
        <v>540.5</v>
      </c>
      <c r="Y381" s="48">
        <v>21</v>
      </c>
      <c r="Z381" s="48">
        <v>378</v>
      </c>
    </row>
    <row r="382" spans="1:26" ht="15" hidden="1" customHeight="1">
      <c r="A382" s="48" t="s">
        <v>852</v>
      </c>
      <c r="B382" s="48" t="s">
        <v>852</v>
      </c>
      <c r="C382" s="48" t="s">
        <v>853</v>
      </c>
      <c r="D382" s="48" t="s">
        <v>50</v>
      </c>
      <c r="E382" s="48" t="s">
        <v>249</v>
      </c>
      <c r="F382" s="48">
        <v>112</v>
      </c>
      <c r="G382" s="48">
        <v>19</v>
      </c>
      <c r="H382" s="48">
        <v>226</v>
      </c>
      <c r="I382" s="48">
        <v>97</v>
      </c>
      <c r="J382" s="48">
        <v>24</v>
      </c>
      <c r="K382" s="48">
        <v>474</v>
      </c>
      <c r="L382" s="48">
        <v>99.5</v>
      </c>
      <c r="M382" s="48">
        <v>34</v>
      </c>
      <c r="N382" s="48">
        <v>694</v>
      </c>
      <c r="O382" s="48">
        <v>82</v>
      </c>
      <c r="P382" s="48">
        <v>6</v>
      </c>
      <c r="Q382" s="48">
        <v>171</v>
      </c>
      <c r="R382" s="48">
        <v>78</v>
      </c>
      <c r="S382" s="48">
        <v>23</v>
      </c>
      <c r="T382" s="48">
        <v>577</v>
      </c>
      <c r="U382" s="48">
        <v>72</v>
      </c>
      <c r="V382" s="48">
        <v>14</v>
      </c>
      <c r="W382" s="48">
        <v>312</v>
      </c>
      <c r="X382" s="48">
        <v>540.5</v>
      </c>
      <c r="Y382" s="48">
        <v>16</v>
      </c>
      <c r="Z382" s="48">
        <v>378</v>
      </c>
    </row>
    <row r="383" spans="1:26" ht="15" hidden="1" customHeight="1">
      <c r="A383" s="48" t="s">
        <v>854</v>
      </c>
      <c r="B383" s="48" t="s">
        <v>854</v>
      </c>
      <c r="C383" s="48" t="s">
        <v>855</v>
      </c>
      <c r="D383" s="48" t="s">
        <v>50</v>
      </c>
      <c r="E383" s="48" t="s">
        <v>172</v>
      </c>
      <c r="F383" s="48">
        <v>110</v>
      </c>
      <c r="G383" s="48">
        <v>14</v>
      </c>
      <c r="H383" s="48">
        <v>310</v>
      </c>
      <c r="I383" s="48">
        <v>85</v>
      </c>
      <c r="J383" s="48">
        <v>38</v>
      </c>
      <c r="K383" s="48">
        <v>643</v>
      </c>
      <c r="L383" s="48">
        <v>114.5</v>
      </c>
      <c r="M383" s="48">
        <v>16</v>
      </c>
      <c r="N383" s="48">
        <v>340</v>
      </c>
      <c r="O383" s="48">
        <v>75</v>
      </c>
      <c r="P383" s="48">
        <v>20</v>
      </c>
      <c r="Q383" s="48">
        <v>324</v>
      </c>
      <c r="R383" s="48">
        <v>81</v>
      </c>
      <c r="S383" s="48">
        <v>20</v>
      </c>
      <c r="T383" s="48">
        <v>474</v>
      </c>
      <c r="U383" s="48">
        <v>75</v>
      </c>
      <c r="V383" s="48">
        <v>10</v>
      </c>
      <c r="W383" s="48">
        <v>219</v>
      </c>
      <c r="X383" s="48">
        <v>540.5</v>
      </c>
      <c r="Y383" s="48">
        <v>16</v>
      </c>
      <c r="Z383" s="48">
        <v>378</v>
      </c>
    </row>
    <row r="384" spans="1:26" ht="15" hidden="1" customHeight="1">
      <c r="A384" s="48" t="s">
        <v>856</v>
      </c>
      <c r="B384" s="48" t="s">
        <v>856</v>
      </c>
      <c r="C384" s="48" t="s">
        <v>857</v>
      </c>
      <c r="D384" s="48" t="s">
        <v>50</v>
      </c>
      <c r="E384" s="48" t="s">
        <v>169</v>
      </c>
      <c r="F384" s="48">
        <v>111</v>
      </c>
      <c r="G384" s="48">
        <v>14</v>
      </c>
      <c r="H384" s="48">
        <v>271</v>
      </c>
      <c r="I384" s="48">
        <v>108</v>
      </c>
      <c r="J384" s="48">
        <v>18</v>
      </c>
      <c r="K384" s="48">
        <v>296</v>
      </c>
      <c r="L384" s="48">
        <v>111</v>
      </c>
      <c r="M384" s="48">
        <v>24</v>
      </c>
      <c r="N384" s="48">
        <v>445</v>
      </c>
      <c r="O384" s="48">
        <v>55</v>
      </c>
      <c r="P384" s="48">
        <v>43</v>
      </c>
      <c r="Q384" s="48">
        <v>748</v>
      </c>
      <c r="R384" s="48">
        <v>84</v>
      </c>
      <c r="S384" s="48">
        <v>14</v>
      </c>
      <c r="T384" s="48">
        <v>379</v>
      </c>
      <c r="U384" s="48">
        <v>71</v>
      </c>
      <c r="V384" s="48">
        <v>19</v>
      </c>
      <c r="W384" s="48">
        <v>342</v>
      </c>
      <c r="X384" s="48">
        <v>540</v>
      </c>
      <c r="Y384" s="48">
        <v>22</v>
      </c>
      <c r="Z384" s="48">
        <v>381</v>
      </c>
    </row>
    <row r="385" spans="1:26" ht="15" hidden="1" customHeight="1">
      <c r="A385" s="48" t="s">
        <v>858</v>
      </c>
      <c r="B385" s="48" t="s">
        <v>858</v>
      </c>
      <c r="C385" s="48" t="s">
        <v>859</v>
      </c>
      <c r="D385" s="48" t="s">
        <v>50</v>
      </c>
      <c r="E385" s="48" t="s">
        <v>210</v>
      </c>
      <c r="F385" s="48">
        <v>113</v>
      </c>
      <c r="G385" s="48">
        <v>9</v>
      </c>
      <c r="H385" s="48">
        <v>196</v>
      </c>
      <c r="I385" s="48">
        <v>91</v>
      </c>
      <c r="J385" s="48">
        <v>33</v>
      </c>
      <c r="K385" s="48">
        <v>566</v>
      </c>
      <c r="L385" s="48">
        <v>98.5</v>
      </c>
      <c r="M385" s="48">
        <v>43</v>
      </c>
      <c r="N385" s="48">
        <v>719</v>
      </c>
      <c r="O385" s="48">
        <v>89</v>
      </c>
      <c r="P385" s="48">
        <v>3</v>
      </c>
      <c r="Q385" s="48">
        <v>79</v>
      </c>
      <c r="R385" s="48">
        <v>82</v>
      </c>
      <c r="S385" s="48">
        <v>33</v>
      </c>
      <c r="T385" s="48">
        <v>452</v>
      </c>
      <c r="U385" s="48">
        <v>66</v>
      </c>
      <c r="V385" s="48">
        <v>29</v>
      </c>
      <c r="W385" s="48">
        <v>519</v>
      </c>
      <c r="X385" s="48">
        <v>539.5</v>
      </c>
      <c r="Y385" s="48">
        <v>22</v>
      </c>
      <c r="Z385" s="48">
        <v>382</v>
      </c>
    </row>
    <row r="386" spans="1:26" ht="15" hidden="1" customHeight="1">
      <c r="A386" s="48" t="s">
        <v>860</v>
      </c>
      <c r="B386" s="48" t="s">
        <v>860</v>
      </c>
      <c r="C386" s="48" t="s">
        <v>861</v>
      </c>
      <c r="D386" s="48" t="s">
        <v>50</v>
      </c>
      <c r="E386" s="48" t="s">
        <v>84</v>
      </c>
      <c r="F386" s="48">
        <v>109</v>
      </c>
      <c r="G386" s="48">
        <v>19</v>
      </c>
      <c r="H386" s="48">
        <v>353</v>
      </c>
      <c r="I386" s="48">
        <v>93</v>
      </c>
      <c r="J386" s="48">
        <v>27</v>
      </c>
      <c r="K386" s="48">
        <v>540</v>
      </c>
      <c r="L386" s="48">
        <v>114.5</v>
      </c>
      <c r="M386" s="48">
        <v>21</v>
      </c>
      <c r="N386" s="48">
        <v>340</v>
      </c>
      <c r="O386" s="48">
        <v>76</v>
      </c>
      <c r="P386" s="48">
        <v>15</v>
      </c>
      <c r="Q386" s="48">
        <v>302</v>
      </c>
      <c r="R386" s="48">
        <v>78</v>
      </c>
      <c r="S386" s="48">
        <v>31</v>
      </c>
      <c r="T386" s="48">
        <v>577</v>
      </c>
      <c r="U386" s="48">
        <v>69</v>
      </c>
      <c r="V386" s="48">
        <v>23</v>
      </c>
      <c r="W386" s="48">
        <v>420</v>
      </c>
      <c r="X386" s="48">
        <v>539.5</v>
      </c>
      <c r="Y386" s="48">
        <v>19</v>
      </c>
      <c r="Z386" s="48">
        <v>382</v>
      </c>
    </row>
    <row r="387" spans="1:26" ht="15" hidden="1" customHeight="1">
      <c r="A387" s="48" t="s">
        <v>862</v>
      </c>
      <c r="B387" s="48" t="s">
        <v>862</v>
      </c>
      <c r="C387" s="48" t="s">
        <v>863</v>
      </c>
      <c r="D387" s="48" t="s">
        <v>50</v>
      </c>
      <c r="E387" s="48" t="s">
        <v>203</v>
      </c>
      <c r="F387" s="48">
        <v>113</v>
      </c>
      <c r="G387" s="48">
        <v>14</v>
      </c>
      <c r="H387" s="48">
        <v>196</v>
      </c>
      <c r="I387" s="48">
        <v>95</v>
      </c>
      <c r="J387" s="48">
        <v>21</v>
      </c>
      <c r="K387" s="48">
        <v>501</v>
      </c>
      <c r="L387" s="48">
        <v>116.5</v>
      </c>
      <c r="M387" s="48">
        <v>15</v>
      </c>
      <c r="N387" s="48">
        <v>298</v>
      </c>
      <c r="O387" s="48">
        <v>60</v>
      </c>
      <c r="P387" s="48">
        <v>39</v>
      </c>
      <c r="Q387" s="48">
        <v>647</v>
      </c>
      <c r="R387" s="48">
        <v>92</v>
      </c>
      <c r="S387" s="48">
        <v>8</v>
      </c>
      <c r="T387" s="48">
        <v>116</v>
      </c>
      <c r="U387" s="48">
        <v>63</v>
      </c>
      <c r="V387" s="48">
        <v>33</v>
      </c>
      <c r="W387" s="48">
        <v>625</v>
      </c>
      <c r="X387" s="48">
        <v>539.5</v>
      </c>
      <c r="Y387" s="48">
        <v>19</v>
      </c>
      <c r="Z387" s="48">
        <v>382</v>
      </c>
    </row>
    <row r="388" spans="1:26" ht="15" hidden="1" customHeight="1">
      <c r="A388" s="48" t="s">
        <v>864</v>
      </c>
      <c r="B388" s="48" t="s">
        <v>864</v>
      </c>
      <c r="C388" s="48" t="s">
        <v>865</v>
      </c>
      <c r="D388" s="48" t="s">
        <v>50</v>
      </c>
      <c r="E388" s="48" t="s">
        <v>122</v>
      </c>
      <c r="F388" s="48">
        <v>104</v>
      </c>
      <c r="G388" s="48">
        <v>41</v>
      </c>
      <c r="H388" s="48">
        <v>573</v>
      </c>
      <c r="I388" s="48">
        <v>91</v>
      </c>
      <c r="J388" s="48">
        <v>45</v>
      </c>
      <c r="K388" s="48">
        <v>566</v>
      </c>
      <c r="L388" s="48">
        <v>117.5</v>
      </c>
      <c r="M388" s="48">
        <v>24</v>
      </c>
      <c r="N388" s="48">
        <v>281</v>
      </c>
      <c r="O388" s="48">
        <v>82</v>
      </c>
      <c r="P388" s="48">
        <v>14</v>
      </c>
      <c r="Q388" s="48">
        <v>171</v>
      </c>
      <c r="R388" s="48">
        <v>85</v>
      </c>
      <c r="S388" s="48">
        <v>45</v>
      </c>
      <c r="T388" s="48">
        <v>339</v>
      </c>
      <c r="U388" s="48">
        <v>60</v>
      </c>
      <c r="V388" s="48">
        <v>48</v>
      </c>
      <c r="W388" s="48">
        <v>706</v>
      </c>
      <c r="X388" s="48">
        <v>539.5</v>
      </c>
      <c r="Y388" s="48">
        <v>41</v>
      </c>
      <c r="Z388" s="48">
        <v>382</v>
      </c>
    </row>
    <row r="389" spans="1:26" ht="15" hidden="1" customHeight="1">
      <c r="A389" s="48" t="s">
        <v>866</v>
      </c>
      <c r="B389" s="48" t="s">
        <v>866</v>
      </c>
      <c r="C389" s="48" t="s">
        <v>867</v>
      </c>
      <c r="D389" s="48" t="s">
        <v>50</v>
      </c>
      <c r="E389" s="48" t="s">
        <v>133</v>
      </c>
      <c r="F389" s="48">
        <v>108</v>
      </c>
      <c r="G389" s="48">
        <v>25</v>
      </c>
      <c r="H389" s="48">
        <v>391</v>
      </c>
      <c r="I389" s="48">
        <v>84</v>
      </c>
      <c r="J389" s="48">
        <v>43</v>
      </c>
      <c r="K389" s="48">
        <v>658</v>
      </c>
      <c r="L389" s="48">
        <v>124</v>
      </c>
      <c r="M389" s="48">
        <v>7</v>
      </c>
      <c r="N389" s="48">
        <v>115</v>
      </c>
      <c r="O389" s="48">
        <v>68</v>
      </c>
      <c r="P389" s="48">
        <v>29</v>
      </c>
      <c r="Q389" s="48">
        <v>474</v>
      </c>
      <c r="R389" s="48">
        <v>82</v>
      </c>
      <c r="S389" s="48">
        <v>32</v>
      </c>
      <c r="T389" s="48">
        <v>452</v>
      </c>
      <c r="U389" s="48">
        <v>73</v>
      </c>
      <c r="V389" s="48">
        <v>20</v>
      </c>
      <c r="W389" s="48">
        <v>275</v>
      </c>
      <c r="X389" s="48">
        <v>539</v>
      </c>
      <c r="Y389" s="48">
        <v>29</v>
      </c>
      <c r="Z389" s="48">
        <v>386</v>
      </c>
    </row>
    <row r="390" spans="1:26" ht="15" hidden="1" customHeight="1">
      <c r="A390" s="48" t="s">
        <v>868</v>
      </c>
      <c r="B390" s="48" t="s">
        <v>868</v>
      </c>
      <c r="C390" s="48" t="s">
        <v>869</v>
      </c>
      <c r="D390" s="48" t="s">
        <v>50</v>
      </c>
      <c r="E390" s="48" t="s">
        <v>92</v>
      </c>
      <c r="F390" s="48">
        <v>95</v>
      </c>
      <c r="G390" s="48">
        <v>43</v>
      </c>
      <c r="H390" s="48">
        <v>837</v>
      </c>
      <c r="I390" s="48">
        <v>102</v>
      </c>
      <c r="J390" s="48">
        <v>17</v>
      </c>
      <c r="K390" s="48">
        <v>386</v>
      </c>
      <c r="L390" s="48">
        <v>105.5</v>
      </c>
      <c r="M390" s="48">
        <v>26</v>
      </c>
      <c r="N390" s="48">
        <v>568</v>
      </c>
      <c r="O390" s="48">
        <v>74</v>
      </c>
      <c r="P390" s="48">
        <v>18</v>
      </c>
      <c r="Q390" s="48">
        <v>345</v>
      </c>
      <c r="R390" s="48">
        <v>86</v>
      </c>
      <c r="S390" s="48">
        <v>15</v>
      </c>
      <c r="T390" s="48">
        <v>304</v>
      </c>
      <c r="U390" s="48">
        <v>76</v>
      </c>
      <c r="V390" s="48">
        <v>15</v>
      </c>
      <c r="W390" s="48">
        <v>194</v>
      </c>
      <c r="X390" s="48">
        <v>538.5</v>
      </c>
      <c r="Y390" s="48">
        <v>19</v>
      </c>
      <c r="Z390" s="48">
        <v>387</v>
      </c>
    </row>
    <row r="391" spans="1:26" ht="15" hidden="1" customHeight="1">
      <c r="A391" s="48" t="s">
        <v>870</v>
      </c>
      <c r="B391" s="48" t="s">
        <v>870</v>
      </c>
      <c r="C391" s="48" t="s">
        <v>871</v>
      </c>
      <c r="D391" s="48" t="s">
        <v>50</v>
      </c>
      <c r="E391" s="48" t="s">
        <v>97</v>
      </c>
      <c r="F391" s="48">
        <v>114</v>
      </c>
      <c r="G391" s="48">
        <v>8</v>
      </c>
      <c r="H391" s="48">
        <v>170</v>
      </c>
      <c r="I391" s="48">
        <v>103</v>
      </c>
      <c r="J391" s="48">
        <v>22</v>
      </c>
      <c r="K391" s="48">
        <v>374</v>
      </c>
      <c r="L391" s="48">
        <v>98.5</v>
      </c>
      <c r="M391" s="48">
        <v>39</v>
      </c>
      <c r="N391" s="48">
        <v>719</v>
      </c>
      <c r="O391" s="48">
        <v>69</v>
      </c>
      <c r="P391" s="48">
        <v>23</v>
      </c>
      <c r="Q391" s="48">
        <v>452</v>
      </c>
      <c r="R391" s="48">
        <v>83</v>
      </c>
      <c r="S391" s="48">
        <v>28</v>
      </c>
      <c r="T391" s="48">
        <v>407</v>
      </c>
      <c r="U391" s="48">
        <v>71</v>
      </c>
      <c r="V391" s="48">
        <v>25</v>
      </c>
      <c r="W391" s="48">
        <v>342</v>
      </c>
      <c r="X391" s="48">
        <v>538.5</v>
      </c>
      <c r="Y391" s="48">
        <v>19</v>
      </c>
      <c r="Z391" s="48">
        <v>387</v>
      </c>
    </row>
    <row r="392" spans="1:26" ht="15" hidden="1" customHeight="1">
      <c r="A392" s="48" t="s">
        <v>872</v>
      </c>
      <c r="B392" s="48" t="s">
        <v>872</v>
      </c>
      <c r="C392" s="48" t="s">
        <v>873</v>
      </c>
      <c r="D392" s="48" t="s">
        <v>50</v>
      </c>
      <c r="E392" s="48" t="s">
        <v>210</v>
      </c>
      <c r="F392" s="48">
        <v>101</v>
      </c>
      <c r="G392" s="48">
        <v>44</v>
      </c>
      <c r="H392" s="48">
        <v>688</v>
      </c>
      <c r="I392" s="48">
        <v>90</v>
      </c>
      <c r="J392" s="48">
        <v>34</v>
      </c>
      <c r="K392" s="48">
        <v>578</v>
      </c>
      <c r="L392" s="48">
        <v>120.5</v>
      </c>
      <c r="M392" s="48">
        <v>9</v>
      </c>
      <c r="N392" s="48">
        <v>192</v>
      </c>
      <c r="O392" s="48">
        <v>71</v>
      </c>
      <c r="P392" s="48">
        <v>19</v>
      </c>
      <c r="Q392" s="48">
        <v>411</v>
      </c>
      <c r="R392" s="48">
        <v>90</v>
      </c>
      <c r="S392" s="48">
        <v>8</v>
      </c>
      <c r="T392" s="48">
        <v>177</v>
      </c>
      <c r="U392" s="48">
        <v>66</v>
      </c>
      <c r="V392" s="48">
        <v>29</v>
      </c>
      <c r="W392" s="48">
        <v>519</v>
      </c>
      <c r="X392" s="48">
        <v>538.5</v>
      </c>
      <c r="Y392" s="48">
        <v>23</v>
      </c>
      <c r="Z392" s="48">
        <v>387</v>
      </c>
    </row>
    <row r="393" spans="1:26" ht="15" hidden="1" customHeight="1">
      <c r="A393" s="48" t="s">
        <v>874</v>
      </c>
      <c r="B393" s="48" t="s">
        <v>874</v>
      </c>
      <c r="C393" s="48" t="s">
        <v>875</v>
      </c>
      <c r="D393" s="48" t="s">
        <v>50</v>
      </c>
      <c r="E393" s="48" t="s">
        <v>169</v>
      </c>
      <c r="F393" s="48">
        <v>116</v>
      </c>
      <c r="G393" s="48">
        <v>7</v>
      </c>
      <c r="H393" s="48">
        <v>117</v>
      </c>
      <c r="I393" s="48">
        <v>98</v>
      </c>
      <c r="J393" s="48">
        <v>25</v>
      </c>
      <c r="K393" s="48">
        <v>458</v>
      </c>
      <c r="L393" s="48">
        <v>110.5</v>
      </c>
      <c r="M393" s="48">
        <v>26</v>
      </c>
      <c r="N393" s="48">
        <v>465</v>
      </c>
      <c r="O393" s="48">
        <v>63</v>
      </c>
      <c r="P393" s="48">
        <v>30</v>
      </c>
      <c r="Q393" s="48">
        <v>581</v>
      </c>
      <c r="R393" s="48">
        <v>83</v>
      </c>
      <c r="S393" s="48">
        <v>16</v>
      </c>
      <c r="T393" s="48">
        <v>407</v>
      </c>
      <c r="U393" s="48">
        <v>68</v>
      </c>
      <c r="V393" s="48">
        <v>26</v>
      </c>
      <c r="W393" s="48">
        <v>452</v>
      </c>
      <c r="X393" s="48">
        <v>538.5</v>
      </c>
      <c r="Y393" s="48">
        <v>23</v>
      </c>
      <c r="Z393" s="48">
        <v>387</v>
      </c>
    </row>
    <row r="394" spans="1:26" ht="15" hidden="1" customHeight="1">
      <c r="A394" s="48" t="s">
        <v>876</v>
      </c>
      <c r="B394" s="48" t="s">
        <v>876</v>
      </c>
      <c r="C394" s="48" t="s">
        <v>877</v>
      </c>
      <c r="D394" s="48" t="s">
        <v>50</v>
      </c>
      <c r="E394" s="48" t="s">
        <v>111</v>
      </c>
      <c r="F394" s="48">
        <v>107</v>
      </c>
      <c r="G394" s="48">
        <v>23</v>
      </c>
      <c r="H394" s="48">
        <v>429</v>
      </c>
      <c r="I394" s="48">
        <v>105</v>
      </c>
      <c r="J394" s="48">
        <v>15</v>
      </c>
      <c r="K394" s="48">
        <v>340</v>
      </c>
      <c r="L394" s="48">
        <v>93.5</v>
      </c>
      <c r="M394" s="48">
        <v>48</v>
      </c>
      <c r="N394" s="48">
        <v>790</v>
      </c>
      <c r="O394" s="48">
        <v>83</v>
      </c>
      <c r="P394" s="48">
        <v>6</v>
      </c>
      <c r="Q394" s="48">
        <v>153</v>
      </c>
      <c r="R394" s="48">
        <v>79</v>
      </c>
      <c r="S394" s="48">
        <v>29</v>
      </c>
      <c r="T394" s="48">
        <v>539</v>
      </c>
      <c r="U394" s="48">
        <v>71</v>
      </c>
      <c r="V394" s="48">
        <v>15</v>
      </c>
      <c r="W394" s="48">
        <v>342</v>
      </c>
      <c r="X394" s="48">
        <v>538.5</v>
      </c>
      <c r="Y394" s="48">
        <v>17</v>
      </c>
      <c r="Z394" s="48">
        <v>387</v>
      </c>
    </row>
    <row r="395" spans="1:26" ht="15" hidden="1" customHeight="1">
      <c r="A395" s="48" t="s">
        <v>878</v>
      </c>
      <c r="B395" s="48" t="s">
        <v>878</v>
      </c>
      <c r="C395" s="48" t="s">
        <v>879</v>
      </c>
      <c r="D395" s="48" t="s">
        <v>50</v>
      </c>
      <c r="E395" s="48" t="s">
        <v>210</v>
      </c>
      <c r="F395" s="48">
        <v>106</v>
      </c>
      <c r="G395" s="48">
        <v>31</v>
      </c>
      <c r="H395" s="48">
        <v>477</v>
      </c>
      <c r="I395" s="48">
        <v>111</v>
      </c>
      <c r="J395" s="48">
        <v>14</v>
      </c>
      <c r="K395" s="48">
        <v>247</v>
      </c>
      <c r="L395" s="48">
        <v>92</v>
      </c>
      <c r="M395" s="48">
        <v>48</v>
      </c>
      <c r="N395" s="48">
        <v>809</v>
      </c>
      <c r="O395" s="48">
        <v>70</v>
      </c>
      <c r="P395" s="48">
        <v>20</v>
      </c>
      <c r="Q395" s="48">
        <v>429</v>
      </c>
      <c r="R395" s="48">
        <v>92</v>
      </c>
      <c r="S395" s="48">
        <v>3</v>
      </c>
      <c r="T395" s="48">
        <v>116</v>
      </c>
      <c r="U395" s="48">
        <v>67</v>
      </c>
      <c r="V395" s="48">
        <v>26</v>
      </c>
      <c r="W395" s="48">
        <v>489</v>
      </c>
      <c r="X395" s="48">
        <v>538</v>
      </c>
      <c r="Y395" s="48">
        <v>24</v>
      </c>
      <c r="Z395" s="48">
        <v>392</v>
      </c>
    </row>
    <row r="396" spans="1:26" ht="15" hidden="1" customHeight="1">
      <c r="A396" s="48" t="s">
        <v>880</v>
      </c>
      <c r="B396" s="48" t="s">
        <v>880</v>
      </c>
      <c r="C396" s="48" t="s">
        <v>881</v>
      </c>
      <c r="D396" s="48" t="s">
        <v>50</v>
      </c>
      <c r="E396" s="48" t="s">
        <v>122</v>
      </c>
      <c r="F396" s="48">
        <v>103</v>
      </c>
      <c r="G396" s="48">
        <v>43</v>
      </c>
      <c r="H396" s="48">
        <v>606</v>
      </c>
      <c r="I396" s="48">
        <v>102</v>
      </c>
      <c r="J396" s="48">
        <v>31</v>
      </c>
      <c r="K396" s="48">
        <v>386</v>
      </c>
      <c r="L396" s="48">
        <v>101</v>
      </c>
      <c r="M396" s="48">
        <v>49</v>
      </c>
      <c r="N396" s="48">
        <v>661</v>
      </c>
      <c r="O396" s="48">
        <v>66</v>
      </c>
      <c r="P396" s="48">
        <v>39</v>
      </c>
      <c r="Q396" s="48">
        <v>513</v>
      </c>
      <c r="R396" s="48">
        <v>87</v>
      </c>
      <c r="S396" s="48">
        <v>38</v>
      </c>
      <c r="T396" s="48">
        <v>268</v>
      </c>
      <c r="U396" s="48">
        <v>79</v>
      </c>
      <c r="V396" s="48">
        <v>8</v>
      </c>
      <c r="W396" s="48">
        <v>103</v>
      </c>
      <c r="X396" s="48">
        <v>538</v>
      </c>
      <c r="Y396" s="48">
        <v>42</v>
      </c>
      <c r="Z396" s="48">
        <v>392</v>
      </c>
    </row>
    <row r="397" spans="1:26" ht="15" hidden="1" customHeight="1">
      <c r="A397" s="48" t="s">
        <v>882</v>
      </c>
      <c r="B397" s="48" t="s">
        <v>882</v>
      </c>
      <c r="C397" s="48" t="s">
        <v>883</v>
      </c>
      <c r="D397" s="48" t="s">
        <v>50</v>
      </c>
      <c r="E397" s="48" t="s">
        <v>122</v>
      </c>
      <c r="F397" s="48">
        <v>113</v>
      </c>
      <c r="G397" s="48">
        <v>20</v>
      </c>
      <c r="H397" s="48">
        <v>196</v>
      </c>
      <c r="I397" s="48">
        <v>93</v>
      </c>
      <c r="J397" s="48">
        <v>44</v>
      </c>
      <c r="K397" s="48">
        <v>540</v>
      </c>
      <c r="L397" s="48">
        <v>127</v>
      </c>
      <c r="M397" s="48">
        <v>5</v>
      </c>
      <c r="N397" s="48">
        <v>72</v>
      </c>
      <c r="O397" s="48">
        <v>48</v>
      </c>
      <c r="P397" s="48">
        <v>51</v>
      </c>
      <c r="Q397" s="48">
        <v>854</v>
      </c>
      <c r="R397" s="48">
        <v>88</v>
      </c>
      <c r="S397" s="48">
        <v>33</v>
      </c>
      <c r="T397" s="48">
        <v>240</v>
      </c>
      <c r="U397" s="48">
        <v>69</v>
      </c>
      <c r="V397" s="48">
        <v>32</v>
      </c>
      <c r="W397" s="48">
        <v>420</v>
      </c>
      <c r="X397" s="48">
        <v>538</v>
      </c>
      <c r="Y397" s="48">
        <v>42</v>
      </c>
      <c r="Z397" s="48">
        <v>392</v>
      </c>
    </row>
    <row r="398" spans="1:26" ht="15" hidden="1" customHeight="1">
      <c r="A398" s="48" t="s">
        <v>884</v>
      </c>
      <c r="B398" s="48" t="s">
        <v>884</v>
      </c>
      <c r="C398" s="48" t="s">
        <v>885</v>
      </c>
      <c r="D398" s="48" t="s">
        <v>50</v>
      </c>
      <c r="E398" s="48" t="s">
        <v>249</v>
      </c>
      <c r="F398" s="48">
        <v>113</v>
      </c>
      <c r="G398" s="48">
        <v>15</v>
      </c>
      <c r="H398" s="48">
        <v>196</v>
      </c>
      <c r="I398" s="48">
        <v>83</v>
      </c>
      <c r="J398" s="48">
        <v>37</v>
      </c>
      <c r="K398" s="48">
        <v>667</v>
      </c>
      <c r="L398" s="48">
        <v>121.5</v>
      </c>
      <c r="M398" s="48">
        <v>8</v>
      </c>
      <c r="N398" s="48">
        <v>160</v>
      </c>
      <c r="O398" s="48">
        <v>80</v>
      </c>
      <c r="P398" s="48">
        <v>11</v>
      </c>
      <c r="Q398" s="48">
        <v>211</v>
      </c>
      <c r="R398" s="48">
        <v>74</v>
      </c>
      <c r="S398" s="48">
        <v>30</v>
      </c>
      <c r="T398" s="48">
        <v>702</v>
      </c>
      <c r="U398" s="48">
        <v>66</v>
      </c>
      <c r="V398" s="48">
        <v>20</v>
      </c>
      <c r="W398" s="48">
        <v>519</v>
      </c>
      <c r="X398" s="48">
        <v>537.5</v>
      </c>
      <c r="Y398" s="48">
        <v>17</v>
      </c>
      <c r="Z398" s="48">
        <v>395</v>
      </c>
    </row>
    <row r="399" spans="1:26" ht="15" hidden="1" customHeight="1">
      <c r="A399" s="48" t="s">
        <v>886</v>
      </c>
      <c r="B399" s="48" t="s">
        <v>886</v>
      </c>
      <c r="C399" s="48" t="s">
        <v>887</v>
      </c>
      <c r="D399" s="48" t="s">
        <v>50</v>
      </c>
      <c r="E399" s="48" t="s">
        <v>133</v>
      </c>
      <c r="F399" s="48">
        <v>111</v>
      </c>
      <c r="G399" s="48">
        <v>20</v>
      </c>
      <c r="H399" s="48">
        <v>271</v>
      </c>
      <c r="I399" s="48">
        <v>95</v>
      </c>
      <c r="J399" s="48">
        <v>36</v>
      </c>
      <c r="K399" s="48">
        <v>501</v>
      </c>
      <c r="L399" s="48">
        <v>113.5</v>
      </c>
      <c r="M399" s="48">
        <v>22</v>
      </c>
      <c r="N399" s="48">
        <v>374</v>
      </c>
      <c r="O399" s="48">
        <v>61</v>
      </c>
      <c r="P399" s="48">
        <v>36</v>
      </c>
      <c r="Q399" s="48">
        <v>627</v>
      </c>
      <c r="R399" s="48">
        <v>89</v>
      </c>
      <c r="S399" s="48">
        <v>10</v>
      </c>
      <c r="T399" s="48">
        <v>200</v>
      </c>
      <c r="U399" s="48">
        <v>68</v>
      </c>
      <c r="V399" s="48">
        <v>31</v>
      </c>
      <c r="W399" s="48">
        <v>452</v>
      </c>
      <c r="X399" s="48">
        <v>537.5</v>
      </c>
      <c r="Y399" s="48">
        <v>30</v>
      </c>
      <c r="Z399" s="48">
        <v>395</v>
      </c>
    </row>
    <row r="400" spans="1:26" ht="15" hidden="1" customHeight="1">
      <c r="A400" s="48" t="s">
        <v>888</v>
      </c>
      <c r="B400" s="48" t="s">
        <v>888</v>
      </c>
      <c r="C400" s="48" t="s">
        <v>889</v>
      </c>
      <c r="D400" s="48" t="s">
        <v>50</v>
      </c>
      <c r="E400" s="48" t="s">
        <v>111</v>
      </c>
      <c r="F400" s="48">
        <v>115</v>
      </c>
      <c r="G400" s="48">
        <v>7</v>
      </c>
      <c r="H400" s="48">
        <v>140</v>
      </c>
      <c r="I400" s="48">
        <v>79</v>
      </c>
      <c r="J400" s="48">
        <v>35</v>
      </c>
      <c r="K400" s="48">
        <v>713</v>
      </c>
      <c r="L400" s="48">
        <v>134.5</v>
      </c>
      <c r="M400" s="48">
        <v>1</v>
      </c>
      <c r="N400" s="48">
        <v>10</v>
      </c>
      <c r="O400" s="48">
        <v>63</v>
      </c>
      <c r="P400" s="48">
        <v>29</v>
      </c>
      <c r="Q400" s="48">
        <v>581</v>
      </c>
      <c r="R400" s="48">
        <v>82</v>
      </c>
      <c r="S400" s="48">
        <v>21</v>
      </c>
      <c r="T400" s="48">
        <v>452</v>
      </c>
      <c r="U400" s="48">
        <v>64</v>
      </c>
      <c r="V400" s="48">
        <v>25</v>
      </c>
      <c r="W400" s="48">
        <v>593</v>
      </c>
      <c r="X400" s="48">
        <v>537.5</v>
      </c>
      <c r="Y400" s="48">
        <v>18</v>
      </c>
      <c r="Z400" s="48">
        <v>395</v>
      </c>
    </row>
    <row r="401" spans="1:26" ht="15" hidden="1" customHeight="1">
      <c r="A401" s="48" t="s">
        <v>890</v>
      </c>
      <c r="B401" s="48" t="s">
        <v>890</v>
      </c>
      <c r="C401" s="48" t="s">
        <v>891</v>
      </c>
      <c r="D401" s="48" t="s">
        <v>50</v>
      </c>
      <c r="E401" s="48" t="s">
        <v>240</v>
      </c>
      <c r="F401" s="48">
        <v>72</v>
      </c>
      <c r="G401" s="48">
        <v>57</v>
      </c>
      <c r="H401" s="48">
        <v>947</v>
      </c>
      <c r="I401" s="48">
        <v>125</v>
      </c>
      <c r="J401" s="48">
        <v>5</v>
      </c>
      <c r="K401" s="48">
        <v>94</v>
      </c>
      <c r="L401" s="48">
        <v>102.5</v>
      </c>
      <c r="M401" s="48">
        <v>40</v>
      </c>
      <c r="N401" s="48">
        <v>635</v>
      </c>
      <c r="O401" s="48">
        <v>73</v>
      </c>
      <c r="P401" s="48">
        <v>20</v>
      </c>
      <c r="Q401" s="48">
        <v>370</v>
      </c>
      <c r="R401" s="48">
        <v>90</v>
      </c>
      <c r="S401" s="48">
        <v>7</v>
      </c>
      <c r="T401" s="48">
        <v>177</v>
      </c>
      <c r="U401" s="48">
        <v>75</v>
      </c>
      <c r="V401" s="48">
        <v>14</v>
      </c>
      <c r="W401" s="48">
        <v>219</v>
      </c>
      <c r="X401" s="48">
        <v>537.5</v>
      </c>
      <c r="Y401" s="48">
        <v>23</v>
      </c>
      <c r="Z401" s="48">
        <v>395</v>
      </c>
    </row>
    <row r="402" spans="1:26" ht="15" hidden="1" customHeight="1">
      <c r="A402" s="48" t="s">
        <v>892</v>
      </c>
      <c r="B402" s="48" t="s">
        <v>892</v>
      </c>
      <c r="C402" s="48" t="s">
        <v>893</v>
      </c>
      <c r="D402" s="48" t="s">
        <v>50</v>
      </c>
      <c r="E402" s="48" t="s">
        <v>203</v>
      </c>
      <c r="F402" s="48">
        <v>108</v>
      </c>
      <c r="G402" s="48">
        <v>21</v>
      </c>
      <c r="H402" s="48">
        <v>391</v>
      </c>
      <c r="I402" s="48">
        <v>113</v>
      </c>
      <c r="J402" s="48">
        <v>13</v>
      </c>
      <c r="K402" s="48">
        <v>224</v>
      </c>
      <c r="L402" s="48">
        <v>117</v>
      </c>
      <c r="M402" s="48">
        <v>14</v>
      </c>
      <c r="N402" s="48">
        <v>291</v>
      </c>
      <c r="O402" s="48">
        <v>61</v>
      </c>
      <c r="P402" s="48">
        <v>35</v>
      </c>
      <c r="Q402" s="48">
        <v>627</v>
      </c>
      <c r="R402" s="48">
        <v>74</v>
      </c>
      <c r="S402" s="48">
        <v>38</v>
      </c>
      <c r="T402" s="48">
        <v>702</v>
      </c>
      <c r="U402" s="48">
        <v>64</v>
      </c>
      <c r="V402" s="48">
        <v>31</v>
      </c>
      <c r="W402" s="48">
        <v>593</v>
      </c>
      <c r="X402" s="48">
        <v>537</v>
      </c>
      <c r="Y402" s="48">
        <v>20</v>
      </c>
      <c r="Z402" s="48">
        <v>399</v>
      </c>
    </row>
    <row r="403" spans="1:26" ht="15" hidden="1" customHeight="1">
      <c r="A403" s="48" t="s">
        <v>894</v>
      </c>
      <c r="B403" s="48" t="s">
        <v>894</v>
      </c>
      <c r="C403" s="48" t="s">
        <v>895</v>
      </c>
      <c r="D403" s="48" t="s">
        <v>50</v>
      </c>
      <c r="E403" s="48" t="s">
        <v>97</v>
      </c>
      <c r="F403" s="48">
        <v>102</v>
      </c>
      <c r="G403" s="48">
        <v>43</v>
      </c>
      <c r="H403" s="48">
        <v>655</v>
      </c>
      <c r="I403" s="48">
        <v>86</v>
      </c>
      <c r="J403" s="48">
        <v>35</v>
      </c>
      <c r="K403" s="48">
        <v>626</v>
      </c>
      <c r="L403" s="48">
        <v>98</v>
      </c>
      <c r="M403" s="48">
        <v>40</v>
      </c>
      <c r="N403" s="48">
        <v>728</v>
      </c>
      <c r="O403" s="48">
        <v>92</v>
      </c>
      <c r="P403" s="48">
        <v>3</v>
      </c>
      <c r="Q403" s="48">
        <v>48</v>
      </c>
      <c r="R403" s="48">
        <v>85</v>
      </c>
      <c r="S403" s="48">
        <v>21</v>
      </c>
      <c r="T403" s="48">
        <v>339</v>
      </c>
      <c r="U403" s="48">
        <v>74</v>
      </c>
      <c r="V403" s="48">
        <v>20</v>
      </c>
      <c r="W403" s="48">
        <v>247</v>
      </c>
      <c r="X403" s="48">
        <v>537</v>
      </c>
      <c r="Y403" s="48">
        <v>20</v>
      </c>
      <c r="Z403" s="48">
        <v>399</v>
      </c>
    </row>
    <row r="404" spans="1:26" ht="15" hidden="1" customHeight="1">
      <c r="A404" s="48" t="s">
        <v>896</v>
      </c>
      <c r="B404" s="48" t="s">
        <v>896</v>
      </c>
      <c r="C404" s="48" t="s">
        <v>897</v>
      </c>
      <c r="D404" s="48" t="s">
        <v>50</v>
      </c>
      <c r="E404" s="48" t="s">
        <v>97</v>
      </c>
      <c r="F404" s="48">
        <v>98</v>
      </c>
      <c r="G404" s="48">
        <v>46</v>
      </c>
      <c r="H404" s="48">
        <v>774</v>
      </c>
      <c r="I404" s="48">
        <v>98</v>
      </c>
      <c r="J404" s="48">
        <v>25</v>
      </c>
      <c r="K404" s="48">
        <v>458</v>
      </c>
      <c r="L404" s="48">
        <v>105</v>
      </c>
      <c r="M404" s="48">
        <v>33</v>
      </c>
      <c r="N404" s="48">
        <v>578</v>
      </c>
      <c r="O404" s="48">
        <v>72</v>
      </c>
      <c r="P404" s="48">
        <v>19</v>
      </c>
      <c r="Q404" s="48">
        <v>392</v>
      </c>
      <c r="R404" s="48">
        <v>87</v>
      </c>
      <c r="S404" s="48">
        <v>14</v>
      </c>
      <c r="T404" s="48">
        <v>268</v>
      </c>
      <c r="U404" s="48">
        <v>77</v>
      </c>
      <c r="V404" s="48">
        <v>15</v>
      </c>
      <c r="W404" s="48">
        <v>162</v>
      </c>
      <c r="X404" s="48">
        <v>537</v>
      </c>
      <c r="Y404" s="48">
        <v>20</v>
      </c>
      <c r="Z404" s="48">
        <v>399</v>
      </c>
    </row>
    <row r="405" spans="1:26" ht="15" hidden="1" customHeight="1">
      <c r="A405" s="48" t="s">
        <v>898</v>
      </c>
      <c r="B405" s="48" t="s">
        <v>898</v>
      </c>
      <c r="C405" s="48" t="s">
        <v>899</v>
      </c>
      <c r="D405" s="48" t="s">
        <v>50</v>
      </c>
      <c r="E405" s="48" t="s">
        <v>217</v>
      </c>
      <c r="F405" s="48">
        <v>116</v>
      </c>
      <c r="G405" s="48">
        <v>8</v>
      </c>
      <c r="H405" s="48">
        <v>117</v>
      </c>
      <c r="I405" s="48">
        <v>107</v>
      </c>
      <c r="J405" s="48">
        <v>16</v>
      </c>
      <c r="K405" s="48">
        <v>313</v>
      </c>
      <c r="L405" s="48">
        <v>102</v>
      </c>
      <c r="M405" s="48">
        <v>33</v>
      </c>
      <c r="N405" s="48">
        <v>642</v>
      </c>
      <c r="O405" s="48">
        <v>61</v>
      </c>
      <c r="P405" s="48">
        <v>39</v>
      </c>
      <c r="Q405" s="48">
        <v>627</v>
      </c>
      <c r="R405" s="48">
        <v>85</v>
      </c>
      <c r="S405" s="48">
        <v>12</v>
      </c>
      <c r="T405" s="48">
        <v>339</v>
      </c>
      <c r="U405" s="48">
        <v>66</v>
      </c>
      <c r="V405" s="48">
        <v>28</v>
      </c>
      <c r="W405" s="48">
        <v>519</v>
      </c>
      <c r="X405" s="48">
        <v>537</v>
      </c>
      <c r="Y405" s="48">
        <v>17</v>
      </c>
      <c r="Z405" s="48">
        <v>399</v>
      </c>
    </row>
    <row r="406" spans="1:26" ht="15" hidden="1" customHeight="1">
      <c r="A406" s="48" t="s">
        <v>900</v>
      </c>
      <c r="B406" s="48" t="s">
        <v>900</v>
      </c>
      <c r="C406" s="48" t="s">
        <v>901</v>
      </c>
      <c r="D406" s="48" t="s">
        <v>50</v>
      </c>
      <c r="E406" s="48" t="s">
        <v>122</v>
      </c>
      <c r="F406" s="48">
        <v>96</v>
      </c>
      <c r="G406" s="48">
        <v>51</v>
      </c>
      <c r="H406" s="48">
        <v>814</v>
      </c>
      <c r="I406" s="48">
        <v>101</v>
      </c>
      <c r="J406" s="48">
        <v>34</v>
      </c>
      <c r="K406" s="48">
        <v>403</v>
      </c>
      <c r="L406" s="48">
        <v>117</v>
      </c>
      <c r="M406" s="48">
        <v>25</v>
      </c>
      <c r="N406" s="48">
        <v>291</v>
      </c>
      <c r="O406" s="48">
        <v>71</v>
      </c>
      <c r="P406" s="48">
        <v>31</v>
      </c>
      <c r="Q406" s="48">
        <v>411</v>
      </c>
      <c r="R406" s="48">
        <v>88</v>
      </c>
      <c r="S406" s="48">
        <v>33</v>
      </c>
      <c r="T406" s="48">
        <v>240</v>
      </c>
      <c r="U406" s="48">
        <v>64</v>
      </c>
      <c r="V406" s="48">
        <v>39</v>
      </c>
      <c r="W406" s="48">
        <v>593</v>
      </c>
      <c r="X406" s="48">
        <v>537</v>
      </c>
      <c r="Y406" s="48">
        <v>44</v>
      </c>
      <c r="Z406" s="48">
        <v>399</v>
      </c>
    </row>
    <row r="407" spans="1:26" ht="15" hidden="1" customHeight="1">
      <c r="A407" s="48" t="s">
        <v>902</v>
      </c>
      <c r="B407" s="48" t="s">
        <v>902</v>
      </c>
      <c r="C407" s="48" t="s">
        <v>903</v>
      </c>
      <c r="D407" s="48" t="s">
        <v>50</v>
      </c>
      <c r="E407" s="48" t="s">
        <v>150</v>
      </c>
      <c r="F407" s="48">
        <v>104</v>
      </c>
      <c r="G407" s="48">
        <v>25</v>
      </c>
      <c r="H407" s="48">
        <v>573</v>
      </c>
      <c r="I407" s="48">
        <v>79</v>
      </c>
      <c r="J407" s="48">
        <v>47</v>
      </c>
      <c r="K407" s="48">
        <v>713</v>
      </c>
      <c r="L407" s="48">
        <v>127.5</v>
      </c>
      <c r="M407" s="48">
        <v>4</v>
      </c>
      <c r="N407" s="48">
        <v>63</v>
      </c>
      <c r="O407" s="48">
        <v>59</v>
      </c>
      <c r="P407" s="48">
        <v>40</v>
      </c>
      <c r="Q407" s="48">
        <v>672</v>
      </c>
      <c r="R407" s="48">
        <v>94</v>
      </c>
      <c r="S407" s="48">
        <v>7</v>
      </c>
      <c r="T407" s="48">
        <v>78</v>
      </c>
      <c r="U407" s="48">
        <v>73</v>
      </c>
      <c r="V407" s="48">
        <v>29</v>
      </c>
      <c r="W407" s="48">
        <v>275</v>
      </c>
      <c r="X407" s="48">
        <v>536.5</v>
      </c>
      <c r="Y407" s="48">
        <v>28</v>
      </c>
      <c r="Z407" s="48">
        <v>404</v>
      </c>
    </row>
    <row r="408" spans="1:26" ht="15" hidden="1" customHeight="1">
      <c r="A408" s="48" t="s">
        <v>904</v>
      </c>
      <c r="B408" s="48" t="s">
        <v>904</v>
      </c>
      <c r="C408" s="48" t="s">
        <v>905</v>
      </c>
      <c r="D408" s="48" t="s">
        <v>50</v>
      </c>
      <c r="E408" s="48" t="s">
        <v>92</v>
      </c>
      <c r="F408" s="48">
        <v>102</v>
      </c>
      <c r="G408" s="48">
        <v>30</v>
      </c>
      <c r="H408" s="48">
        <v>655</v>
      </c>
      <c r="I408" s="48">
        <v>99</v>
      </c>
      <c r="J408" s="48">
        <v>23</v>
      </c>
      <c r="K408" s="48">
        <v>436</v>
      </c>
      <c r="L408" s="48">
        <v>121</v>
      </c>
      <c r="M408" s="48">
        <v>7</v>
      </c>
      <c r="N408" s="48">
        <v>173</v>
      </c>
      <c r="O408" s="48">
        <v>67</v>
      </c>
      <c r="P408" s="48">
        <v>24</v>
      </c>
      <c r="Q408" s="48">
        <v>497</v>
      </c>
      <c r="R408" s="48">
        <v>81</v>
      </c>
      <c r="S408" s="48">
        <v>28</v>
      </c>
      <c r="T408" s="48">
        <v>474</v>
      </c>
      <c r="U408" s="48">
        <v>66</v>
      </c>
      <c r="V408" s="48">
        <v>36</v>
      </c>
      <c r="W408" s="48">
        <v>519</v>
      </c>
      <c r="X408" s="48">
        <v>536</v>
      </c>
      <c r="Y408" s="48">
        <v>20</v>
      </c>
      <c r="Z408" s="48">
        <v>405</v>
      </c>
    </row>
    <row r="409" spans="1:26" ht="15" hidden="1" customHeight="1">
      <c r="A409" s="48" t="s">
        <v>906</v>
      </c>
      <c r="B409" s="48" t="s">
        <v>906</v>
      </c>
      <c r="C409" s="48" t="s">
        <v>907</v>
      </c>
      <c r="D409" s="48" t="s">
        <v>50</v>
      </c>
      <c r="E409" s="48" t="s">
        <v>122</v>
      </c>
      <c r="F409" s="48">
        <v>112</v>
      </c>
      <c r="G409" s="48">
        <v>23</v>
      </c>
      <c r="H409" s="48">
        <v>226</v>
      </c>
      <c r="I409" s="48">
        <v>96</v>
      </c>
      <c r="J409" s="48">
        <v>39</v>
      </c>
      <c r="K409" s="48">
        <v>483</v>
      </c>
      <c r="L409" s="48">
        <v>110</v>
      </c>
      <c r="M409" s="48">
        <v>40</v>
      </c>
      <c r="N409" s="48">
        <v>478</v>
      </c>
      <c r="O409" s="48">
        <v>58</v>
      </c>
      <c r="P409" s="48">
        <v>48</v>
      </c>
      <c r="Q409" s="48">
        <v>698</v>
      </c>
      <c r="R409" s="48">
        <v>90</v>
      </c>
      <c r="S409" s="48">
        <v>26</v>
      </c>
      <c r="T409" s="48">
        <v>177</v>
      </c>
      <c r="U409" s="48">
        <v>70</v>
      </c>
      <c r="V409" s="48">
        <v>28</v>
      </c>
      <c r="W409" s="48">
        <v>380</v>
      </c>
      <c r="X409" s="48">
        <v>536</v>
      </c>
      <c r="Y409" s="48">
        <v>45</v>
      </c>
      <c r="Z409" s="48">
        <v>405</v>
      </c>
    </row>
    <row r="410" spans="1:26" ht="15" hidden="1" customHeight="1">
      <c r="A410" s="48" t="s">
        <v>908</v>
      </c>
      <c r="B410" s="48" t="s">
        <v>908</v>
      </c>
      <c r="C410" s="48" t="s">
        <v>909</v>
      </c>
      <c r="D410" s="48" t="s">
        <v>50</v>
      </c>
      <c r="E410" s="48" t="s">
        <v>122</v>
      </c>
      <c r="F410" s="48">
        <v>103</v>
      </c>
      <c r="G410" s="48">
        <v>43</v>
      </c>
      <c r="H410" s="48">
        <v>606</v>
      </c>
      <c r="I410" s="48">
        <v>78</v>
      </c>
      <c r="J410" s="48">
        <v>51</v>
      </c>
      <c r="K410" s="48">
        <v>729</v>
      </c>
      <c r="L410" s="48">
        <v>121.5</v>
      </c>
      <c r="M410" s="48">
        <v>13</v>
      </c>
      <c r="N410" s="48">
        <v>160</v>
      </c>
      <c r="O410" s="48">
        <v>63</v>
      </c>
      <c r="P410" s="48">
        <v>44</v>
      </c>
      <c r="Q410" s="48">
        <v>581</v>
      </c>
      <c r="R410" s="48">
        <v>89</v>
      </c>
      <c r="S410" s="48">
        <v>29</v>
      </c>
      <c r="T410" s="48">
        <v>200</v>
      </c>
      <c r="U410" s="48">
        <v>81</v>
      </c>
      <c r="V410" s="48">
        <v>4</v>
      </c>
      <c r="W410" s="48">
        <v>66</v>
      </c>
      <c r="X410" s="48">
        <v>535.5</v>
      </c>
      <c r="Y410" s="48">
        <v>46</v>
      </c>
      <c r="Z410" s="48">
        <v>407</v>
      </c>
    </row>
    <row r="411" spans="1:26" ht="15" hidden="1" customHeight="1">
      <c r="A411" s="48" t="s">
        <v>910</v>
      </c>
      <c r="B411" s="48" t="s">
        <v>910</v>
      </c>
      <c r="C411" s="48" t="s">
        <v>911</v>
      </c>
      <c r="D411" s="48" t="s">
        <v>50</v>
      </c>
      <c r="E411" s="48" t="s">
        <v>210</v>
      </c>
      <c r="F411" s="48">
        <v>115</v>
      </c>
      <c r="G411" s="48">
        <v>8</v>
      </c>
      <c r="H411" s="48">
        <v>140</v>
      </c>
      <c r="I411" s="48">
        <v>106</v>
      </c>
      <c r="J411" s="48">
        <v>21</v>
      </c>
      <c r="K411" s="48">
        <v>322</v>
      </c>
      <c r="L411" s="48">
        <v>101.5</v>
      </c>
      <c r="M411" s="48">
        <v>38</v>
      </c>
      <c r="N411" s="48">
        <v>654</v>
      </c>
      <c r="O411" s="48">
        <v>69</v>
      </c>
      <c r="P411" s="48">
        <v>22</v>
      </c>
      <c r="Q411" s="48">
        <v>452</v>
      </c>
      <c r="R411" s="48">
        <v>76</v>
      </c>
      <c r="S411" s="48">
        <v>39</v>
      </c>
      <c r="T411" s="48">
        <v>642</v>
      </c>
      <c r="U411" s="48">
        <v>68</v>
      </c>
      <c r="V411" s="48">
        <v>23</v>
      </c>
      <c r="W411" s="48">
        <v>452</v>
      </c>
      <c r="X411" s="48">
        <v>535.5</v>
      </c>
      <c r="Y411" s="48">
        <v>25</v>
      </c>
      <c r="Z411" s="48">
        <v>407</v>
      </c>
    </row>
    <row r="412" spans="1:26" ht="15" hidden="1" customHeight="1">
      <c r="A412" s="48" t="s">
        <v>912</v>
      </c>
      <c r="B412" s="48" t="s">
        <v>912</v>
      </c>
      <c r="C412" s="48" t="s">
        <v>913</v>
      </c>
      <c r="D412" s="48" t="s">
        <v>50</v>
      </c>
      <c r="E412" s="48" t="s">
        <v>92</v>
      </c>
      <c r="F412" s="48">
        <v>95</v>
      </c>
      <c r="G412" s="48">
        <v>43</v>
      </c>
      <c r="H412" s="48">
        <v>837</v>
      </c>
      <c r="I412" s="48">
        <v>103</v>
      </c>
      <c r="J412" s="48">
        <v>13</v>
      </c>
      <c r="K412" s="48">
        <v>374</v>
      </c>
      <c r="L412" s="48">
        <v>100</v>
      </c>
      <c r="M412" s="48">
        <v>35</v>
      </c>
      <c r="N412" s="48">
        <v>680</v>
      </c>
      <c r="O412" s="48">
        <v>83</v>
      </c>
      <c r="P412" s="48">
        <v>7</v>
      </c>
      <c r="Q412" s="48">
        <v>153</v>
      </c>
      <c r="R412" s="48">
        <v>93</v>
      </c>
      <c r="S412" s="48">
        <v>3</v>
      </c>
      <c r="T412" s="48">
        <v>93</v>
      </c>
      <c r="U412" s="48">
        <v>61</v>
      </c>
      <c r="V412" s="48">
        <v>44</v>
      </c>
      <c r="W412" s="48">
        <v>686</v>
      </c>
      <c r="X412" s="48">
        <v>535</v>
      </c>
      <c r="Y412" s="48">
        <v>21</v>
      </c>
      <c r="Z412" s="48">
        <v>409</v>
      </c>
    </row>
    <row r="413" spans="1:26" ht="15" hidden="1" customHeight="1">
      <c r="A413" s="48" t="s">
        <v>914</v>
      </c>
      <c r="B413" s="48" t="s">
        <v>914</v>
      </c>
      <c r="C413" s="48" t="s">
        <v>915</v>
      </c>
      <c r="D413" s="48" t="s">
        <v>50</v>
      </c>
      <c r="E413" s="48" t="s">
        <v>106</v>
      </c>
      <c r="F413" s="48">
        <v>110</v>
      </c>
      <c r="G413" s="48">
        <v>25</v>
      </c>
      <c r="H413" s="48">
        <v>310</v>
      </c>
      <c r="I413" s="48">
        <v>95</v>
      </c>
      <c r="J413" s="48">
        <v>28</v>
      </c>
      <c r="K413" s="48">
        <v>501</v>
      </c>
      <c r="L413" s="48">
        <v>111.5</v>
      </c>
      <c r="M413" s="48">
        <v>27</v>
      </c>
      <c r="N413" s="48">
        <v>427</v>
      </c>
      <c r="O413" s="48">
        <v>77</v>
      </c>
      <c r="P413" s="48">
        <v>13</v>
      </c>
      <c r="Q413" s="48">
        <v>278</v>
      </c>
      <c r="R413" s="48">
        <v>79</v>
      </c>
      <c r="S413" s="48">
        <v>19</v>
      </c>
      <c r="T413" s="48">
        <v>539</v>
      </c>
      <c r="U413" s="48">
        <v>62</v>
      </c>
      <c r="V413" s="48">
        <v>30</v>
      </c>
      <c r="W413" s="48">
        <v>657</v>
      </c>
      <c r="X413" s="48">
        <v>534.5</v>
      </c>
      <c r="Y413" s="48">
        <v>15</v>
      </c>
      <c r="Z413" s="48">
        <v>410</v>
      </c>
    </row>
    <row r="414" spans="1:26" ht="15" hidden="1" customHeight="1">
      <c r="A414" s="48" t="s">
        <v>916</v>
      </c>
      <c r="B414" s="48" t="s">
        <v>916</v>
      </c>
      <c r="C414" s="48" t="s">
        <v>917</v>
      </c>
      <c r="D414" s="48" t="s">
        <v>50</v>
      </c>
      <c r="E414" s="48" t="s">
        <v>240</v>
      </c>
      <c r="F414" s="48">
        <v>96</v>
      </c>
      <c r="G414" s="48">
        <v>48</v>
      </c>
      <c r="H414" s="48">
        <v>814</v>
      </c>
      <c r="I414" s="48">
        <v>89</v>
      </c>
      <c r="J414" s="48">
        <v>33</v>
      </c>
      <c r="K414" s="48">
        <v>587</v>
      </c>
      <c r="L414" s="48">
        <v>118</v>
      </c>
      <c r="M414" s="48">
        <v>13</v>
      </c>
      <c r="N414" s="48">
        <v>263</v>
      </c>
      <c r="O414" s="48">
        <v>86</v>
      </c>
      <c r="P414" s="48">
        <v>5</v>
      </c>
      <c r="Q414" s="48">
        <v>101</v>
      </c>
      <c r="R414" s="48">
        <v>78</v>
      </c>
      <c r="S414" s="48">
        <v>31</v>
      </c>
      <c r="T414" s="48">
        <v>577</v>
      </c>
      <c r="U414" s="48">
        <v>67</v>
      </c>
      <c r="V414" s="48">
        <v>29</v>
      </c>
      <c r="W414" s="48">
        <v>489</v>
      </c>
      <c r="X414" s="48">
        <v>534</v>
      </c>
      <c r="Y414" s="48">
        <v>24</v>
      </c>
      <c r="Z414" s="48">
        <v>411</v>
      </c>
    </row>
    <row r="415" spans="1:26" ht="15" hidden="1" customHeight="1">
      <c r="A415" s="48" t="s">
        <v>918</v>
      </c>
      <c r="B415" s="48" t="s">
        <v>918</v>
      </c>
      <c r="C415" s="48" t="s">
        <v>919</v>
      </c>
      <c r="D415" s="48" t="s">
        <v>50</v>
      </c>
      <c r="E415" s="48" t="s">
        <v>84</v>
      </c>
      <c r="F415" s="48">
        <v>105</v>
      </c>
      <c r="G415" s="48">
        <v>30</v>
      </c>
      <c r="H415" s="48">
        <v>515</v>
      </c>
      <c r="I415" s="48">
        <v>92</v>
      </c>
      <c r="J415" s="48">
        <v>31</v>
      </c>
      <c r="K415" s="48">
        <v>557</v>
      </c>
      <c r="L415" s="48">
        <v>98.5</v>
      </c>
      <c r="M415" s="48">
        <v>47</v>
      </c>
      <c r="N415" s="48">
        <v>719</v>
      </c>
      <c r="O415" s="48">
        <v>84</v>
      </c>
      <c r="P415" s="48">
        <v>9</v>
      </c>
      <c r="Q415" s="48">
        <v>131</v>
      </c>
      <c r="R415" s="48">
        <v>91</v>
      </c>
      <c r="S415" s="48">
        <v>5</v>
      </c>
      <c r="T415" s="48">
        <v>151</v>
      </c>
      <c r="U415" s="48">
        <v>63</v>
      </c>
      <c r="V415" s="48">
        <v>40</v>
      </c>
      <c r="W415" s="48">
        <v>625</v>
      </c>
      <c r="X415" s="48">
        <v>533.5</v>
      </c>
      <c r="Y415" s="48">
        <v>20</v>
      </c>
      <c r="Z415" s="48">
        <v>412</v>
      </c>
    </row>
    <row r="416" spans="1:26" ht="15" hidden="1" customHeight="1">
      <c r="A416" s="48" t="s">
        <v>920</v>
      </c>
      <c r="B416" s="48" t="s">
        <v>920</v>
      </c>
      <c r="C416" s="48" t="s">
        <v>921</v>
      </c>
      <c r="D416" s="48" t="s">
        <v>50</v>
      </c>
      <c r="E416" s="48" t="s">
        <v>122</v>
      </c>
      <c r="F416" s="48">
        <v>102</v>
      </c>
      <c r="G416" s="48">
        <v>46</v>
      </c>
      <c r="H416" s="48">
        <v>655</v>
      </c>
      <c r="I416" s="48">
        <v>86</v>
      </c>
      <c r="J416" s="48">
        <v>48</v>
      </c>
      <c r="K416" s="48">
        <v>626</v>
      </c>
      <c r="L416" s="48">
        <v>116.5</v>
      </c>
      <c r="M416" s="48">
        <v>26</v>
      </c>
      <c r="N416" s="48">
        <v>298</v>
      </c>
      <c r="O416" s="48">
        <v>80</v>
      </c>
      <c r="P416" s="48">
        <v>20</v>
      </c>
      <c r="Q416" s="48">
        <v>211</v>
      </c>
      <c r="R416" s="48">
        <v>85</v>
      </c>
      <c r="S416" s="48">
        <v>45</v>
      </c>
      <c r="T416" s="48">
        <v>339</v>
      </c>
      <c r="U416" s="48">
        <v>64</v>
      </c>
      <c r="V416" s="48">
        <v>39</v>
      </c>
      <c r="W416" s="48">
        <v>593</v>
      </c>
      <c r="X416" s="48">
        <v>533.5</v>
      </c>
      <c r="Y416" s="48">
        <v>47</v>
      </c>
      <c r="Z416" s="48">
        <v>412</v>
      </c>
    </row>
    <row r="417" spans="1:26" ht="15" hidden="1" customHeight="1">
      <c r="A417" s="48" t="s">
        <v>922</v>
      </c>
      <c r="B417" s="48" t="s">
        <v>922</v>
      </c>
      <c r="C417" s="48" t="s">
        <v>923</v>
      </c>
      <c r="D417" s="48" t="s">
        <v>50</v>
      </c>
      <c r="E417" s="48" t="s">
        <v>92</v>
      </c>
      <c r="F417" s="48">
        <v>111</v>
      </c>
      <c r="G417" s="48">
        <v>9</v>
      </c>
      <c r="H417" s="48">
        <v>271</v>
      </c>
      <c r="I417" s="48">
        <v>109</v>
      </c>
      <c r="J417" s="48">
        <v>12</v>
      </c>
      <c r="K417" s="48">
        <v>278</v>
      </c>
      <c r="L417" s="48">
        <v>120</v>
      </c>
      <c r="M417" s="48">
        <v>10</v>
      </c>
      <c r="N417" s="48">
        <v>211</v>
      </c>
      <c r="O417" s="48">
        <v>50</v>
      </c>
      <c r="P417" s="48">
        <v>49</v>
      </c>
      <c r="Q417" s="48">
        <v>826</v>
      </c>
      <c r="R417" s="48">
        <v>78</v>
      </c>
      <c r="S417" s="48">
        <v>37</v>
      </c>
      <c r="T417" s="48">
        <v>577</v>
      </c>
      <c r="U417" s="48">
        <v>65</v>
      </c>
      <c r="V417" s="48">
        <v>40</v>
      </c>
      <c r="W417" s="48">
        <v>554</v>
      </c>
      <c r="X417" s="48">
        <v>533</v>
      </c>
      <c r="Y417" s="48">
        <v>22</v>
      </c>
      <c r="Z417" s="48">
        <v>414</v>
      </c>
    </row>
    <row r="418" spans="1:26" ht="15" hidden="1" customHeight="1">
      <c r="A418" s="48" t="s">
        <v>924</v>
      </c>
      <c r="B418" s="48" t="s">
        <v>924</v>
      </c>
      <c r="C418" s="48" t="s">
        <v>925</v>
      </c>
      <c r="D418" s="48" t="s">
        <v>50</v>
      </c>
      <c r="E418" s="48" t="s">
        <v>296</v>
      </c>
      <c r="F418" s="48">
        <v>104</v>
      </c>
      <c r="G418" s="48">
        <v>24</v>
      </c>
      <c r="H418" s="48">
        <v>573</v>
      </c>
      <c r="I418" s="48">
        <v>94</v>
      </c>
      <c r="J418" s="48">
        <v>30</v>
      </c>
      <c r="K418" s="48">
        <v>523</v>
      </c>
      <c r="L418" s="48">
        <v>112</v>
      </c>
      <c r="M418" s="48">
        <v>24</v>
      </c>
      <c r="N418" s="48">
        <v>413</v>
      </c>
      <c r="O418" s="48">
        <v>74</v>
      </c>
      <c r="P418" s="48">
        <v>21</v>
      </c>
      <c r="Q418" s="48">
        <v>345</v>
      </c>
      <c r="R418" s="48">
        <v>90</v>
      </c>
      <c r="S418" s="48">
        <v>11</v>
      </c>
      <c r="T418" s="48">
        <v>177</v>
      </c>
      <c r="U418" s="48">
        <v>59</v>
      </c>
      <c r="V418" s="48">
        <v>33</v>
      </c>
      <c r="W418" s="48">
        <v>729</v>
      </c>
      <c r="X418" s="48">
        <v>533</v>
      </c>
      <c r="Y418" s="48">
        <v>22</v>
      </c>
      <c r="Z418" s="48">
        <v>414</v>
      </c>
    </row>
    <row r="419" spans="1:26" ht="15" hidden="1" customHeight="1">
      <c r="A419" s="48" t="s">
        <v>926</v>
      </c>
      <c r="B419" s="48" t="s">
        <v>926</v>
      </c>
      <c r="C419" s="48" t="s">
        <v>927</v>
      </c>
      <c r="D419" s="48" t="s">
        <v>50</v>
      </c>
      <c r="E419" s="48" t="s">
        <v>240</v>
      </c>
      <c r="F419" s="48">
        <v>98</v>
      </c>
      <c r="G419" s="48">
        <v>45</v>
      </c>
      <c r="H419" s="48">
        <v>774</v>
      </c>
      <c r="I419" s="48">
        <v>115</v>
      </c>
      <c r="J419" s="48">
        <v>11</v>
      </c>
      <c r="K419" s="48">
        <v>195</v>
      </c>
      <c r="L419" s="48">
        <v>108</v>
      </c>
      <c r="M419" s="48">
        <v>32</v>
      </c>
      <c r="N419" s="48">
        <v>519</v>
      </c>
      <c r="O419" s="48">
        <v>69</v>
      </c>
      <c r="P419" s="48">
        <v>32</v>
      </c>
      <c r="Q419" s="48">
        <v>452</v>
      </c>
      <c r="R419" s="48">
        <v>80</v>
      </c>
      <c r="S419" s="48">
        <v>28</v>
      </c>
      <c r="T419" s="48">
        <v>511</v>
      </c>
      <c r="U419" s="48">
        <v>63</v>
      </c>
      <c r="V419" s="48">
        <v>39</v>
      </c>
      <c r="W419" s="48">
        <v>625</v>
      </c>
      <c r="X419" s="48">
        <v>533</v>
      </c>
      <c r="Y419" s="48">
        <v>25</v>
      </c>
      <c r="Z419" s="48">
        <v>414</v>
      </c>
    </row>
    <row r="420" spans="1:26" ht="15" hidden="1" customHeight="1">
      <c r="A420" s="48" t="s">
        <v>928</v>
      </c>
      <c r="B420" s="48" t="s">
        <v>928</v>
      </c>
      <c r="C420" s="48" t="s">
        <v>929</v>
      </c>
      <c r="D420" s="48" t="s">
        <v>50</v>
      </c>
      <c r="E420" s="48" t="s">
        <v>169</v>
      </c>
      <c r="F420" s="48">
        <v>106</v>
      </c>
      <c r="G420" s="48">
        <v>29</v>
      </c>
      <c r="H420" s="48">
        <v>477</v>
      </c>
      <c r="I420" s="48">
        <v>94</v>
      </c>
      <c r="J420" s="48">
        <v>27</v>
      </c>
      <c r="K420" s="48">
        <v>523</v>
      </c>
      <c r="L420" s="48">
        <v>113.5</v>
      </c>
      <c r="M420" s="48">
        <v>21</v>
      </c>
      <c r="N420" s="48">
        <v>374</v>
      </c>
      <c r="O420" s="48">
        <v>56</v>
      </c>
      <c r="P420" s="48">
        <v>41</v>
      </c>
      <c r="Q420" s="48">
        <v>731</v>
      </c>
      <c r="R420" s="48">
        <v>89</v>
      </c>
      <c r="S420" s="48">
        <v>7</v>
      </c>
      <c r="T420" s="48">
        <v>200</v>
      </c>
      <c r="U420" s="48">
        <v>74</v>
      </c>
      <c r="V420" s="48">
        <v>15</v>
      </c>
      <c r="W420" s="48">
        <v>247</v>
      </c>
      <c r="X420" s="48">
        <v>532.5</v>
      </c>
      <c r="Y420" s="48">
        <v>24</v>
      </c>
      <c r="Z420" s="48">
        <v>417</v>
      </c>
    </row>
    <row r="421" spans="1:26" ht="15" hidden="1" customHeight="1">
      <c r="A421" s="48" t="s">
        <v>930</v>
      </c>
      <c r="B421" s="48" t="s">
        <v>930</v>
      </c>
      <c r="C421" s="48" t="s">
        <v>931</v>
      </c>
      <c r="D421" s="48" t="s">
        <v>50</v>
      </c>
      <c r="E421" s="48" t="s">
        <v>111</v>
      </c>
      <c r="F421" s="48">
        <v>113</v>
      </c>
      <c r="G421" s="48">
        <v>10</v>
      </c>
      <c r="H421" s="48">
        <v>196</v>
      </c>
      <c r="I421" s="48">
        <v>100</v>
      </c>
      <c r="J421" s="48">
        <v>19</v>
      </c>
      <c r="K421" s="48">
        <v>421</v>
      </c>
      <c r="L421" s="48">
        <v>116.5</v>
      </c>
      <c r="M421" s="48">
        <v>18</v>
      </c>
      <c r="N421" s="48">
        <v>298</v>
      </c>
      <c r="O421" s="48">
        <v>52</v>
      </c>
      <c r="P421" s="48">
        <v>46</v>
      </c>
      <c r="Q421" s="48">
        <v>798</v>
      </c>
      <c r="R421" s="48">
        <v>84</v>
      </c>
      <c r="S421" s="48">
        <v>17</v>
      </c>
      <c r="T421" s="48">
        <v>379</v>
      </c>
      <c r="U421" s="48">
        <v>67</v>
      </c>
      <c r="V421" s="48">
        <v>22</v>
      </c>
      <c r="W421" s="48">
        <v>489</v>
      </c>
      <c r="X421" s="48">
        <v>532.5</v>
      </c>
      <c r="Y421" s="48">
        <v>19</v>
      </c>
      <c r="Z421" s="48">
        <v>417</v>
      </c>
    </row>
    <row r="422" spans="1:26" ht="15" hidden="1" customHeight="1">
      <c r="A422" s="48" t="s">
        <v>932</v>
      </c>
      <c r="B422" s="48" t="s">
        <v>932</v>
      </c>
      <c r="C422" s="48" t="s">
        <v>933</v>
      </c>
      <c r="D422" s="48" t="s">
        <v>50</v>
      </c>
      <c r="E422" s="48" t="s">
        <v>84</v>
      </c>
      <c r="F422" s="48">
        <v>122</v>
      </c>
      <c r="G422" s="48">
        <v>4</v>
      </c>
      <c r="H422" s="48">
        <v>25</v>
      </c>
      <c r="I422" s="48">
        <v>60</v>
      </c>
      <c r="J422" s="48">
        <v>53</v>
      </c>
      <c r="K422" s="48">
        <v>884</v>
      </c>
      <c r="L422" s="48">
        <v>117.5</v>
      </c>
      <c r="M422" s="48">
        <v>15</v>
      </c>
      <c r="N422" s="48">
        <v>281</v>
      </c>
      <c r="O422" s="48">
        <v>76</v>
      </c>
      <c r="P422" s="48">
        <v>15</v>
      </c>
      <c r="Q422" s="48">
        <v>302</v>
      </c>
      <c r="R422" s="48">
        <v>87</v>
      </c>
      <c r="S422" s="48">
        <v>14</v>
      </c>
      <c r="T422" s="48">
        <v>268</v>
      </c>
      <c r="U422" s="48">
        <v>70</v>
      </c>
      <c r="V422" s="48">
        <v>19</v>
      </c>
      <c r="W422" s="48">
        <v>380</v>
      </c>
      <c r="X422" s="48">
        <v>532.5</v>
      </c>
      <c r="Y422" s="48">
        <v>21</v>
      </c>
      <c r="Z422" s="48">
        <v>417</v>
      </c>
    </row>
    <row r="423" spans="1:26" ht="15" hidden="1" customHeight="1">
      <c r="A423" s="48" t="s">
        <v>934</v>
      </c>
      <c r="B423" s="48" t="s">
        <v>934</v>
      </c>
      <c r="C423" s="48" t="s">
        <v>935</v>
      </c>
      <c r="D423" s="48" t="s">
        <v>50</v>
      </c>
      <c r="E423" s="48" t="s">
        <v>249</v>
      </c>
      <c r="F423" s="48">
        <v>105</v>
      </c>
      <c r="G423" s="48">
        <v>40</v>
      </c>
      <c r="H423" s="48">
        <v>515</v>
      </c>
      <c r="I423" s="48">
        <v>117</v>
      </c>
      <c r="J423" s="48">
        <v>8</v>
      </c>
      <c r="K423" s="48">
        <v>174</v>
      </c>
      <c r="L423" s="48">
        <v>93.5</v>
      </c>
      <c r="M423" s="48">
        <v>43</v>
      </c>
      <c r="N423" s="48">
        <v>790</v>
      </c>
      <c r="O423" s="48">
        <v>79</v>
      </c>
      <c r="P423" s="48">
        <v>12</v>
      </c>
      <c r="Q423" s="48">
        <v>236</v>
      </c>
      <c r="R423" s="48">
        <v>80</v>
      </c>
      <c r="S423" s="48">
        <v>16</v>
      </c>
      <c r="T423" s="48">
        <v>511</v>
      </c>
      <c r="U423" s="48">
        <v>58</v>
      </c>
      <c r="V423" s="48">
        <v>41</v>
      </c>
      <c r="W423" s="48">
        <v>754</v>
      </c>
      <c r="X423" s="48">
        <v>532.5</v>
      </c>
      <c r="Y423" s="48">
        <v>18</v>
      </c>
      <c r="Z423" s="48">
        <v>417</v>
      </c>
    </row>
    <row r="424" spans="1:26" ht="15" hidden="1" customHeight="1">
      <c r="A424" s="48" t="s">
        <v>936</v>
      </c>
      <c r="B424" s="48" t="s">
        <v>936</v>
      </c>
      <c r="C424" s="48" t="s">
        <v>937</v>
      </c>
      <c r="D424" s="48" t="s">
        <v>50</v>
      </c>
      <c r="E424" s="48" t="s">
        <v>240</v>
      </c>
      <c r="F424" s="48">
        <v>107</v>
      </c>
      <c r="G424" s="48">
        <v>21</v>
      </c>
      <c r="H424" s="48">
        <v>429</v>
      </c>
      <c r="I424" s="48">
        <v>100</v>
      </c>
      <c r="J424" s="48">
        <v>23</v>
      </c>
      <c r="K424" s="48">
        <v>421</v>
      </c>
      <c r="L424" s="48">
        <v>111</v>
      </c>
      <c r="M424" s="48">
        <v>26</v>
      </c>
      <c r="N424" s="48">
        <v>445</v>
      </c>
      <c r="O424" s="48">
        <v>69</v>
      </c>
      <c r="P424" s="48">
        <v>32</v>
      </c>
      <c r="Q424" s="48">
        <v>452</v>
      </c>
      <c r="R424" s="48">
        <v>77</v>
      </c>
      <c r="S424" s="48">
        <v>33</v>
      </c>
      <c r="T424" s="48">
        <v>608</v>
      </c>
      <c r="U424" s="48">
        <v>68</v>
      </c>
      <c r="V424" s="48">
        <v>27</v>
      </c>
      <c r="W424" s="48">
        <v>452</v>
      </c>
      <c r="X424" s="48">
        <v>532</v>
      </c>
      <c r="Y424" s="48">
        <v>26</v>
      </c>
      <c r="Z424" s="48">
        <v>421</v>
      </c>
    </row>
    <row r="425" spans="1:26" ht="15" hidden="1" customHeight="1">
      <c r="A425" s="48" t="s">
        <v>938</v>
      </c>
      <c r="B425" s="48" t="s">
        <v>938</v>
      </c>
      <c r="C425" s="48" t="s">
        <v>939</v>
      </c>
      <c r="D425" s="48" t="s">
        <v>50</v>
      </c>
      <c r="E425" s="48" t="s">
        <v>97</v>
      </c>
      <c r="F425" s="48">
        <v>109</v>
      </c>
      <c r="G425" s="48">
        <v>22</v>
      </c>
      <c r="H425" s="48">
        <v>353</v>
      </c>
      <c r="I425" s="48">
        <v>107</v>
      </c>
      <c r="J425" s="48">
        <v>16</v>
      </c>
      <c r="K425" s="48">
        <v>313</v>
      </c>
      <c r="L425" s="48">
        <v>106</v>
      </c>
      <c r="M425" s="48">
        <v>32</v>
      </c>
      <c r="N425" s="48">
        <v>558</v>
      </c>
      <c r="O425" s="48">
        <v>62</v>
      </c>
      <c r="P425" s="48">
        <v>32</v>
      </c>
      <c r="Q425" s="48">
        <v>607</v>
      </c>
      <c r="R425" s="48">
        <v>86</v>
      </c>
      <c r="S425" s="48">
        <v>19</v>
      </c>
      <c r="T425" s="48">
        <v>304</v>
      </c>
      <c r="U425" s="48">
        <v>62</v>
      </c>
      <c r="V425" s="48">
        <v>42</v>
      </c>
      <c r="W425" s="48">
        <v>657</v>
      </c>
      <c r="X425" s="48">
        <v>532</v>
      </c>
      <c r="Y425" s="48">
        <v>22</v>
      </c>
      <c r="Z425" s="48">
        <v>421</v>
      </c>
    </row>
    <row r="426" spans="1:26" ht="15" hidden="1" customHeight="1">
      <c r="A426" s="48" t="s">
        <v>940</v>
      </c>
      <c r="B426" s="48" t="s">
        <v>940</v>
      </c>
      <c r="C426" s="48" t="s">
        <v>941</v>
      </c>
      <c r="D426" s="48" t="s">
        <v>50</v>
      </c>
      <c r="E426" s="48" t="s">
        <v>150</v>
      </c>
      <c r="F426" s="48">
        <v>103</v>
      </c>
      <c r="G426" s="48">
        <v>30</v>
      </c>
      <c r="H426" s="48">
        <v>606</v>
      </c>
      <c r="I426" s="48">
        <v>105</v>
      </c>
      <c r="J426" s="48">
        <v>26</v>
      </c>
      <c r="K426" s="48">
        <v>340</v>
      </c>
      <c r="L426" s="48">
        <v>95</v>
      </c>
      <c r="M426" s="48">
        <v>43</v>
      </c>
      <c r="N426" s="48">
        <v>775</v>
      </c>
      <c r="O426" s="48">
        <v>64</v>
      </c>
      <c r="P426" s="48">
        <v>30</v>
      </c>
      <c r="Q426" s="48">
        <v>559</v>
      </c>
      <c r="R426" s="48">
        <v>86</v>
      </c>
      <c r="S426" s="48">
        <v>23</v>
      </c>
      <c r="T426" s="48">
        <v>304</v>
      </c>
      <c r="U426" s="48">
        <v>79</v>
      </c>
      <c r="V426" s="48">
        <v>10</v>
      </c>
      <c r="W426" s="48">
        <v>103</v>
      </c>
      <c r="X426" s="48">
        <v>532</v>
      </c>
      <c r="Y426" s="48">
        <v>29</v>
      </c>
      <c r="Z426" s="48">
        <v>421</v>
      </c>
    </row>
    <row r="427" spans="1:26" ht="15" hidden="1" customHeight="1">
      <c r="A427" s="48" t="s">
        <v>942</v>
      </c>
      <c r="B427" s="48" t="s">
        <v>942</v>
      </c>
      <c r="C427" s="48" t="s">
        <v>943</v>
      </c>
      <c r="D427" s="48" t="s">
        <v>50</v>
      </c>
      <c r="E427" s="48" t="s">
        <v>240</v>
      </c>
      <c r="F427" s="48">
        <v>105</v>
      </c>
      <c r="G427" s="48">
        <v>28</v>
      </c>
      <c r="H427" s="48">
        <v>515</v>
      </c>
      <c r="I427" s="48">
        <v>89</v>
      </c>
      <c r="J427" s="48">
        <v>33</v>
      </c>
      <c r="K427" s="48">
        <v>587</v>
      </c>
      <c r="L427" s="48">
        <v>94</v>
      </c>
      <c r="M427" s="48">
        <v>50</v>
      </c>
      <c r="N427" s="48">
        <v>783</v>
      </c>
      <c r="O427" s="48">
        <v>83</v>
      </c>
      <c r="P427" s="48">
        <v>8</v>
      </c>
      <c r="Q427" s="48">
        <v>153</v>
      </c>
      <c r="R427" s="48">
        <v>86</v>
      </c>
      <c r="S427" s="48">
        <v>13</v>
      </c>
      <c r="T427" s="48">
        <v>304</v>
      </c>
      <c r="U427" s="48">
        <v>75</v>
      </c>
      <c r="V427" s="48">
        <v>14</v>
      </c>
      <c r="W427" s="48">
        <v>219</v>
      </c>
      <c r="X427" s="48">
        <v>532</v>
      </c>
      <c r="Y427" s="48">
        <v>26</v>
      </c>
      <c r="Z427" s="48">
        <v>421</v>
      </c>
    </row>
    <row r="428" spans="1:26" ht="15" hidden="1" customHeight="1">
      <c r="A428" s="48" t="s">
        <v>944</v>
      </c>
      <c r="B428" s="48" t="s">
        <v>944</v>
      </c>
      <c r="C428" s="48" t="s">
        <v>945</v>
      </c>
      <c r="D428" s="48" t="s">
        <v>50</v>
      </c>
      <c r="E428" s="48" t="s">
        <v>111</v>
      </c>
      <c r="F428" s="48">
        <v>111</v>
      </c>
      <c r="G428" s="48">
        <v>15</v>
      </c>
      <c r="H428" s="48">
        <v>271</v>
      </c>
      <c r="I428" s="48">
        <v>95</v>
      </c>
      <c r="J428" s="48">
        <v>22</v>
      </c>
      <c r="K428" s="48">
        <v>501</v>
      </c>
      <c r="L428" s="48">
        <v>128.5</v>
      </c>
      <c r="M428" s="48">
        <v>5</v>
      </c>
      <c r="N428" s="48">
        <v>53</v>
      </c>
      <c r="O428" s="48">
        <v>57</v>
      </c>
      <c r="P428" s="48">
        <v>39</v>
      </c>
      <c r="Q428" s="48">
        <v>713</v>
      </c>
      <c r="R428" s="48">
        <v>76</v>
      </c>
      <c r="S428" s="48">
        <v>35</v>
      </c>
      <c r="T428" s="48">
        <v>642</v>
      </c>
      <c r="U428" s="48">
        <v>64</v>
      </c>
      <c r="V428" s="48">
        <v>25</v>
      </c>
      <c r="W428" s="48">
        <v>593</v>
      </c>
      <c r="X428" s="48">
        <v>531.5</v>
      </c>
      <c r="Y428" s="48">
        <v>20</v>
      </c>
      <c r="Z428" s="48">
        <v>425</v>
      </c>
    </row>
    <row r="429" spans="1:26" ht="15" hidden="1" customHeight="1">
      <c r="A429" s="48" t="s">
        <v>946</v>
      </c>
      <c r="B429" s="48" t="s">
        <v>946</v>
      </c>
      <c r="C429" s="48" t="s">
        <v>947</v>
      </c>
      <c r="D429" s="48" t="s">
        <v>50</v>
      </c>
      <c r="E429" s="48" t="s">
        <v>172</v>
      </c>
      <c r="F429" s="48">
        <v>103</v>
      </c>
      <c r="G429" s="48">
        <v>34</v>
      </c>
      <c r="H429" s="48">
        <v>606</v>
      </c>
      <c r="I429" s="48">
        <v>93</v>
      </c>
      <c r="J429" s="48">
        <v>29</v>
      </c>
      <c r="K429" s="48">
        <v>540</v>
      </c>
      <c r="L429" s="48">
        <v>118.5</v>
      </c>
      <c r="M429" s="48">
        <v>12</v>
      </c>
      <c r="N429" s="48">
        <v>247</v>
      </c>
      <c r="O429" s="48">
        <v>73</v>
      </c>
      <c r="P429" s="48">
        <v>23</v>
      </c>
      <c r="Q429" s="48">
        <v>370</v>
      </c>
      <c r="R429" s="48">
        <v>74</v>
      </c>
      <c r="S429" s="48">
        <v>36</v>
      </c>
      <c r="T429" s="48">
        <v>702</v>
      </c>
      <c r="U429" s="48">
        <v>70</v>
      </c>
      <c r="V429" s="48">
        <v>19</v>
      </c>
      <c r="W429" s="48">
        <v>380</v>
      </c>
      <c r="X429" s="48">
        <v>531.5</v>
      </c>
      <c r="Y429" s="48">
        <v>17</v>
      </c>
      <c r="Z429" s="48">
        <v>425</v>
      </c>
    </row>
    <row r="430" spans="1:26" ht="15" hidden="1" customHeight="1">
      <c r="A430" s="48" t="s">
        <v>948</v>
      </c>
      <c r="B430" s="48" t="s">
        <v>948</v>
      </c>
      <c r="C430" s="48" t="s">
        <v>949</v>
      </c>
      <c r="D430" s="48" t="s">
        <v>50</v>
      </c>
      <c r="E430" s="48" t="s">
        <v>172</v>
      </c>
      <c r="F430" s="48">
        <v>109</v>
      </c>
      <c r="G430" s="48">
        <v>18</v>
      </c>
      <c r="H430" s="48">
        <v>353</v>
      </c>
      <c r="I430" s="48">
        <v>87</v>
      </c>
      <c r="J430" s="48">
        <v>35</v>
      </c>
      <c r="K430" s="48">
        <v>614</v>
      </c>
      <c r="L430" s="48">
        <v>89</v>
      </c>
      <c r="M430" s="48">
        <v>45</v>
      </c>
      <c r="N430" s="48">
        <v>841</v>
      </c>
      <c r="O430" s="48">
        <v>68</v>
      </c>
      <c r="P430" s="48">
        <v>27</v>
      </c>
      <c r="Q430" s="48">
        <v>474</v>
      </c>
      <c r="R430" s="48">
        <v>97</v>
      </c>
      <c r="S430" s="48">
        <v>1</v>
      </c>
      <c r="T430" s="48">
        <v>30</v>
      </c>
      <c r="U430" s="48">
        <v>81</v>
      </c>
      <c r="V430" s="48">
        <v>5</v>
      </c>
      <c r="W430" s="48">
        <v>66</v>
      </c>
      <c r="X430" s="48">
        <v>531</v>
      </c>
      <c r="Y430" s="48">
        <v>18</v>
      </c>
      <c r="Z430" s="48">
        <v>427</v>
      </c>
    </row>
    <row r="431" spans="1:26" ht="15" hidden="1" customHeight="1">
      <c r="A431" s="48" t="s">
        <v>950</v>
      </c>
      <c r="B431" s="48" t="s">
        <v>950</v>
      </c>
      <c r="C431" s="48" t="s">
        <v>951</v>
      </c>
      <c r="D431" s="48" t="s">
        <v>50</v>
      </c>
      <c r="E431" s="48" t="s">
        <v>249</v>
      </c>
      <c r="F431" s="48">
        <v>107</v>
      </c>
      <c r="G431" s="48">
        <v>35</v>
      </c>
      <c r="H431" s="48">
        <v>429</v>
      </c>
      <c r="I431" s="48">
        <v>110</v>
      </c>
      <c r="J431" s="48">
        <v>13</v>
      </c>
      <c r="K431" s="48">
        <v>264</v>
      </c>
      <c r="L431" s="48">
        <v>105</v>
      </c>
      <c r="M431" s="48">
        <v>27</v>
      </c>
      <c r="N431" s="48">
        <v>578</v>
      </c>
      <c r="O431" s="48">
        <v>77</v>
      </c>
      <c r="P431" s="48">
        <v>15</v>
      </c>
      <c r="Q431" s="48">
        <v>278</v>
      </c>
      <c r="R431" s="48">
        <v>69</v>
      </c>
      <c r="S431" s="48">
        <v>39</v>
      </c>
      <c r="T431" s="48">
        <v>810</v>
      </c>
      <c r="U431" s="48">
        <v>63</v>
      </c>
      <c r="V431" s="48">
        <v>27</v>
      </c>
      <c r="W431" s="48">
        <v>625</v>
      </c>
      <c r="X431" s="48">
        <v>531</v>
      </c>
      <c r="Y431" s="48">
        <v>19</v>
      </c>
      <c r="Z431" s="48">
        <v>427</v>
      </c>
    </row>
    <row r="432" spans="1:26" ht="15" hidden="1" customHeight="1">
      <c r="A432" s="48" t="s">
        <v>952</v>
      </c>
      <c r="B432" s="48" t="s">
        <v>952</v>
      </c>
      <c r="C432" s="48" t="s">
        <v>953</v>
      </c>
      <c r="D432" s="48" t="s">
        <v>50</v>
      </c>
      <c r="E432" s="48" t="s">
        <v>217</v>
      </c>
      <c r="F432" s="48">
        <v>106</v>
      </c>
      <c r="G432" s="48">
        <v>26</v>
      </c>
      <c r="H432" s="48">
        <v>477</v>
      </c>
      <c r="I432" s="48">
        <v>101</v>
      </c>
      <c r="J432" s="48">
        <v>23</v>
      </c>
      <c r="K432" s="48">
        <v>403</v>
      </c>
      <c r="L432" s="48">
        <v>109</v>
      </c>
      <c r="M432" s="48">
        <v>25</v>
      </c>
      <c r="N432" s="48">
        <v>500</v>
      </c>
      <c r="O432" s="48">
        <v>78</v>
      </c>
      <c r="P432" s="48">
        <v>12</v>
      </c>
      <c r="Q432" s="48">
        <v>256</v>
      </c>
      <c r="R432" s="48">
        <v>77</v>
      </c>
      <c r="S432" s="48">
        <v>34</v>
      </c>
      <c r="T432" s="48">
        <v>608</v>
      </c>
      <c r="U432" s="48">
        <v>60</v>
      </c>
      <c r="V432" s="48">
        <v>43</v>
      </c>
      <c r="W432" s="48">
        <v>706</v>
      </c>
      <c r="X432" s="48">
        <v>531</v>
      </c>
      <c r="Y432" s="48">
        <v>18</v>
      </c>
      <c r="Z432" s="48">
        <v>427</v>
      </c>
    </row>
    <row r="433" spans="1:26" ht="15" hidden="1" customHeight="1">
      <c r="A433" s="48" t="s">
        <v>954</v>
      </c>
      <c r="B433" s="48" t="s">
        <v>954</v>
      </c>
      <c r="C433" s="48" t="s">
        <v>955</v>
      </c>
      <c r="D433" s="48" t="s">
        <v>50</v>
      </c>
      <c r="E433" s="48" t="s">
        <v>133</v>
      </c>
      <c r="F433" s="48">
        <v>95</v>
      </c>
      <c r="G433" s="48">
        <v>50</v>
      </c>
      <c r="H433" s="48">
        <v>837</v>
      </c>
      <c r="I433" s="48">
        <v>88</v>
      </c>
      <c r="J433" s="48">
        <v>41</v>
      </c>
      <c r="K433" s="48">
        <v>601</v>
      </c>
      <c r="L433" s="48">
        <v>102</v>
      </c>
      <c r="M433" s="48">
        <v>40</v>
      </c>
      <c r="N433" s="48">
        <v>642</v>
      </c>
      <c r="O433" s="48">
        <v>75</v>
      </c>
      <c r="P433" s="48">
        <v>25</v>
      </c>
      <c r="Q433" s="48">
        <v>324</v>
      </c>
      <c r="R433" s="48">
        <v>91</v>
      </c>
      <c r="S433" s="48">
        <v>5</v>
      </c>
      <c r="T433" s="48">
        <v>151</v>
      </c>
      <c r="U433" s="48">
        <v>80</v>
      </c>
      <c r="V433" s="48">
        <v>10</v>
      </c>
      <c r="W433" s="48">
        <v>85</v>
      </c>
      <c r="X433" s="48">
        <v>531</v>
      </c>
      <c r="Y433" s="48">
        <v>31</v>
      </c>
      <c r="Z433" s="48">
        <v>427</v>
      </c>
    </row>
    <row r="434" spans="1:26" ht="15" hidden="1" customHeight="1">
      <c r="A434" s="48" t="s">
        <v>956</v>
      </c>
      <c r="B434" s="48" t="s">
        <v>956</v>
      </c>
      <c r="C434" s="48" t="s">
        <v>957</v>
      </c>
      <c r="D434" s="48" t="s">
        <v>50</v>
      </c>
      <c r="E434" s="48" t="s">
        <v>92</v>
      </c>
      <c r="F434" s="48">
        <v>112</v>
      </c>
      <c r="G434" s="48">
        <v>7</v>
      </c>
      <c r="H434" s="48">
        <v>226</v>
      </c>
      <c r="I434" s="48">
        <v>90</v>
      </c>
      <c r="J434" s="48">
        <v>34</v>
      </c>
      <c r="K434" s="48">
        <v>578</v>
      </c>
      <c r="L434" s="48">
        <v>114.5</v>
      </c>
      <c r="M434" s="48">
        <v>16</v>
      </c>
      <c r="N434" s="48">
        <v>340</v>
      </c>
      <c r="O434" s="48">
        <v>64</v>
      </c>
      <c r="P434" s="48">
        <v>31</v>
      </c>
      <c r="Q434" s="48">
        <v>559</v>
      </c>
      <c r="R434" s="48">
        <v>77</v>
      </c>
      <c r="S434" s="48">
        <v>42</v>
      </c>
      <c r="T434" s="48">
        <v>608</v>
      </c>
      <c r="U434" s="48">
        <v>73</v>
      </c>
      <c r="V434" s="48">
        <v>21</v>
      </c>
      <c r="W434" s="48">
        <v>275</v>
      </c>
      <c r="X434" s="48">
        <v>530.5</v>
      </c>
      <c r="Y434" s="48">
        <v>23</v>
      </c>
      <c r="Z434" s="48">
        <v>431</v>
      </c>
    </row>
    <row r="435" spans="1:26" ht="15" hidden="1" customHeight="1">
      <c r="A435" s="48" t="s">
        <v>958</v>
      </c>
      <c r="B435" s="48" t="s">
        <v>958</v>
      </c>
      <c r="C435" s="48" t="s">
        <v>959</v>
      </c>
      <c r="D435" s="48" t="s">
        <v>50</v>
      </c>
      <c r="E435" s="48" t="s">
        <v>249</v>
      </c>
      <c r="F435" s="48">
        <v>110</v>
      </c>
      <c r="G435" s="48">
        <v>27</v>
      </c>
      <c r="H435" s="48">
        <v>310</v>
      </c>
      <c r="I435" s="48">
        <v>94</v>
      </c>
      <c r="J435" s="48">
        <v>28</v>
      </c>
      <c r="K435" s="48">
        <v>523</v>
      </c>
      <c r="L435" s="48">
        <v>112</v>
      </c>
      <c r="M435" s="48">
        <v>20</v>
      </c>
      <c r="N435" s="48">
        <v>413</v>
      </c>
      <c r="O435" s="48">
        <v>67</v>
      </c>
      <c r="P435" s="48">
        <v>28</v>
      </c>
      <c r="Q435" s="48">
        <v>497</v>
      </c>
      <c r="R435" s="48">
        <v>85</v>
      </c>
      <c r="S435" s="48">
        <v>9</v>
      </c>
      <c r="T435" s="48">
        <v>339</v>
      </c>
      <c r="U435" s="48">
        <v>62</v>
      </c>
      <c r="V435" s="48">
        <v>33</v>
      </c>
      <c r="W435" s="48">
        <v>657</v>
      </c>
      <c r="X435" s="48">
        <v>530</v>
      </c>
      <c r="Y435" s="48">
        <v>20</v>
      </c>
      <c r="Z435" s="48">
        <v>432</v>
      </c>
    </row>
    <row r="436" spans="1:26" ht="15" hidden="1" customHeight="1">
      <c r="A436" s="48" t="s">
        <v>960</v>
      </c>
      <c r="B436" s="48" t="s">
        <v>960</v>
      </c>
      <c r="C436" s="48" t="s">
        <v>961</v>
      </c>
      <c r="D436" s="48" t="s">
        <v>50</v>
      </c>
      <c r="E436" s="48" t="s">
        <v>296</v>
      </c>
      <c r="F436" s="48">
        <v>100</v>
      </c>
      <c r="G436" s="48">
        <v>33</v>
      </c>
      <c r="H436" s="48">
        <v>715</v>
      </c>
      <c r="I436" s="48">
        <v>95</v>
      </c>
      <c r="J436" s="48">
        <v>27</v>
      </c>
      <c r="K436" s="48">
        <v>501</v>
      </c>
      <c r="L436" s="48">
        <v>104</v>
      </c>
      <c r="M436" s="48">
        <v>33</v>
      </c>
      <c r="N436" s="48">
        <v>600</v>
      </c>
      <c r="O436" s="48">
        <v>81</v>
      </c>
      <c r="P436" s="48">
        <v>10</v>
      </c>
      <c r="Q436" s="48">
        <v>195</v>
      </c>
      <c r="R436" s="48">
        <v>80</v>
      </c>
      <c r="S436" s="48">
        <v>27</v>
      </c>
      <c r="T436" s="48">
        <v>511</v>
      </c>
      <c r="U436" s="48">
        <v>70</v>
      </c>
      <c r="V436" s="48">
        <v>14</v>
      </c>
      <c r="W436" s="48">
        <v>380</v>
      </c>
      <c r="X436" s="48">
        <v>530</v>
      </c>
      <c r="Y436" s="48">
        <v>23</v>
      </c>
      <c r="Z436" s="48">
        <v>432</v>
      </c>
    </row>
    <row r="437" spans="1:26" ht="15" hidden="1" customHeight="1">
      <c r="A437" s="48" t="s">
        <v>962</v>
      </c>
      <c r="B437" s="48" t="s">
        <v>962</v>
      </c>
      <c r="C437" s="48" t="s">
        <v>963</v>
      </c>
      <c r="D437" s="48" t="s">
        <v>50</v>
      </c>
      <c r="E437" s="48" t="s">
        <v>169</v>
      </c>
      <c r="F437" s="48">
        <v>106</v>
      </c>
      <c r="G437" s="48">
        <v>29</v>
      </c>
      <c r="H437" s="48">
        <v>477</v>
      </c>
      <c r="I437" s="48">
        <v>99</v>
      </c>
      <c r="J437" s="48">
        <v>23</v>
      </c>
      <c r="K437" s="48">
        <v>436</v>
      </c>
      <c r="L437" s="48">
        <v>123.5</v>
      </c>
      <c r="M437" s="48">
        <v>4</v>
      </c>
      <c r="N437" s="48">
        <v>124</v>
      </c>
      <c r="O437" s="48">
        <v>58</v>
      </c>
      <c r="P437" s="48">
        <v>40</v>
      </c>
      <c r="Q437" s="48">
        <v>698</v>
      </c>
      <c r="R437" s="48">
        <v>76</v>
      </c>
      <c r="S437" s="48">
        <v>35</v>
      </c>
      <c r="T437" s="48">
        <v>642</v>
      </c>
      <c r="U437" s="48">
        <v>67</v>
      </c>
      <c r="V437" s="48">
        <v>29</v>
      </c>
      <c r="W437" s="48">
        <v>489</v>
      </c>
      <c r="X437" s="48">
        <v>529.5</v>
      </c>
      <c r="Y437" s="48">
        <v>25</v>
      </c>
      <c r="Z437" s="48">
        <v>434</v>
      </c>
    </row>
    <row r="438" spans="1:26" ht="15" hidden="1" customHeight="1">
      <c r="A438" s="48" t="s">
        <v>964</v>
      </c>
      <c r="B438" s="48" t="s">
        <v>964</v>
      </c>
      <c r="C438" s="48" t="s">
        <v>965</v>
      </c>
      <c r="D438" s="48" t="s">
        <v>50</v>
      </c>
      <c r="E438" s="48" t="s">
        <v>172</v>
      </c>
      <c r="F438" s="48">
        <v>103</v>
      </c>
      <c r="G438" s="48">
        <v>34</v>
      </c>
      <c r="H438" s="48">
        <v>606</v>
      </c>
      <c r="I438" s="48">
        <v>87</v>
      </c>
      <c r="J438" s="48">
        <v>35</v>
      </c>
      <c r="K438" s="48">
        <v>614</v>
      </c>
      <c r="L438" s="48">
        <v>121.5</v>
      </c>
      <c r="M438" s="48">
        <v>5</v>
      </c>
      <c r="N438" s="48">
        <v>160</v>
      </c>
      <c r="O438" s="48">
        <v>76</v>
      </c>
      <c r="P438" s="48">
        <v>19</v>
      </c>
      <c r="Q438" s="48">
        <v>302</v>
      </c>
      <c r="R438" s="48">
        <v>85</v>
      </c>
      <c r="S438" s="48">
        <v>15</v>
      </c>
      <c r="T438" s="48">
        <v>339</v>
      </c>
      <c r="U438" s="48">
        <v>57</v>
      </c>
      <c r="V438" s="48">
        <v>47</v>
      </c>
      <c r="W438" s="48">
        <v>770</v>
      </c>
      <c r="X438" s="48">
        <v>529.5</v>
      </c>
      <c r="Y438" s="48">
        <v>19</v>
      </c>
      <c r="Z438" s="48">
        <v>434</v>
      </c>
    </row>
    <row r="439" spans="1:26" ht="15" hidden="1" customHeight="1">
      <c r="A439" s="48" t="s">
        <v>966</v>
      </c>
      <c r="B439" s="48" t="s">
        <v>966</v>
      </c>
      <c r="C439" s="48" t="s">
        <v>967</v>
      </c>
      <c r="D439" s="48" t="s">
        <v>50</v>
      </c>
      <c r="E439" s="48" t="s">
        <v>133</v>
      </c>
      <c r="F439" s="48">
        <v>117</v>
      </c>
      <c r="G439" s="48">
        <v>5</v>
      </c>
      <c r="H439" s="48">
        <v>86</v>
      </c>
      <c r="I439" s="48">
        <v>109</v>
      </c>
      <c r="J439" s="48">
        <v>18</v>
      </c>
      <c r="K439" s="48">
        <v>278</v>
      </c>
      <c r="L439" s="48">
        <v>90.5</v>
      </c>
      <c r="M439" s="48">
        <v>48</v>
      </c>
      <c r="N439" s="48">
        <v>822</v>
      </c>
      <c r="O439" s="48">
        <v>60</v>
      </c>
      <c r="P439" s="48">
        <v>37</v>
      </c>
      <c r="Q439" s="48">
        <v>647</v>
      </c>
      <c r="R439" s="48">
        <v>76</v>
      </c>
      <c r="S439" s="48">
        <v>46</v>
      </c>
      <c r="T439" s="48">
        <v>642</v>
      </c>
      <c r="U439" s="48">
        <v>77</v>
      </c>
      <c r="V439" s="48">
        <v>16</v>
      </c>
      <c r="W439" s="48">
        <v>162</v>
      </c>
      <c r="X439" s="48">
        <v>529.5</v>
      </c>
      <c r="Y439" s="48">
        <v>32</v>
      </c>
      <c r="Z439" s="48">
        <v>434</v>
      </c>
    </row>
    <row r="440" spans="1:26" ht="15" hidden="1" customHeight="1">
      <c r="A440" s="48" t="s">
        <v>968</v>
      </c>
      <c r="B440" s="48" t="s">
        <v>968</v>
      </c>
      <c r="C440" s="48" t="s">
        <v>969</v>
      </c>
      <c r="D440" s="48" t="s">
        <v>50</v>
      </c>
      <c r="E440" s="48" t="s">
        <v>106</v>
      </c>
      <c r="F440" s="48">
        <v>106</v>
      </c>
      <c r="G440" s="48">
        <v>33</v>
      </c>
      <c r="H440" s="48">
        <v>477</v>
      </c>
      <c r="I440" s="48">
        <v>113</v>
      </c>
      <c r="J440" s="48">
        <v>9</v>
      </c>
      <c r="K440" s="48">
        <v>224</v>
      </c>
      <c r="L440" s="48">
        <v>111.5</v>
      </c>
      <c r="M440" s="48">
        <v>27</v>
      </c>
      <c r="N440" s="48">
        <v>427</v>
      </c>
      <c r="O440" s="48">
        <v>57</v>
      </c>
      <c r="P440" s="48">
        <v>39</v>
      </c>
      <c r="Q440" s="48">
        <v>713</v>
      </c>
      <c r="R440" s="48">
        <v>76</v>
      </c>
      <c r="S440" s="48">
        <v>30</v>
      </c>
      <c r="T440" s="48">
        <v>642</v>
      </c>
      <c r="U440" s="48">
        <v>66</v>
      </c>
      <c r="V440" s="48">
        <v>22</v>
      </c>
      <c r="W440" s="48">
        <v>519</v>
      </c>
      <c r="X440" s="48">
        <v>529.5</v>
      </c>
      <c r="Y440" s="48">
        <v>16</v>
      </c>
      <c r="Z440" s="48">
        <v>434</v>
      </c>
    </row>
    <row r="441" spans="1:26" ht="15" hidden="1" customHeight="1">
      <c r="A441" s="48" t="s">
        <v>970</v>
      </c>
      <c r="B441" s="48" t="s">
        <v>970</v>
      </c>
      <c r="C441" s="48" t="s">
        <v>971</v>
      </c>
      <c r="D441" s="48" t="s">
        <v>50</v>
      </c>
      <c r="E441" s="48" t="s">
        <v>106</v>
      </c>
      <c r="F441" s="48">
        <v>105</v>
      </c>
      <c r="G441" s="48">
        <v>36</v>
      </c>
      <c r="H441" s="48">
        <v>515</v>
      </c>
      <c r="I441" s="48">
        <v>97</v>
      </c>
      <c r="J441" s="48">
        <v>26</v>
      </c>
      <c r="K441" s="48">
        <v>474</v>
      </c>
      <c r="L441" s="48">
        <v>81</v>
      </c>
      <c r="M441" s="48">
        <v>52</v>
      </c>
      <c r="N441" s="48">
        <v>889</v>
      </c>
      <c r="O441" s="48">
        <v>84</v>
      </c>
      <c r="P441" s="48">
        <v>9</v>
      </c>
      <c r="Q441" s="48">
        <v>131</v>
      </c>
      <c r="R441" s="48">
        <v>85</v>
      </c>
      <c r="S441" s="48">
        <v>9</v>
      </c>
      <c r="T441" s="48">
        <v>339</v>
      </c>
      <c r="U441" s="48">
        <v>77</v>
      </c>
      <c r="V441" s="48">
        <v>6</v>
      </c>
      <c r="W441" s="48">
        <v>162</v>
      </c>
      <c r="X441" s="48">
        <v>529</v>
      </c>
      <c r="Y441" s="48">
        <v>17</v>
      </c>
      <c r="Z441" s="48">
        <v>438</v>
      </c>
    </row>
    <row r="442" spans="1:26" ht="15" hidden="1" customHeight="1">
      <c r="A442" s="48" t="s">
        <v>972</v>
      </c>
      <c r="B442" s="48" t="s">
        <v>972</v>
      </c>
      <c r="C442" s="48" t="s">
        <v>973</v>
      </c>
      <c r="D442" s="48" t="s">
        <v>50</v>
      </c>
      <c r="E442" s="48" t="s">
        <v>106</v>
      </c>
      <c r="F442" s="48">
        <v>107</v>
      </c>
      <c r="G442" s="48">
        <v>31</v>
      </c>
      <c r="H442" s="48">
        <v>429</v>
      </c>
      <c r="I442" s="48">
        <v>80</v>
      </c>
      <c r="J442" s="48">
        <v>36</v>
      </c>
      <c r="K442" s="48">
        <v>699</v>
      </c>
      <c r="L442" s="48">
        <v>116</v>
      </c>
      <c r="M442" s="48">
        <v>21</v>
      </c>
      <c r="N442" s="48">
        <v>309</v>
      </c>
      <c r="O442" s="48">
        <v>66</v>
      </c>
      <c r="P442" s="48">
        <v>24</v>
      </c>
      <c r="Q442" s="48">
        <v>513</v>
      </c>
      <c r="R442" s="48">
        <v>93</v>
      </c>
      <c r="S442" s="48">
        <v>3</v>
      </c>
      <c r="T442" s="48">
        <v>93</v>
      </c>
      <c r="U442" s="48">
        <v>67</v>
      </c>
      <c r="V442" s="48">
        <v>20</v>
      </c>
      <c r="W442" s="48">
        <v>489</v>
      </c>
      <c r="X442" s="48">
        <v>529</v>
      </c>
      <c r="Y442" s="48">
        <v>17</v>
      </c>
      <c r="Z442" s="48">
        <v>438</v>
      </c>
    </row>
    <row r="443" spans="1:26" ht="15" hidden="1" customHeight="1">
      <c r="A443" s="48" t="s">
        <v>974</v>
      </c>
      <c r="B443" s="48" t="s">
        <v>974</v>
      </c>
      <c r="C443" s="48" t="s">
        <v>975</v>
      </c>
      <c r="D443" s="48" t="s">
        <v>50</v>
      </c>
      <c r="E443" s="48" t="s">
        <v>133</v>
      </c>
      <c r="F443" s="48">
        <v>108</v>
      </c>
      <c r="G443" s="48">
        <v>25</v>
      </c>
      <c r="H443" s="48">
        <v>391</v>
      </c>
      <c r="I443" s="48">
        <v>76</v>
      </c>
      <c r="J443" s="48">
        <v>48</v>
      </c>
      <c r="K443" s="48">
        <v>754</v>
      </c>
      <c r="L443" s="48">
        <v>129</v>
      </c>
      <c r="M443" s="48">
        <v>4</v>
      </c>
      <c r="N443" s="48">
        <v>50</v>
      </c>
      <c r="O443" s="48">
        <v>68</v>
      </c>
      <c r="P443" s="48">
        <v>29</v>
      </c>
      <c r="Q443" s="48">
        <v>474</v>
      </c>
      <c r="R443" s="48">
        <v>80</v>
      </c>
      <c r="S443" s="48">
        <v>37</v>
      </c>
      <c r="T443" s="48">
        <v>511</v>
      </c>
      <c r="U443" s="48">
        <v>68</v>
      </c>
      <c r="V443" s="48">
        <v>31</v>
      </c>
      <c r="W443" s="48">
        <v>452</v>
      </c>
      <c r="X443" s="48">
        <v>529</v>
      </c>
      <c r="Y443" s="48">
        <v>33</v>
      </c>
      <c r="Z443" s="48">
        <v>438</v>
      </c>
    </row>
    <row r="444" spans="1:26" ht="15" hidden="1" customHeight="1">
      <c r="A444" s="48" t="s">
        <v>976</v>
      </c>
      <c r="B444" s="48" t="s">
        <v>976</v>
      </c>
      <c r="C444" s="48" t="s">
        <v>977</v>
      </c>
      <c r="D444" s="48" t="s">
        <v>50</v>
      </c>
      <c r="E444" s="48" t="s">
        <v>172</v>
      </c>
      <c r="F444" s="48">
        <v>113</v>
      </c>
      <c r="G444" s="48">
        <v>10</v>
      </c>
      <c r="H444" s="48">
        <v>196</v>
      </c>
      <c r="I444" s="48">
        <v>79</v>
      </c>
      <c r="J444" s="48">
        <v>41</v>
      </c>
      <c r="K444" s="48">
        <v>713</v>
      </c>
      <c r="L444" s="48">
        <v>124</v>
      </c>
      <c r="M444" s="48">
        <v>2</v>
      </c>
      <c r="N444" s="48">
        <v>115</v>
      </c>
      <c r="O444" s="48">
        <v>66</v>
      </c>
      <c r="P444" s="48">
        <v>30</v>
      </c>
      <c r="Q444" s="48">
        <v>513</v>
      </c>
      <c r="R444" s="48">
        <v>81</v>
      </c>
      <c r="S444" s="48">
        <v>20</v>
      </c>
      <c r="T444" s="48">
        <v>474</v>
      </c>
      <c r="U444" s="48">
        <v>66</v>
      </c>
      <c r="V444" s="48">
        <v>37</v>
      </c>
      <c r="W444" s="48">
        <v>519</v>
      </c>
      <c r="X444" s="48">
        <v>529</v>
      </c>
      <c r="Y444" s="48">
        <v>20</v>
      </c>
      <c r="Z444" s="48">
        <v>438</v>
      </c>
    </row>
    <row r="445" spans="1:26" ht="15" hidden="1" customHeight="1">
      <c r="A445" s="48" t="s">
        <v>978</v>
      </c>
      <c r="B445" s="48" t="s">
        <v>978</v>
      </c>
      <c r="C445" s="48" t="s">
        <v>979</v>
      </c>
      <c r="D445" s="48" t="s">
        <v>50</v>
      </c>
      <c r="E445" s="48" t="s">
        <v>210</v>
      </c>
      <c r="F445" s="48">
        <v>108</v>
      </c>
      <c r="G445" s="48">
        <v>24</v>
      </c>
      <c r="H445" s="48">
        <v>391</v>
      </c>
      <c r="I445" s="48">
        <v>96</v>
      </c>
      <c r="J445" s="48">
        <v>26</v>
      </c>
      <c r="K445" s="48">
        <v>483</v>
      </c>
      <c r="L445" s="48">
        <v>108</v>
      </c>
      <c r="M445" s="48">
        <v>32</v>
      </c>
      <c r="N445" s="48">
        <v>519</v>
      </c>
      <c r="O445" s="48">
        <v>68</v>
      </c>
      <c r="P445" s="48">
        <v>27</v>
      </c>
      <c r="Q445" s="48">
        <v>474</v>
      </c>
      <c r="R445" s="48">
        <v>77</v>
      </c>
      <c r="S445" s="48">
        <v>38</v>
      </c>
      <c r="T445" s="48">
        <v>608</v>
      </c>
      <c r="U445" s="48">
        <v>72</v>
      </c>
      <c r="V445" s="48">
        <v>16</v>
      </c>
      <c r="W445" s="48">
        <v>312</v>
      </c>
      <c r="X445" s="48">
        <v>529</v>
      </c>
      <c r="Y445" s="48">
        <v>26</v>
      </c>
      <c r="Z445" s="48">
        <v>438</v>
      </c>
    </row>
    <row r="446" spans="1:26" ht="15" hidden="1" customHeight="1">
      <c r="A446" s="48" t="s">
        <v>980</v>
      </c>
      <c r="B446" s="48" t="s">
        <v>980</v>
      </c>
      <c r="C446" s="48" t="s">
        <v>981</v>
      </c>
      <c r="D446" s="48" t="s">
        <v>50</v>
      </c>
      <c r="E446" s="48" t="s">
        <v>296</v>
      </c>
      <c r="F446" s="48">
        <v>108</v>
      </c>
      <c r="G446" s="48">
        <v>14</v>
      </c>
      <c r="H446" s="48">
        <v>391</v>
      </c>
      <c r="I446" s="48">
        <v>95</v>
      </c>
      <c r="J446" s="48">
        <v>27</v>
      </c>
      <c r="K446" s="48">
        <v>501</v>
      </c>
      <c r="L446" s="48">
        <v>113</v>
      </c>
      <c r="M446" s="48">
        <v>23</v>
      </c>
      <c r="N446" s="48">
        <v>396</v>
      </c>
      <c r="O446" s="48">
        <v>60</v>
      </c>
      <c r="P446" s="48">
        <v>39</v>
      </c>
      <c r="Q446" s="48">
        <v>647</v>
      </c>
      <c r="R446" s="48">
        <v>75</v>
      </c>
      <c r="S446" s="48">
        <v>39</v>
      </c>
      <c r="T446" s="48">
        <v>671</v>
      </c>
      <c r="U446" s="48">
        <v>78</v>
      </c>
      <c r="V446" s="48">
        <v>2</v>
      </c>
      <c r="W446" s="48">
        <v>133</v>
      </c>
      <c r="X446" s="48">
        <v>529</v>
      </c>
      <c r="Y446" s="48">
        <v>24</v>
      </c>
      <c r="Z446" s="48">
        <v>438</v>
      </c>
    </row>
    <row r="447" spans="1:26" ht="15" hidden="1" customHeight="1">
      <c r="A447" s="48" t="s">
        <v>982</v>
      </c>
      <c r="B447" s="48" t="s">
        <v>982</v>
      </c>
      <c r="C447" s="48" t="s">
        <v>983</v>
      </c>
      <c r="D447" s="48" t="s">
        <v>50</v>
      </c>
      <c r="E447" s="48" t="s">
        <v>84</v>
      </c>
      <c r="F447" s="48">
        <v>106</v>
      </c>
      <c r="G447" s="48">
        <v>26</v>
      </c>
      <c r="H447" s="48">
        <v>477</v>
      </c>
      <c r="I447" s="48">
        <v>111</v>
      </c>
      <c r="J447" s="48">
        <v>14</v>
      </c>
      <c r="K447" s="48">
        <v>247</v>
      </c>
      <c r="L447" s="48">
        <v>96.5</v>
      </c>
      <c r="M447" s="48">
        <v>48</v>
      </c>
      <c r="N447" s="48">
        <v>750</v>
      </c>
      <c r="O447" s="48">
        <v>69</v>
      </c>
      <c r="P447" s="48">
        <v>27</v>
      </c>
      <c r="Q447" s="48">
        <v>452</v>
      </c>
      <c r="R447" s="48">
        <v>77</v>
      </c>
      <c r="S447" s="48">
        <v>35</v>
      </c>
      <c r="T447" s="48">
        <v>608</v>
      </c>
      <c r="U447" s="48">
        <v>69</v>
      </c>
      <c r="V447" s="48">
        <v>23</v>
      </c>
      <c r="W447" s="48">
        <v>420</v>
      </c>
      <c r="X447" s="48">
        <v>528.5</v>
      </c>
      <c r="Y447" s="48">
        <v>22</v>
      </c>
      <c r="Z447" s="48">
        <v>444</v>
      </c>
    </row>
    <row r="448" spans="1:26" ht="15" hidden="1" customHeight="1">
      <c r="A448" s="48" t="s">
        <v>984</v>
      </c>
      <c r="B448" s="48" t="s">
        <v>984</v>
      </c>
      <c r="C448" s="48" t="s">
        <v>985</v>
      </c>
      <c r="D448" s="48" t="s">
        <v>50</v>
      </c>
      <c r="E448" s="48" t="s">
        <v>169</v>
      </c>
      <c r="F448" s="48">
        <v>110</v>
      </c>
      <c r="G448" s="48">
        <v>15</v>
      </c>
      <c r="H448" s="48">
        <v>310</v>
      </c>
      <c r="I448" s="48">
        <v>99</v>
      </c>
      <c r="J448" s="48">
        <v>23</v>
      </c>
      <c r="K448" s="48">
        <v>436</v>
      </c>
      <c r="L448" s="48">
        <v>103.5</v>
      </c>
      <c r="M448" s="48">
        <v>35</v>
      </c>
      <c r="N448" s="48">
        <v>612</v>
      </c>
      <c r="O448" s="48">
        <v>77</v>
      </c>
      <c r="P448" s="48">
        <v>18</v>
      </c>
      <c r="Q448" s="48">
        <v>278</v>
      </c>
      <c r="R448" s="48">
        <v>74</v>
      </c>
      <c r="S448" s="48">
        <v>39</v>
      </c>
      <c r="T448" s="48">
        <v>702</v>
      </c>
      <c r="U448" s="48">
        <v>65</v>
      </c>
      <c r="V448" s="48">
        <v>31</v>
      </c>
      <c r="W448" s="48">
        <v>554</v>
      </c>
      <c r="X448" s="48">
        <v>528.5</v>
      </c>
      <c r="Y448" s="48">
        <v>26</v>
      </c>
      <c r="Z448" s="48">
        <v>444</v>
      </c>
    </row>
    <row r="449" spans="1:26" ht="15" hidden="1" customHeight="1">
      <c r="A449" s="48" t="s">
        <v>986</v>
      </c>
      <c r="B449" s="48" t="s">
        <v>986</v>
      </c>
      <c r="C449" s="48" t="s">
        <v>987</v>
      </c>
      <c r="D449" s="48" t="s">
        <v>50</v>
      </c>
      <c r="E449" s="48" t="s">
        <v>169</v>
      </c>
      <c r="F449" s="48">
        <v>113</v>
      </c>
      <c r="G449" s="48">
        <v>11</v>
      </c>
      <c r="H449" s="48">
        <v>196</v>
      </c>
      <c r="I449" s="48">
        <v>91</v>
      </c>
      <c r="J449" s="48">
        <v>31</v>
      </c>
      <c r="K449" s="48">
        <v>566</v>
      </c>
      <c r="L449" s="48">
        <v>114.5</v>
      </c>
      <c r="M449" s="48">
        <v>18</v>
      </c>
      <c r="N449" s="48">
        <v>340</v>
      </c>
      <c r="O449" s="48">
        <v>67</v>
      </c>
      <c r="P449" s="48">
        <v>27</v>
      </c>
      <c r="Q449" s="48">
        <v>497</v>
      </c>
      <c r="R449" s="48">
        <v>73</v>
      </c>
      <c r="S449" s="48">
        <v>41</v>
      </c>
      <c r="T449" s="48">
        <v>717</v>
      </c>
      <c r="U449" s="48">
        <v>70</v>
      </c>
      <c r="V449" s="48">
        <v>22</v>
      </c>
      <c r="W449" s="48">
        <v>380</v>
      </c>
      <c r="X449" s="48">
        <v>528.5</v>
      </c>
      <c r="Y449" s="48">
        <v>26</v>
      </c>
      <c r="Z449" s="48">
        <v>444</v>
      </c>
    </row>
    <row r="450" spans="1:26" ht="15" hidden="1" customHeight="1">
      <c r="A450" s="48" t="s">
        <v>988</v>
      </c>
      <c r="B450" s="48" t="s">
        <v>988</v>
      </c>
      <c r="C450" s="48" t="s">
        <v>989</v>
      </c>
      <c r="D450" s="48" t="s">
        <v>50</v>
      </c>
      <c r="E450" s="48" t="s">
        <v>97</v>
      </c>
      <c r="F450" s="48">
        <v>97</v>
      </c>
      <c r="G450" s="48">
        <v>49</v>
      </c>
      <c r="H450" s="48">
        <v>795</v>
      </c>
      <c r="I450" s="48">
        <v>98</v>
      </c>
      <c r="J450" s="48">
        <v>25</v>
      </c>
      <c r="K450" s="48">
        <v>458</v>
      </c>
      <c r="L450" s="48">
        <v>127.5</v>
      </c>
      <c r="M450" s="48">
        <v>4</v>
      </c>
      <c r="N450" s="48">
        <v>63</v>
      </c>
      <c r="O450" s="48">
        <v>66</v>
      </c>
      <c r="P450" s="48">
        <v>28</v>
      </c>
      <c r="Q450" s="48">
        <v>513</v>
      </c>
      <c r="R450" s="48">
        <v>72</v>
      </c>
      <c r="S450" s="48">
        <v>45</v>
      </c>
      <c r="T450" s="48">
        <v>751</v>
      </c>
      <c r="U450" s="48">
        <v>68</v>
      </c>
      <c r="V450" s="48">
        <v>32</v>
      </c>
      <c r="W450" s="48">
        <v>452</v>
      </c>
      <c r="X450" s="48">
        <v>528.5</v>
      </c>
      <c r="Y450" s="48">
        <v>23</v>
      </c>
      <c r="Z450" s="48">
        <v>444</v>
      </c>
    </row>
    <row r="451" spans="1:26" ht="15" hidden="1" customHeight="1">
      <c r="A451" s="48" t="s">
        <v>990</v>
      </c>
      <c r="B451" s="48" t="s">
        <v>990</v>
      </c>
      <c r="C451" s="48" t="s">
        <v>991</v>
      </c>
      <c r="D451" s="48" t="s">
        <v>50</v>
      </c>
      <c r="E451" s="48" t="s">
        <v>97</v>
      </c>
      <c r="F451" s="48">
        <v>107</v>
      </c>
      <c r="G451" s="48">
        <v>24</v>
      </c>
      <c r="H451" s="48">
        <v>429</v>
      </c>
      <c r="I451" s="48">
        <v>103</v>
      </c>
      <c r="J451" s="48">
        <v>22</v>
      </c>
      <c r="K451" s="48">
        <v>374</v>
      </c>
      <c r="L451" s="48">
        <v>81</v>
      </c>
      <c r="M451" s="48">
        <v>53</v>
      </c>
      <c r="N451" s="48">
        <v>889</v>
      </c>
      <c r="O451" s="48">
        <v>76</v>
      </c>
      <c r="P451" s="48">
        <v>12</v>
      </c>
      <c r="Q451" s="48">
        <v>302</v>
      </c>
      <c r="R451" s="48">
        <v>92</v>
      </c>
      <c r="S451" s="48">
        <v>7</v>
      </c>
      <c r="T451" s="48">
        <v>116</v>
      </c>
      <c r="U451" s="48">
        <v>69</v>
      </c>
      <c r="V451" s="48">
        <v>31</v>
      </c>
      <c r="W451" s="48">
        <v>420</v>
      </c>
      <c r="X451" s="48">
        <v>528</v>
      </c>
      <c r="Y451" s="48">
        <v>24</v>
      </c>
      <c r="Z451" s="48">
        <v>448</v>
      </c>
    </row>
    <row r="452" spans="1:26" ht="15" hidden="1" customHeight="1">
      <c r="A452" s="48" t="s">
        <v>992</v>
      </c>
      <c r="B452" s="48" t="s">
        <v>992</v>
      </c>
      <c r="C452" s="48" t="s">
        <v>993</v>
      </c>
      <c r="D452" s="48" t="s">
        <v>50</v>
      </c>
      <c r="E452" s="48" t="s">
        <v>92</v>
      </c>
      <c r="F452" s="48">
        <v>104</v>
      </c>
      <c r="G452" s="48">
        <v>24</v>
      </c>
      <c r="H452" s="48">
        <v>573</v>
      </c>
      <c r="I452" s="48">
        <v>100</v>
      </c>
      <c r="J452" s="48">
        <v>22</v>
      </c>
      <c r="K452" s="48">
        <v>421</v>
      </c>
      <c r="L452" s="48">
        <v>118</v>
      </c>
      <c r="M452" s="48">
        <v>14</v>
      </c>
      <c r="N452" s="48">
        <v>263</v>
      </c>
      <c r="O452" s="48">
        <v>50</v>
      </c>
      <c r="P452" s="48">
        <v>49</v>
      </c>
      <c r="Q452" s="48">
        <v>826</v>
      </c>
      <c r="R452" s="48">
        <v>78</v>
      </c>
      <c r="S452" s="48">
        <v>37</v>
      </c>
      <c r="T452" s="48">
        <v>577</v>
      </c>
      <c r="U452" s="48">
        <v>78</v>
      </c>
      <c r="V452" s="48">
        <v>11</v>
      </c>
      <c r="W452" s="48">
        <v>133</v>
      </c>
      <c r="X452" s="48">
        <v>528</v>
      </c>
      <c r="Y452" s="48">
        <v>24</v>
      </c>
      <c r="Z452" s="48">
        <v>448</v>
      </c>
    </row>
    <row r="453" spans="1:26" ht="15" hidden="1" customHeight="1">
      <c r="A453" s="48" t="s">
        <v>994</v>
      </c>
      <c r="B453" s="48" t="s">
        <v>994</v>
      </c>
      <c r="C453" s="48" t="s">
        <v>995</v>
      </c>
      <c r="D453" s="48" t="s">
        <v>50</v>
      </c>
      <c r="E453" s="48" t="s">
        <v>97</v>
      </c>
      <c r="F453" s="48">
        <v>106</v>
      </c>
      <c r="G453" s="48">
        <v>26</v>
      </c>
      <c r="H453" s="48">
        <v>477</v>
      </c>
      <c r="I453" s="48">
        <v>98</v>
      </c>
      <c r="J453" s="48">
        <v>25</v>
      </c>
      <c r="K453" s="48">
        <v>458</v>
      </c>
      <c r="L453" s="48">
        <v>112</v>
      </c>
      <c r="M453" s="48">
        <v>24</v>
      </c>
      <c r="N453" s="48">
        <v>413</v>
      </c>
      <c r="O453" s="48">
        <v>59</v>
      </c>
      <c r="P453" s="48">
        <v>35</v>
      </c>
      <c r="Q453" s="48">
        <v>672</v>
      </c>
      <c r="R453" s="48">
        <v>87</v>
      </c>
      <c r="S453" s="48">
        <v>14</v>
      </c>
      <c r="T453" s="48">
        <v>268</v>
      </c>
      <c r="U453" s="48">
        <v>66</v>
      </c>
      <c r="V453" s="48">
        <v>37</v>
      </c>
      <c r="W453" s="48">
        <v>519</v>
      </c>
      <c r="X453" s="48">
        <v>528</v>
      </c>
      <c r="Y453" s="48">
        <v>24</v>
      </c>
      <c r="Z453" s="48">
        <v>448</v>
      </c>
    </row>
    <row r="454" spans="1:26" ht="15" hidden="1" customHeight="1">
      <c r="A454" s="48" t="s">
        <v>996</v>
      </c>
      <c r="B454" s="48" t="s">
        <v>996</v>
      </c>
      <c r="C454" s="48" t="s">
        <v>997</v>
      </c>
      <c r="D454" s="48" t="s">
        <v>50</v>
      </c>
      <c r="E454" s="48" t="s">
        <v>172</v>
      </c>
      <c r="F454" s="48">
        <v>103</v>
      </c>
      <c r="G454" s="48">
        <v>34</v>
      </c>
      <c r="H454" s="48">
        <v>606</v>
      </c>
      <c r="I454" s="48">
        <v>94</v>
      </c>
      <c r="J454" s="48">
        <v>28</v>
      </c>
      <c r="K454" s="48">
        <v>523</v>
      </c>
      <c r="L454" s="48">
        <v>123</v>
      </c>
      <c r="M454" s="48">
        <v>4</v>
      </c>
      <c r="N454" s="48">
        <v>132</v>
      </c>
      <c r="O454" s="48">
        <v>73</v>
      </c>
      <c r="P454" s="48">
        <v>23</v>
      </c>
      <c r="Q454" s="48">
        <v>370</v>
      </c>
      <c r="R454" s="48">
        <v>73</v>
      </c>
      <c r="S454" s="48">
        <v>39</v>
      </c>
      <c r="T454" s="48">
        <v>717</v>
      </c>
      <c r="U454" s="48">
        <v>62</v>
      </c>
      <c r="V454" s="48">
        <v>44</v>
      </c>
      <c r="W454" s="48">
        <v>657</v>
      </c>
      <c r="X454" s="48">
        <v>528</v>
      </c>
      <c r="Y454" s="48">
        <v>21</v>
      </c>
      <c r="Z454" s="48">
        <v>448</v>
      </c>
    </row>
    <row r="455" spans="1:26" ht="15" hidden="1" customHeight="1">
      <c r="A455" s="48" t="s">
        <v>998</v>
      </c>
      <c r="B455" s="48" t="s">
        <v>998</v>
      </c>
      <c r="C455" s="48" t="s">
        <v>999</v>
      </c>
      <c r="D455" s="48" t="s">
        <v>50</v>
      </c>
      <c r="E455" s="48" t="s">
        <v>240</v>
      </c>
      <c r="F455" s="48">
        <v>103</v>
      </c>
      <c r="G455" s="48">
        <v>36</v>
      </c>
      <c r="H455" s="48">
        <v>606</v>
      </c>
      <c r="I455" s="48">
        <v>82</v>
      </c>
      <c r="J455" s="48">
        <v>40</v>
      </c>
      <c r="K455" s="48">
        <v>676</v>
      </c>
      <c r="L455" s="48">
        <v>126</v>
      </c>
      <c r="M455" s="48">
        <v>4</v>
      </c>
      <c r="N455" s="48">
        <v>82</v>
      </c>
      <c r="O455" s="48">
        <v>71</v>
      </c>
      <c r="P455" s="48">
        <v>24</v>
      </c>
      <c r="Q455" s="48">
        <v>411</v>
      </c>
      <c r="R455" s="48">
        <v>80</v>
      </c>
      <c r="S455" s="48">
        <v>28</v>
      </c>
      <c r="T455" s="48">
        <v>511</v>
      </c>
      <c r="U455" s="48">
        <v>66</v>
      </c>
      <c r="V455" s="48">
        <v>32</v>
      </c>
      <c r="W455" s="48">
        <v>519</v>
      </c>
      <c r="X455" s="48">
        <v>528</v>
      </c>
      <c r="Y455" s="48">
        <v>28</v>
      </c>
      <c r="Z455" s="48">
        <v>448</v>
      </c>
    </row>
    <row r="456" spans="1:26" ht="15" hidden="1" customHeight="1">
      <c r="A456" s="48" t="s">
        <v>1000</v>
      </c>
      <c r="B456" s="48" t="s">
        <v>1000</v>
      </c>
      <c r="C456" s="48" t="s">
        <v>1001</v>
      </c>
      <c r="D456" s="48" t="s">
        <v>50</v>
      </c>
      <c r="E456" s="48" t="s">
        <v>203</v>
      </c>
      <c r="F456" s="48">
        <v>105</v>
      </c>
      <c r="G456" s="48">
        <v>35</v>
      </c>
      <c r="H456" s="48">
        <v>515</v>
      </c>
      <c r="I456" s="48">
        <v>71</v>
      </c>
      <c r="J456" s="48">
        <v>44</v>
      </c>
      <c r="K456" s="48">
        <v>808</v>
      </c>
      <c r="L456" s="48">
        <v>116</v>
      </c>
      <c r="M456" s="48">
        <v>17</v>
      </c>
      <c r="N456" s="48">
        <v>309</v>
      </c>
      <c r="O456" s="48">
        <v>72</v>
      </c>
      <c r="P456" s="48">
        <v>22</v>
      </c>
      <c r="Q456" s="48">
        <v>392</v>
      </c>
      <c r="R456" s="48">
        <v>88</v>
      </c>
      <c r="S456" s="48">
        <v>15</v>
      </c>
      <c r="T456" s="48">
        <v>240</v>
      </c>
      <c r="U456" s="48">
        <v>76</v>
      </c>
      <c r="V456" s="48">
        <v>9</v>
      </c>
      <c r="W456" s="48">
        <v>194</v>
      </c>
      <c r="X456" s="48">
        <v>528</v>
      </c>
      <c r="Y456" s="48">
        <v>21</v>
      </c>
      <c r="Z456" s="48">
        <v>448</v>
      </c>
    </row>
    <row r="457" spans="1:26" ht="15" hidden="1" customHeight="1">
      <c r="A457" s="48" t="s">
        <v>1002</v>
      </c>
      <c r="B457" s="48" t="s">
        <v>1002</v>
      </c>
      <c r="C457" s="48" t="s">
        <v>1003</v>
      </c>
      <c r="D457" s="48" t="s">
        <v>50</v>
      </c>
      <c r="E457" s="48" t="s">
        <v>249</v>
      </c>
      <c r="F457" s="48">
        <v>104</v>
      </c>
      <c r="G457" s="48">
        <v>45</v>
      </c>
      <c r="H457" s="48">
        <v>573</v>
      </c>
      <c r="I457" s="48">
        <v>109</v>
      </c>
      <c r="J457" s="48">
        <v>14</v>
      </c>
      <c r="K457" s="48">
        <v>278</v>
      </c>
      <c r="L457" s="48">
        <v>98.5</v>
      </c>
      <c r="M457" s="48">
        <v>37</v>
      </c>
      <c r="N457" s="48">
        <v>719</v>
      </c>
      <c r="O457" s="48">
        <v>82</v>
      </c>
      <c r="P457" s="48">
        <v>6</v>
      </c>
      <c r="Q457" s="48">
        <v>171</v>
      </c>
      <c r="R457" s="48">
        <v>81</v>
      </c>
      <c r="S457" s="48">
        <v>15</v>
      </c>
      <c r="T457" s="48">
        <v>474</v>
      </c>
      <c r="U457" s="48">
        <v>53</v>
      </c>
      <c r="V457" s="48">
        <v>46</v>
      </c>
      <c r="W457" s="48">
        <v>832</v>
      </c>
      <c r="X457" s="48">
        <v>527.5</v>
      </c>
      <c r="Y457" s="48">
        <v>21</v>
      </c>
      <c r="Z457" s="48">
        <v>454</v>
      </c>
    </row>
    <row r="458" spans="1:26" ht="15" hidden="1" customHeight="1">
      <c r="A458" s="48" t="s">
        <v>1004</v>
      </c>
      <c r="B458" s="48" t="s">
        <v>1004</v>
      </c>
      <c r="C458" s="48" t="s">
        <v>1005</v>
      </c>
      <c r="D458" s="48" t="s">
        <v>50</v>
      </c>
      <c r="E458" s="48" t="s">
        <v>106</v>
      </c>
      <c r="F458" s="48">
        <v>111</v>
      </c>
      <c r="G458" s="48">
        <v>21</v>
      </c>
      <c r="H458" s="48">
        <v>271</v>
      </c>
      <c r="I458" s="48">
        <v>106</v>
      </c>
      <c r="J458" s="48">
        <v>15</v>
      </c>
      <c r="K458" s="48">
        <v>322</v>
      </c>
      <c r="L458" s="48">
        <v>113.5</v>
      </c>
      <c r="M458" s="48">
        <v>24</v>
      </c>
      <c r="N458" s="48">
        <v>374</v>
      </c>
      <c r="O458" s="48">
        <v>67</v>
      </c>
      <c r="P458" s="48">
        <v>22</v>
      </c>
      <c r="Q458" s="48">
        <v>497</v>
      </c>
      <c r="R458" s="48">
        <v>78</v>
      </c>
      <c r="S458" s="48">
        <v>24</v>
      </c>
      <c r="T458" s="48">
        <v>577</v>
      </c>
      <c r="U458" s="48">
        <v>52</v>
      </c>
      <c r="V458" s="48">
        <v>46</v>
      </c>
      <c r="W458" s="48">
        <v>849</v>
      </c>
      <c r="X458" s="48">
        <v>527.5</v>
      </c>
      <c r="Y458" s="48">
        <v>19</v>
      </c>
      <c r="Z458" s="48">
        <v>454</v>
      </c>
    </row>
    <row r="459" spans="1:26" ht="15" hidden="1" customHeight="1">
      <c r="A459" s="48" t="s">
        <v>1006</v>
      </c>
      <c r="B459" s="48" t="s">
        <v>1006</v>
      </c>
      <c r="C459" s="48" t="s">
        <v>1007</v>
      </c>
      <c r="D459" s="48" t="s">
        <v>50</v>
      </c>
      <c r="E459" s="48" t="s">
        <v>217</v>
      </c>
      <c r="F459" s="48">
        <v>117</v>
      </c>
      <c r="G459" s="48">
        <v>6</v>
      </c>
      <c r="H459" s="48">
        <v>86</v>
      </c>
      <c r="I459" s="48">
        <v>81</v>
      </c>
      <c r="J459" s="48">
        <v>44</v>
      </c>
      <c r="K459" s="48">
        <v>688</v>
      </c>
      <c r="L459" s="48">
        <v>126</v>
      </c>
      <c r="M459" s="48">
        <v>2</v>
      </c>
      <c r="N459" s="48">
        <v>82</v>
      </c>
      <c r="O459" s="48">
        <v>65</v>
      </c>
      <c r="P459" s="48">
        <v>29</v>
      </c>
      <c r="Q459" s="48">
        <v>539</v>
      </c>
      <c r="R459" s="48">
        <v>76</v>
      </c>
      <c r="S459" s="48">
        <v>37</v>
      </c>
      <c r="T459" s="48">
        <v>642</v>
      </c>
      <c r="U459" s="48">
        <v>62</v>
      </c>
      <c r="V459" s="48">
        <v>37</v>
      </c>
      <c r="W459" s="48">
        <v>657</v>
      </c>
      <c r="X459" s="48">
        <v>527</v>
      </c>
      <c r="Y459" s="48">
        <v>19</v>
      </c>
      <c r="Z459" s="48">
        <v>456</v>
      </c>
    </row>
    <row r="460" spans="1:26" ht="15" hidden="1" customHeight="1">
      <c r="A460" s="48" t="s">
        <v>1008</v>
      </c>
      <c r="B460" s="48" t="s">
        <v>1008</v>
      </c>
      <c r="C460" s="48" t="s">
        <v>1009</v>
      </c>
      <c r="D460" s="48" t="s">
        <v>50</v>
      </c>
      <c r="E460" s="48" t="s">
        <v>172</v>
      </c>
      <c r="F460" s="48">
        <v>104</v>
      </c>
      <c r="G460" s="48">
        <v>33</v>
      </c>
      <c r="H460" s="48">
        <v>573</v>
      </c>
      <c r="I460" s="48">
        <v>105</v>
      </c>
      <c r="J460" s="48">
        <v>18</v>
      </c>
      <c r="K460" s="48">
        <v>340</v>
      </c>
      <c r="L460" s="48">
        <v>110</v>
      </c>
      <c r="M460" s="48">
        <v>23</v>
      </c>
      <c r="N460" s="48">
        <v>478</v>
      </c>
      <c r="O460" s="48">
        <v>53</v>
      </c>
      <c r="P460" s="48">
        <v>47</v>
      </c>
      <c r="Q460" s="48">
        <v>786</v>
      </c>
      <c r="R460" s="48">
        <v>89</v>
      </c>
      <c r="S460" s="48">
        <v>8</v>
      </c>
      <c r="T460" s="48">
        <v>200</v>
      </c>
      <c r="U460" s="48">
        <v>66</v>
      </c>
      <c r="V460" s="48">
        <v>37</v>
      </c>
      <c r="W460" s="48">
        <v>519</v>
      </c>
      <c r="X460" s="48">
        <v>527</v>
      </c>
      <c r="Y460" s="48">
        <v>22</v>
      </c>
      <c r="Z460" s="48">
        <v>456</v>
      </c>
    </row>
    <row r="461" spans="1:26" ht="15" hidden="1" customHeight="1">
      <c r="A461" s="48" t="s">
        <v>1010</v>
      </c>
      <c r="B461" s="48" t="s">
        <v>1010</v>
      </c>
      <c r="C461" s="48" t="s">
        <v>1011</v>
      </c>
      <c r="D461" s="48" t="s">
        <v>50</v>
      </c>
      <c r="E461" s="48" t="s">
        <v>150</v>
      </c>
      <c r="F461" s="48">
        <v>99</v>
      </c>
      <c r="G461" s="48">
        <v>39</v>
      </c>
      <c r="H461" s="48">
        <v>754</v>
      </c>
      <c r="I461" s="48">
        <v>111</v>
      </c>
      <c r="J461" s="48">
        <v>19</v>
      </c>
      <c r="K461" s="48">
        <v>247</v>
      </c>
      <c r="L461" s="48">
        <v>105.5</v>
      </c>
      <c r="M461" s="48">
        <v>32</v>
      </c>
      <c r="N461" s="48">
        <v>568</v>
      </c>
      <c r="O461" s="48">
        <v>61</v>
      </c>
      <c r="P461" s="48">
        <v>33</v>
      </c>
      <c r="Q461" s="48">
        <v>627</v>
      </c>
      <c r="R461" s="48">
        <v>73</v>
      </c>
      <c r="S461" s="48">
        <v>49</v>
      </c>
      <c r="T461" s="48">
        <v>717</v>
      </c>
      <c r="U461" s="48">
        <v>77</v>
      </c>
      <c r="V461" s="48">
        <v>16</v>
      </c>
      <c r="W461" s="48">
        <v>162</v>
      </c>
      <c r="X461" s="48">
        <v>526.5</v>
      </c>
      <c r="Y461" s="48">
        <v>30</v>
      </c>
      <c r="Z461" s="48">
        <v>458</v>
      </c>
    </row>
    <row r="462" spans="1:26" ht="15" hidden="1" customHeight="1">
      <c r="A462" s="48" t="s">
        <v>1012</v>
      </c>
      <c r="B462" s="48" t="s">
        <v>1012</v>
      </c>
      <c r="C462" s="48" t="s">
        <v>1013</v>
      </c>
      <c r="D462" s="48" t="s">
        <v>50</v>
      </c>
      <c r="E462" s="48" t="s">
        <v>203</v>
      </c>
      <c r="F462" s="48">
        <v>107</v>
      </c>
      <c r="G462" s="48">
        <v>26</v>
      </c>
      <c r="H462" s="48">
        <v>429</v>
      </c>
      <c r="I462" s="48">
        <v>103</v>
      </c>
      <c r="J462" s="48">
        <v>19</v>
      </c>
      <c r="K462" s="48">
        <v>374</v>
      </c>
      <c r="L462" s="48">
        <v>92.5</v>
      </c>
      <c r="M462" s="48">
        <v>48</v>
      </c>
      <c r="N462" s="48">
        <v>801</v>
      </c>
      <c r="O462" s="48">
        <v>80</v>
      </c>
      <c r="P462" s="48">
        <v>10</v>
      </c>
      <c r="Q462" s="48">
        <v>211</v>
      </c>
      <c r="R462" s="48">
        <v>73</v>
      </c>
      <c r="S462" s="48">
        <v>40</v>
      </c>
      <c r="T462" s="48">
        <v>717</v>
      </c>
      <c r="U462" s="48">
        <v>71</v>
      </c>
      <c r="V462" s="48">
        <v>16</v>
      </c>
      <c r="W462" s="48">
        <v>342</v>
      </c>
      <c r="X462" s="48">
        <v>526.5</v>
      </c>
      <c r="Y462" s="48">
        <v>22</v>
      </c>
      <c r="Z462" s="48">
        <v>458</v>
      </c>
    </row>
    <row r="463" spans="1:26" ht="15" hidden="1" customHeight="1">
      <c r="A463" s="48" t="s">
        <v>1014</v>
      </c>
      <c r="B463" s="48" t="s">
        <v>1014</v>
      </c>
      <c r="C463" s="48" t="s">
        <v>1015</v>
      </c>
      <c r="D463" s="48" t="s">
        <v>50</v>
      </c>
      <c r="E463" s="48" t="s">
        <v>210</v>
      </c>
      <c r="F463" s="48">
        <v>117</v>
      </c>
      <c r="G463" s="48">
        <v>6</v>
      </c>
      <c r="H463" s="48">
        <v>86</v>
      </c>
      <c r="I463" s="48">
        <v>86</v>
      </c>
      <c r="J463" s="48">
        <v>39</v>
      </c>
      <c r="K463" s="48">
        <v>626</v>
      </c>
      <c r="L463" s="48">
        <v>118.5</v>
      </c>
      <c r="M463" s="48">
        <v>16</v>
      </c>
      <c r="N463" s="48">
        <v>247</v>
      </c>
      <c r="O463" s="48">
        <v>59</v>
      </c>
      <c r="P463" s="48">
        <v>45</v>
      </c>
      <c r="Q463" s="48">
        <v>672</v>
      </c>
      <c r="R463" s="48">
        <v>85</v>
      </c>
      <c r="S463" s="48">
        <v>25</v>
      </c>
      <c r="T463" s="48">
        <v>339</v>
      </c>
      <c r="U463" s="48">
        <v>61</v>
      </c>
      <c r="V463" s="48">
        <v>38</v>
      </c>
      <c r="W463" s="48">
        <v>686</v>
      </c>
      <c r="X463" s="48">
        <v>526.5</v>
      </c>
      <c r="Y463" s="48">
        <v>27</v>
      </c>
      <c r="Z463" s="48">
        <v>458</v>
      </c>
    </row>
    <row r="464" spans="1:26" ht="15" hidden="1" customHeight="1">
      <c r="A464" s="48" t="s">
        <v>1016</v>
      </c>
      <c r="B464" s="48" t="s">
        <v>1016</v>
      </c>
      <c r="C464" s="48" t="s">
        <v>1017</v>
      </c>
      <c r="D464" s="48" t="s">
        <v>50</v>
      </c>
      <c r="E464" s="48" t="s">
        <v>210</v>
      </c>
      <c r="F464" s="48">
        <v>99</v>
      </c>
      <c r="G464" s="48">
        <v>48</v>
      </c>
      <c r="H464" s="48">
        <v>754</v>
      </c>
      <c r="I464" s="48">
        <v>101</v>
      </c>
      <c r="J464" s="48">
        <v>24</v>
      </c>
      <c r="K464" s="48">
        <v>403</v>
      </c>
      <c r="L464" s="48">
        <v>86</v>
      </c>
      <c r="M464" s="48">
        <v>52</v>
      </c>
      <c r="N464" s="48">
        <v>865</v>
      </c>
      <c r="O464" s="48">
        <v>78</v>
      </c>
      <c r="P464" s="48">
        <v>10</v>
      </c>
      <c r="Q464" s="48">
        <v>256</v>
      </c>
      <c r="R464" s="48">
        <v>84</v>
      </c>
      <c r="S464" s="48">
        <v>28</v>
      </c>
      <c r="T464" s="48">
        <v>379</v>
      </c>
      <c r="U464" s="48">
        <v>78</v>
      </c>
      <c r="V464" s="48">
        <v>7</v>
      </c>
      <c r="W464" s="48">
        <v>133</v>
      </c>
      <c r="X464" s="48">
        <v>526</v>
      </c>
      <c r="Y464" s="48">
        <v>28</v>
      </c>
      <c r="Z464" s="48">
        <v>461</v>
      </c>
    </row>
    <row r="465" spans="1:26" ht="15" hidden="1" customHeight="1">
      <c r="A465" s="48" t="s">
        <v>1018</v>
      </c>
      <c r="B465" s="48" t="s">
        <v>1018</v>
      </c>
      <c r="C465" s="48" t="s">
        <v>1019</v>
      </c>
      <c r="D465" s="48" t="s">
        <v>50</v>
      </c>
      <c r="E465" s="48" t="s">
        <v>84</v>
      </c>
      <c r="F465" s="48">
        <v>123</v>
      </c>
      <c r="G465" s="48">
        <v>3</v>
      </c>
      <c r="H465" s="48">
        <v>20</v>
      </c>
      <c r="I465" s="48">
        <v>76</v>
      </c>
      <c r="J465" s="48">
        <v>45</v>
      </c>
      <c r="K465" s="48">
        <v>754</v>
      </c>
      <c r="L465" s="48">
        <v>117</v>
      </c>
      <c r="M465" s="48">
        <v>17</v>
      </c>
      <c r="N465" s="48">
        <v>291</v>
      </c>
      <c r="O465" s="48">
        <v>68</v>
      </c>
      <c r="P465" s="48">
        <v>28</v>
      </c>
      <c r="Q465" s="48">
        <v>474</v>
      </c>
      <c r="R465" s="48">
        <v>76</v>
      </c>
      <c r="S465" s="48">
        <v>37</v>
      </c>
      <c r="T465" s="48">
        <v>642</v>
      </c>
      <c r="U465" s="48">
        <v>66</v>
      </c>
      <c r="V465" s="48">
        <v>31</v>
      </c>
      <c r="W465" s="48">
        <v>519</v>
      </c>
      <c r="X465" s="48">
        <v>526</v>
      </c>
      <c r="Y465" s="48">
        <v>23</v>
      </c>
      <c r="Z465" s="48">
        <v>461</v>
      </c>
    </row>
    <row r="466" spans="1:26" ht="15" hidden="1" customHeight="1">
      <c r="A466" s="48" t="s">
        <v>1020</v>
      </c>
      <c r="B466" s="48" t="s">
        <v>1020</v>
      </c>
      <c r="C466" s="48" t="s">
        <v>1021</v>
      </c>
      <c r="D466" s="48" t="s">
        <v>50</v>
      </c>
      <c r="E466" s="48" t="s">
        <v>84</v>
      </c>
      <c r="F466" s="48">
        <v>107</v>
      </c>
      <c r="G466" s="48">
        <v>24</v>
      </c>
      <c r="H466" s="48">
        <v>429</v>
      </c>
      <c r="I466" s="48">
        <v>101</v>
      </c>
      <c r="J466" s="48">
        <v>17</v>
      </c>
      <c r="K466" s="48">
        <v>403</v>
      </c>
      <c r="L466" s="48">
        <v>100</v>
      </c>
      <c r="M466" s="48">
        <v>44</v>
      </c>
      <c r="N466" s="48">
        <v>680</v>
      </c>
      <c r="O466" s="48">
        <v>79</v>
      </c>
      <c r="P466" s="48">
        <v>12</v>
      </c>
      <c r="Q466" s="48">
        <v>236</v>
      </c>
      <c r="R466" s="48">
        <v>78</v>
      </c>
      <c r="S466" s="48">
        <v>31</v>
      </c>
      <c r="T466" s="48">
        <v>577</v>
      </c>
      <c r="U466" s="48">
        <v>61</v>
      </c>
      <c r="V466" s="48">
        <v>42</v>
      </c>
      <c r="W466" s="48">
        <v>686</v>
      </c>
      <c r="X466" s="48">
        <v>526</v>
      </c>
      <c r="Y466" s="48">
        <v>23</v>
      </c>
      <c r="Z466" s="48">
        <v>461</v>
      </c>
    </row>
    <row r="467" spans="1:26" ht="15" hidden="1" customHeight="1">
      <c r="A467" s="48" t="s">
        <v>1022</v>
      </c>
      <c r="B467" s="48" t="s">
        <v>1022</v>
      </c>
      <c r="C467" s="48" t="s">
        <v>1023</v>
      </c>
      <c r="D467" s="48" t="s">
        <v>50</v>
      </c>
      <c r="E467" s="48" t="s">
        <v>217</v>
      </c>
      <c r="F467" s="48">
        <v>105</v>
      </c>
      <c r="G467" s="48">
        <v>30</v>
      </c>
      <c r="H467" s="48">
        <v>515</v>
      </c>
      <c r="I467" s="48">
        <v>98</v>
      </c>
      <c r="J467" s="48">
        <v>29</v>
      </c>
      <c r="K467" s="48">
        <v>458</v>
      </c>
      <c r="L467" s="48">
        <v>101</v>
      </c>
      <c r="M467" s="48">
        <v>34</v>
      </c>
      <c r="N467" s="48">
        <v>661</v>
      </c>
      <c r="O467" s="48">
        <v>78</v>
      </c>
      <c r="P467" s="48">
        <v>12</v>
      </c>
      <c r="Q467" s="48">
        <v>256</v>
      </c>
      <c r="R467" s="48">
        <v>75</v>
      </c>
      <c r="S467" s="48">
        <v>41</v>
      </c>
      <c r="T467" s="48">
        <v>671</v>
      </c>
      <c r="U467" s="48">
        <v>69</v>
      </c>
      <c r="V467" s="48">
        <v>23</v>
      </c>
      <c r="W467" s="48">
        <v>420</v>
      </c>
      <c r="X467" s="48">
        <v>526</v>
      </c>
      <c r="Y467" s="48">
        <v>20</v>
      </c>
      <c r="Z467" s="48">
        <v>461</v>
      </c>
    </row>
    <row r="468" spans="1:26" ht="15" hidden="1" customHeight="1">
      <c r="A468" s="48" t="s">
        <v>1024</v>
      </c>
      <c r="B468" s="48" t="s">
        <v>1024</v>
      </c>
      <c r="C468" s="48" t="s">
        <v>1025</v>
      </c>
      <c r="D468" s="48" t="s">
        <v>50</v>
      </c>
      <c r="E468" s="48" t="s">
        <v>92</v>
      </c>
      <c r="F468" s="48">
        <v>112</v>
      </c>
      <c r="G468" s="48">
        <v>7</v>
      </c>
      <c r="H468" s="48">
        <v>226</v>
      </c>
      <c r="I468" s="48">
        <v>99</v>
      </c>
      <c r="J468" s="48">
        <v>23</v>
      </c>
      <c r="K468" s="48">
        <v>436</v>
      </c>
      <c r="L468" s="48">
        <v>72.5</v>
      </c>
      <c r="M468" s="48">
        <v>55</v>
      </c>
      <c r="N468" s="48">
        <v>922</v>
      </c>
      <c r="O468" s="48">
        <v>84</v>
      </c>
      <c r="P468" s="48">
        <v>6</v>
      </c>
      <c r="Q468" s="48">
        <v>131</v>
      </c>
      <c r="R468" s="48">
        <v>86</v>
      </c>
      <c r="S468" s="48">
        <v>15</v>
      </c>
      <c r="T468" s="48">
        <v>304</v>
      </c>
      <c r="U468" s="48">
        <v>72</v>
      </c>
      <c r="V468" s="48">
        <v>23</v>
      </c>
      <c r="W468" s="48">
        <v>312</v>
      </c>
      <c r="X468" s="48">
        <v>525.5</v>
      </c>
      <c r="Y468" s="48">
        <v>25</v>
      </c>
      <c r="Z468" s="48">
        <v>465</v>
      </c>
    </row>
    <row r="469" spans="1:26" ht="15" hidden="1" customHeight="1">
      <c r="A469" s="48" t="s">
        <v>1026</v>
      </c>
      <c r="B469" s="48" t="s">
        <v>1026</v>
      </c>
      <c r="C469" s="48" t="s">
        <v>1027</v>
      </c>
      <c r="D469" s="48" t="s">
        <v>50</v>
      </c>
      <c r="E469" s="48" t="s">
        <v>97</v>
      </c>
      <c r="F469" s="48">
        <v>119</v>
      </c>
      <c r="G469" s="48">
        <v>2</v>
      </c>
      <c r="H469" s="48">
        <v>51</v>
      </c>
      <c r="I469" s="48">
        <v>75</v>
      </c>
      <c r="J469" s="48">
        <v>45</v>
      </c>
      <c r="K469" s="48">
        <v>766</v>
      </c>
      <c r="L469" s="48">
        <v>116</v>
      </c>
      <c r="M469" s="48">
        <v>15</v>
      </c>
      <c r="N469" s="48">
        <v>309</v>
      </c>
      <c r="O469" s="48">
        <v>71</v>
      </c>
      <c r="P469" s="48">
        <v>22</v>
      </c>
      <c r="Q469" s="48">
        <v>411</v>
      </c>
      <c r="R469" s="48">
        <v>83</v>
      </c>
      <c r="S469" s="48">
        <v>28</v>
      </c>
      <c r="T469" s="48">
        <v>407</v>
      </c>
      <c r="U469" s="48">
        <v>61</v>
      </c>
      <c r="V469" s="48">
        <v>47</v>
      </c>
      <c r="W469" s="48">
        <v>686</v>
      </c>
      <c r="X469" s="48">
        <v>525</v>
      </c>
      <c r="Y469" s="48">
        <v>26</v>
      </c>
      <c r="Z469" s="48">
        <v>466</v>
      </c>
    </row>
    <row r="470" spans="1:26" ht="15" hidden="1" customHeight="1">
      <c r="A470" s="48" t="s">
        <v>1028</v>
      </c>
      <c r="B470" s="48" t="s">
        <v>1028</v>
      </c>
      <c r="C470" s="48" t="s">
        <v>1029</v>
      </c>
      <c r="D470" s="48" t="s">
        <v>50</v>
      </c>
      <c r="E470" s="48" t="s">
        <v>97</v>
      </c>
      <c r="F470" s="48">
        <v>112</v>
      </c>
      <c r="G470" s="48">
        <v>12</v>
      </c>
      <c r="H470" s="48">
        <v>226</v>
      </c>
      <c r="I470" s="48">
        <v>94</v>
      </c>
      <c r="J470" s="48">
        <v>29</v>
      </c>
      <c r="K470" s="48">
        <v>523</v>
      </c>
      <c r="L470" s="48">
        <v>99</v>
      </c>
      <c r="M470" s="48">
        <v>38</v>
      </c>
      <c r="N470" s="48">
        <v>707</v>
      </c>
      <c r="O470" s="48">
        <v>66</v>
      </c>
      <c r="P470" s="48">
        <v>28</v>
      </c>
      <c r="Q470" s="48">
        <v>513</v>
      </c>
      <c r="R470" s="48">
        <v>91</v>
      </c>
      <c r="S470" s="48">
        <v>8</v>
      </c>
      <c r="T470" s="48">
        <v>151</v>
      </c>
      <c r="U470" s="48">
        <v>63</v>
      </c>
      <c r="V470" s="48">
        <v>40</v>
      </c>
      <c r="W470" s="48">
        <v>625</v>
      </c>
      <c r="X470" s="48">
        <v>525</v>
      </c>
      <c r="Y470" s="48">
        <v>26</v>
      </c>
      <c r="Z470" s="48">
        <v>466</v>
      </c>
    </row>
    <row r="471" spans="1:26" ht="15" hidden="1" customHeight="1">
      <c r="A471" s="48" t="s">
        <v>1030</v>
      </c>
      <c r="B471" s="48" t="s">
        <v>1030</v>
      </c>
      <c r="C471" s="48" t="s">
        <v>1031</v>
      </c>
      <c r="D471" s="48" t="s">
        <v>50</v>
      </c>
      <c r="E471" s="48" t="s">
        <v>249</v>
      </c>
      <c r="F471" s="48">
        <v>109</v>
      </c>
      <c r="G471" s="48">
        <v>29</v>
      </c>
      <c r="H471" s="48">
        <v>353</v>
      </c>
      <c r="I471" s="48">
        <v>88</v>
      </c>
      <c r="J471" s="48">
        <v>32</v>
      </c>
      <c r="K471" s="48">
        <v>601</v>
      </c>
      <c r="L471" s="48">
        <v>111</v>
      </c>
      <c r="M471" s="48">
        <v>21</v>
      </c>
      <c r="N471" s="48">
        <v>445</v>
      </c>
      <c r="O471" s="48">
        <v>66</v>
      </c>
      <c r="P471" s="48">
        <v>29</v>
      </c>
      <c r="Q471" s="48">
        <v>513</v>
      </c>
      <c r="R471" s="48">
        <v>74</v>
      </c>
      <c r="S471" s="48">
        <v>30</v>
      </c>
      <c r="T471" s="48">
        <v>702</v>
      </c>
      <c r="U471" s="48">
        <v>77</v>
      </c>
      <c r="V471" s="48">
        <v>4</v>
      </c>
      <c r="W471" s="48">
        <v>162</v>
      </c>
      <c r="X471" s="48">
        <v>525</v>
      </c>
      <c r="Y471" s="48">
        <v>22</v>
      </c>
      <c r="Z471" s="48">
        <v>466</v>
      </c>
    </row>
    <row r="472" spans="1:26" ht="15" hidden="1" customHeight="1">
      <c r="A472" s="48" t="s">
        <v>1032</v>
      </c>
      <c r="B472" s="48" t="s">
        <v>1032</v>
      </c>
      <c r="C472" s="48" t="s">
        <v>1033</v>
      </c>
      <c r="D472" s="48" t="s">
        <v>50</v>
      </c>
      <c r="E472" s="48" t="s">
        <v>240</v>
      </c>
      <c r="F472" s="48">
        <v>89</v>
      </c>
      <c r="G472" s="48">
        <v>55</v>
      </c>
      <c r="H472" s="48">
        <v>909</v>
      </c>
      <c r="I472" s="48">
        <v>94</v>
      </c>
      <c r="J472" s="48">
        <v>29</v>
      </c>
      <c r="K472" s="48">
        <v>523</v>
      </c>
      <c r="L472" s="48">
        <v>113.5</v>
      </c>
      <c r="M472" s="48">
        <v>22</v>
      </c>
      <c r="N472" s="48">
        <v>374</v>
      </c>
      <c r="O472" s="48">
        <v>62</v>
      </c>
      <c r="P472" s="48">
        <v>39</v>
      </c>
      <c r="Q472" s="48">
        <v>607</v>
      </c>
      <c r="R472" s="48">
        <v>86</v>
      </c>
      <c r="S472" s="48">
        <v>13</v>
      </c>
      <c r="T472" s="48">
        <v>304</v>
      </c>
      <c r="U472" s="48">
        <v>80</v>
      </c>
      <c r="V472" s="48">
        <v>6</v>
      </c>
      <c r="W472" s="48">
        <v>85</v>
      </c>
      <c r="X472" s="48">
        <v>524.5</v>
      </c>
      <c r="Y472" s="48">
        <v>29</v>
      </c>
      <c r="Z472" s="48">
        <v>469</v>
      </c>
    </row>
    <row r="473" spans="1:26" ht="15" hidden="1" customHeight="1">
      <c r="A473" s="48" t="s">
        <v>1034</v>
      </c>
      <c r="B473" s="48" t="s">
        <v>1034</v>
      </c>
      <c r="C473" s="48" t="s">
        <v>1035</v>
      </c>
      <c r="D473" s="48" t="s">
        <v>50</v>
      </c>
      <c r="E473" s="48" t="s">
        <v>150</v>
      </c>
      <c r="F473" s="48">
        <v>91</v>
      </c>
      <c r="G473" s="48">
        <v>49</v>
      </c>
      <c r="H473" s="48">
        <v>890</v>
      </c>
      <c r="I473" s="48">
        <v>136</v>
      </c>
      <c r="J473" s="48">
        <v>2</v>
      </c>
      <c r="K473" s="48">
        <v>31</v>
      </c>
      <c r="L473" s="48">
        <v>48.5</v>
      </c>
      <c r="M473" s="48">
        <v>57</v>
      </c>
      <c r="N473" s="48">
        <v>949</v>
      </c>
      <c r="O473" s="48">
        <v>78</v>
      </c>
      <c r="P473" s="48">
        <v>9</v>
      </c>
      <c r="Q473" s="48">
        <v>256</v>
      </c>
      <c r="R473" s="48">
        <v>97</v>
      </c>
      <c r="S473" s="48">
        <v>2</v>
      </c>
      <c r="T473" s="48">
        <v>30</v>
      </c>
      <c r="U473" s="48">
        <v>74</v>
      </c>
      <c r="V473" s="48">
        <v>24</v>
      </c>
      <c r="W473" s="48">
        <v>247</v>
      </c>
      <c r="X473" s="48">
        <v>524.5</v>
      </c>
      <c r="Y473" s="48">
        <v>31</v>
      </c>
      <c r="Z473" s="48">
        <v>469</v>
      </c>
    </row>
    <row r="474" spans="1:26" ht="15" hidden="1" customHeight="1">
      <c r="A474" s="48" t="s">
        <v>1036</v>
      </c>
      <c r="B474" s="48" t="s">
        <v>1036</v>
      </c>
      <c r="C474" s="48" t="s">
        <v>1037</v>
      </c>
      <c r="D474" s="48" t="s">
        <v>50</v>
      </c>
      <c r="E474" s="48" t="s">
        <v>240</v>
      </c>
      <c r="F474" s="48">
        <v>107</v>
      </c>
      <c r="G474" s="48">
        <v>21</v>
      </c>
      <c r="H474" s="48">
        <v>429</v>
      </c>
      <c r="I474" s="48">
        <v>98</v>
      </c>
      <c r="J474" s="48">
        <v>25</v>
      </c>
      <c r="K474" s="48">
        <v>458</v>
      </c>
      <c r="L474" s="48">
        <v>121.5</v>
      </c>
      <c r="M474" s="48">
        <v>8</v>
      </c>
      <c r="N474" s="48">
        <v>160</v>
      </c>
      <c r="O474" s="48">
        <v>56</v>
      </c>
      <c r="P474" s="48">
        <v>43</v>
      </c>
      <c r="Q474" s="48">
        <v>731</v>
      </c>
      <c r="R474" s="48">
        <v>73</v>
      </c>
      <c r="S474" s="48">
        <v>40</v>
      </c>
      <c r="T474" s="48">
        <v>717</v>
      </c>
      <c r="U474" s="48">
        <v>69</v>
      </c>
      <c r="V474" s="48">
        <v>25</v>
      </c>
      <c r="W474" s="48">
        <v>420</v>
      </c>
      <c r="X474" s="48">
        <v>524.5</v>
      </c>
      <c r="Y474" s="48">
        <v>29</v>
      </c>
      <c r="Z474" s="48">
        <v>469</v>
      </c>
    </row>
    <row r="475" spans="1:26" ht="15" hidden="1" customHeight="1">
      <c r="A475" s="48" t="s">
        <v>1038</v>
      </c>
      <c r="B475" s="48" t="s">
        <v>1038</v>
      </c>
      <c r="C475" s="48" t="s">
        <v>1039</v>
      </c>
      <c r="D475" s="48" t="s">
        <v>50</v>
      </c>
      <c r="E475" s="48" t="s">
        <v>111</v>
      </c>
      <c r="F475" s="48">
        <v>98</v>
      </c>
      <c r="G475" s="48">
        <v>45</v>
      </c>
      <c r="H475" s="48">
        <v>774</v>
      </c>
      <c r="I475" s="48">
        <v>112</v>
      </c>
      <c r="J475" s="48">
        <v>10</v>
      </c>
      <c r="K475" s="48">
        <v>235</v>
      </c>
      <c r="L475" s="48">
        <v>103.5</v>
      </c>
      <c r="M475" s="48">
        <v>35</v>
      </c>
      <c r="N475" s="48">
        <v>612</v>
      </c>
      <c r="O475" s="48">
        <v>59</v>
      </c>
      <c r="P475" s="48">
        <v>37</v>
      </c>
      <c r="Q475" s="48">
        <v>672</v>
      </c>
      <c r="R475" s="48">
        <v>89</v>
      </c>
      <c r="S475" s="48">
        <v>10</v>
      </c>
      <c r="T475" s="48">
        <v>200</v>
      </c>
      <c r="U475" s="48">
        <v>63</v>
      </c>
      <c r="V475" s="48">
        <v>30</v>
      </c>
      <c r="W475" s="48">
        <v>625</v>
      </c>
      <c r="X475" s="48">
        <v>524.5</v>
      </c>
      <c r="Y475" s="48">
        <v>21</v>
      </c>
      <c r="Z475" s="48">
        <v>469</v>
      </c>
    </row>
    <row r="476" spans="1:26" ht="15" hidden="1" customHeight="1">
      <c r="A476" s="48" t="s">
        <v>1040</v>
      </c>
      <c r="B476" s="48" t="s">
        <v>1040</v>
      </c>
      <c r="C476" s="48" t="s">
        <v>1041</v>
      </c>
      <c r="D476" s="48" t="s">
        <v>50</v>
      </c>
      <c r="E476" s="48" t="s">
        <v>172</v>
      </c>
      <c r="F476" s="48">
        <v>105</v>
      </c>
      <c r="G476" s="48">
        <v>27</v>
      </c>
      <c r="H476" s="48">
        <v>515</v>
      </c>
      <c r="I476" s="48">
        <v>95</v>
      </c>
      <c r="J476" s="48">
        <v>26</v>
      </c>
      <c r="K476" s="48">
        <v>501</v>
      </c>
      <c r="L476" s="48">
        <v>102</v>
      </c>
      <c r="M476" s="48">
        <v>36</v>
      </c>
      <c r="N476" s="48">
        <v>642</v>
      </c>
      <c r="O476" s="48">
        <v>62</v>
      </c>
      <c r="P476" s="48">
        <v>33</v>
      </c>
      <c r="Q476" s="48">
        <v>607</v>
      </c>
      <c r="R476" s="48">
        <v>81</v>
      </c>
      <c r="S476" s="48">
        <v>20</v>
      </c>
      <c r="T476" s="48">
        <v>474</v>
      </c>
      <c r="U476" s="48">
        <v>79</v>
      </c>
      <c r="V476" s="48">
        <v>6</v>
      </c>
      <c r="W476" s="48">
        <v>103</v>
      </c>
      <c r="X476" s="48">
        <v>524</v>
      </c>
      <c r="Y476" s="48">
        <v>23</v>
      </c>
      <c r="Z476" s="48">
        <v>473</v>
      </c>
    </row>
    <row r="477" spans="1:26" ht="15" hidden="1" customHeight="1">
      <c r="A477" s="48" t="s">
        <v>1042</v>
      </c>
      <c r="B477" s="48" t="s">
        <v>1042</v>
      </c>
      <c r="C477" s="48" t="s">
        <v>1043</v>
      </c>
      <c r="D477" s="48" t="s">
        <v>50</v>
      </c>
      <c r="E477" s="48" t="s">
        <v>217</v>
      </c>
      <c r="F477" s="48">
        <v>116</v>
      </c>
      <c r="G477" s="48">
        <v>8</v>
      </c>
      <c r="H477" s="48">
        <v>117</v>
      </c>
      <c r="I477" s="48">
        <v>100</v>
      </c>
      <c r="J477" s="48">
        <v>28</v>
      </c>
      <c r="K477" s="48">
        <v>421</v>
      </c>
      <c r="L477" s="48">
        <v>118.5</v>
      </c>
      <c r="M477" s="48">
        <v>11</v>
      </c>
      <c r="N477" s="48">
        <v>247</v>
      </c>
      <c r="O477" s="48">
        <v>51</v>
      </c>
      <c r="P477" s="48">
        <v>52</v>
      </c>
      <c r="Q477" s="48">
        <v>812</v>
      </c>
      <c r="R477" s="48">
        <v>77</v>
      </c>
      <c r="S477" s="48">
        <v>34</v>
      </c>
      <c r="T477" s="48">
        <v>608</v>
      </c>
      <c r="U477" s="48">
        <v>61</v>
      </c>
      <c r="V477" s="48">
        <v>42</v>
      </c>
      <c r="W477" s="48">
        <v>686</v>
      </c>
      <c r="X477" s="48">
        <v>523.5</v>
      </c>
      <c r="Y477" s="48">
        <v>21</v>
      </c>
      <c r="Z477" s="48">
        <v>474</v>
      </c>
    </row>
    <row r="478" spans="1:26" ht="15" hidden="1" customHeight="1">
      <c r="A478" s="48" t="s">
        <v>1044</v>
      </c>
      <c r="B478" s="48" t="s">
        <v>1044</v>
      </c>
      <c r="C478" s="48" t="s">
        <v>1045</v>
      </c>
      <c r="D478" s="48" t="s">
        <v>50</v>
      </c>
      <c r="E478" s="48" t="s">
        <v>217</v>
      </c>
      <c r="F478" s="48">
        <v>85</v>
      </c>
      <c r="G478" s="48">
        <v>56</v>
      </c>
      <c r="H478" s="48">
        <v>930</v>
      </c>
      <c r="I478" s="48">
        <v>104</v>
      </c>
      <c r="J478" s="48">
        <v>18</v>
      </c>
      <c r="K478" s="48">
        <v>358</v>
      </c>
      <c r="L478" s="48">
        <v>103.5</v>
      </c>
      <c r="M478" s="48">
        <v>29</v>
      </c>
      <c r="N478" s="48">
        <v>612</v>
      </c>
      <c r="O478" s="48">
        <v>75</v>
      </c>
      <c r="P478" s="48">
        <v>19</v>
      </c>
      <c r="Q478" s="48">
        <v>324</v>
      </c>
      <c r="R478" s="48">
        <v>86</v>
      </c>
      <c r="S478" s="48">
        <v>10</v>
      </c>
      <c r="T478" s="48">
        <v>304</v>
      </c>
      <c r="U478" s="48">
        <v>70</v>
      </c>
      <c r="V478" s="48">
        <v>20</v>
      </c>
      <c r="W478" s="48">
        <v>380</v>
      </c>
      <c r="X478" s="48">
        <v>523.5</v>
      </c>
      <c r="Y478" s="48">
        <v>21</v>
      </c>
      <c r="Z478" s="48">
        <v>474</v>
      </c>
    </row>
    <row r="479" spans="1:26" ht="15" hidden="1" customHeight="1">
      <c r="A479" s="48" t="s">
        <v>1046</v>
      </c>
      <c r="B479" s="48" t="s">
        <v>1046</v>
      </c>
      <c r="C479" s="48" t="s">
        <v>1047</v>
      </c>
      <c r="D479" s="48" t="s">
        <v>50</v>
      </c>
      <c r="E479" s="48" t="s">
        <v>172</v>
      </c>
      <c r="F479" s="48">
        <v>99</v>
      </c>
      <c r="G479" s="48">
        <v>44</v>
      </c>
      <c r="H479" s="48">
        <v>754</v>
      </c>
      <c r="I479" s="48">
        <v>90</v>
      </c>
      <c r="J479" s="48">
        <v>31</v>
      </c>
      <c r="K479" s="48">
        <v>578</v>
      </c>
      <c r="L479" s="48">
        <v>109.5</v>
      </c>
      <c r="M479" s="48">
        <v>24</v>
      </c>
      <c r="N479" s="48">
        <v>490</v>
      </c>
      <c r="O479" s="48">
        <v>79</v>
      </c>
      <c r="P479" s="48">
        <v>14</v>
      </c>
      <c r="Q479" s="48">
        <v>236</v>
      </c>
      <c r="R479" s="48">
        <v>78</v>
      </c>
      <c r="S479" s="48">
        <v>29</v>
      </c>
      <c r="T479" s="48">
        <v>577</v>
      </c>
      <c r="U479" s="48">
        <v>68</v>
      </c>
      <c r="V479" s="48">
        <v>30</v>
      </c>
      <c r="W479" s="48">
        <v>452</v>
      </c>
      <c r="X479" s="48">
        <v>523.5</v>
      </c>
      <c r="Y479" s="48">
        <v>24</v>
      </c>
      <c r="Z479" s="48">
        <v>474</v>
      </c>
    </row>
    <row r="480" spans="1:26" ht="15" hidden="1" customHeight="1">
      <c r="A480" s="48" t="s">
        <v>1048</v>
      </c>
      <c r="B480" s="48" t="s">
        <v>1048</v>
      </c>
      <c r="C480" s="48" t="s">
        <v>1049</v>
      </c>
      <c r="D480" s="48" t="s">
        <v>50</v>
      </c>
      <c r="E480" s="48" t="s">
        <v>150</v>
      </c>
      <c r="F480" s="48">
        <v>106</v>
      </c>
      <c r="G480" s="48">
        <v>18</v>
      </c>
      <c r="H480" s="48">
        <v>477</v>
      </c>
      <c r="I480" s="48">
        <v>96</v>
      </c>
      <c r="J480" s="48">
        <v>38</v>
      </c>
      <c r="K480" s="48">
        <v>483</v>
      </c>
      <c r="L480" s="48">
        <v>112.5</v>
      </c>
      <c r="M480" s="48">
        <v>22</v>
      </c>
      <c r="N480" s="48">
        <v>401</v>
      </c>
      <c r="O480" s="48">
        <v>39</v>
      </c>
      <c r="P480" s="48">
        <v>54</v>
      </c>
      <c r="Q480" s="48">
        <v>912</v>
      </c>
      <c r="R480" s="48">
        <v>93</v>
      </c>
      <c r="S480" s="48">
        <v>8</v>
      </c>
      <c r="T480" s="48">
        <v>93</v>
      </c>
      <c r="U480" s="48">
        <v>77</v>
      </c>
      <c r="V480" s="48">
        <v>16</v>
      </c>
      <c r="W480" s="48">
        <v>162</v>
      </c>
      <c r="X480" s="48">
        <v>523.5</v>
      </c>
      <c r="Y480" s="48">
        <v>32</v>
      </c>
      <c r="Z480" s="48">
        <v>474</v>
      </c>
    </row>
    <row r="481" spans="1:26" ht="15" hidden="1" customHeight="1">
      <c r="A481" s="48" t="s">
        <v>1050</v>
      </c>
      <c r="B481" s="48" t="s">
        <v>1050</v>
      </c>
      <c r="C481" s="48" t="s">
        <v>1051</v>
      </c>
      <c r="D481" s="48" t="s">
        <v>50</v>
      </c>
      <c r="E481" s="48" t="s">
        <v>240</v>
      </c>
      <c r="F481" s="48">
        <v>116</v>
      </c>
      <c r="G481" s="48">
        <v>3</v>
      </c>
      <c r="H481" s="48">
        <v>117</v>
      </c>
      <c r="I481" s="48">
        <v>87</v>
      </c>
      <c r="J481" s="48">
        <v>35</v>
      </c>
      <c r="K481" s="48">
        <v>614</v>
      </c>
      <c r="L481" s="48">
        <v>118.5</v>
      </c>
      <c r="M481" s="48">
        <v>11</v>
      </c>
      <c r="N481" s="48">
        <v>247</v>
      </c>
      <c r="O481" s="48">
        <v>56</v>
      </c>
      <c r="P481" s="48">
        <v>43</v>
      </c>
      <c r="Q481" s="48">
        <v>731</v>
      </c>
      <c r="R481" s="48">
        <v>84</v>
      </c>
      <c r="S481" s="48">
        <v>17</v>
      </c>
      <c r="T481" s="48">
        <v>379</v>
      </c>
      <c r="U481" s="48">
        <v>62</v>
      </c>
      <c r="V481" s="48">
        <v>41</v>
      </c>
      <c r="W481" s="48">
        <v>657</v>
      </c>
      <c r="X481" s="48">
        <v>523.5</v>
      </c>
      <c r="Y481" s="48">
        <v>31</v>
      </c>
      <c r="Z481" s="48">
        <v>474</v>
      </c>
    </row>
    <row r="482" spans="1:26" ht="15" hidden="1" customHeight="1">
      <c r="A482" s="48" t="s">
        <v>1052</v>
      </c>
      <c r="B482" s="48" t="s">
        <v>1052</v>
      </c>
      <c r="C482" s="48" t="s">
        <v>1053</v>
      </c>
      <c r="D482" s="48" t="s">
        <v>50</v>
      </c>
      <c r="E482" s="48" t="s">
        <v>240</v>
      </c>
      <c r="F482" s="48">
        <v>114</v>
      </c>
      <c r="G482" s="48">
        <v>6</v>
      </c>
      <c r="H482" s="48">
        <v>170</v>
      </c>
      <c r="I482" s="48">
        <v>75</v>
      </c>
      <c r="J482" s="48">
        <v>44</v>
      </c>
      <c r="K482" s="48">
        <v>766</v>
      </c>
      <c r="L482" s="48">
        <v>118.5</v>
      </c>
      <c r="M482" s="48">
        <v>11</v>
      </c>
      <c r="N482" s="48">
        <v>247</v>
      </c>
      <c r="O482" s="48">
        <v>65</v>
      </c>
      <c r="P482" s="48">
        <v>36</v>
      </c>
      <c r="Q482" s="48">
        <v>539</v>
      </c>
      <c r="R482" s="48">
        <v>78</v>
      </c>
      <c r="S482" s="48">
        <v>31</v>
      </c>
      <c r="T482" s="48">
        <v>577</v>
      </c>
      <c r="U482" s="48">
        <v>73</v>
      </c>
      <c r="V482" s="48">
        <v>18</v>
      </c>
      <c r="W482" s="48">
        <v>275</v>
      </c>
      <c r="X482" s="48">
        <v>523.5</v>
      </c>
      <c r="Y482" s="48">
        <v>31</v>
      </c>
      <c r="Z482" s="48">
        <v>474</v>
      </c>
    </row>
    <row r="483" spans="1:26" ht="15" hidden="1" customHeight="1">
      <c r="A483" s="48" t="s">
        <v>1054</v>
      </c>
      <c r="B483" s="48" t="s">
        <v>1054</v>
      </c>
      <c r="C483" s="48" t="s">
        <v>1055</v>
      </c>
      <c r="D483" s="48" t="s">
        <v>50</v>
      </c>
      <c r="E483" s="48" t="s">
        <v>240</v>
      </c>
      <c r="F483" s="48">
        <v>110</v>
      </c>
      <c r="G483" s="48">
        <v>14</v>
      </c>
      <c r="H483" s="48">
        <v>310</v>
      </c>
      <c r="I483" s="48">
        <v>106</v>
      </c>
      <c r="J483" s="48">
        <v>20</v>
      </c>
      <c r="K483" s="48">
        <v>322</v>
      </c>
      <c r="L483" s="48">
        <v>107</v>
      </c>
      <c r="M483" s="48">
        <v>34</v>
      </c>
      <c r="N483" s="48">
        <v>546</v>
      </c>
      <c r="O483" s="48">
        <v>60</v>
      </c>
      <c r="P483" s="48">
        <v>40</v>
      </c>
      <c r="Q483" s="48">
        <v>647</v>
      </c>
      <c r="R483" s="48">
        <v>75</v>
      </c>
      <c r="S483" s="48">
        <v>36</v>
      </c>
      <c r="T483" s="48">
        <v>671</v>
      </c>
      <c r="U483" s="48">
        <v>65</v>
      </c>
      <c r="V483" s="48">
        <v>33</v>
      </c>
      <c r="W483" s="48">
        <v>554</v>
      </c>
      <c r="X483" s="48">
        <v>523</v>
      </c>
      <c r="Y483" s="48">
        <v>33</v>
      </c>
      <c r="Z483" s="48">
        <v>480</v>
      </c>
    </row>
    <row r="484" spans="1:26" ht="15" hidden="1" customHeight="1">
      <c r="A484" s="48" t="s">
        <v>1056</v>
      </c>
      <c r="B484" s="48" t="s">
        <v>1056</v>
      </c>
      <c r="C484" s="48" t="s">
        <v>1057</v>
      </c>
      <c r="D484" s="48" t="s">
        <v>50</v>
      </c>
      <c r="E484" s="48" t="s">
        <v>111</v>
      </c>
      <c r="F484" s="48">
        <v>113</v>
      </c>
      <c r="G484" s="48">
        <v>10</v>
      </c>
      <c r="H484" s="48">
        <v>196</v>
      </c>
      <c r="I484" s="48">
        <v>92</v>
      </c>
      <c r="J484" s="48">
        <v>25</v>
      </c>
      <c r="K484" s="48">
        <v>557</v>
      </c>
      <c r="L484" s="48">
        <v>118</v>
      </c>
      <c r="M484" s="48">
        <v>16</v>
      </c>
      <c r="N484" s="48">
        <v>263</v>
      </c>
      <c r="O484" s="48">
        <v>79</v>
      </c>
      <c r="P484" s="48">
        <v>12</v>
      </c>
      <c r="Q484" s="48">
        <v>236</v>
      </c>
      <c r="R484" s="48">
        <v>71</v>
      </c>
      <c r="S484" s="48">
        <v>41</v>
      </c>
      <c r="T484" s="48">
        <v>773</v>
      </c>
      <c r="U484" s="48">
        <v>50</v>
      </c>
      <c r="V484" s="48">
        <v>48</v>
      </c>
      <c r="W484" s="48">
        <v>873</v>
      </c>
      <c r="X484" s="48">
        <v>523</v>
      </c>
      <c r="Y484" s="48">
        <v>22</v>
      </c>
      <c r="Z484" s="48">
        <v>480</v>
      </c>
    </row>
    <row r="485" spans="1:26" ht="15" hidden="1" customHeight="1">
      <c r="A485" s="48" t="s">
        <v>1058</v>
      </c>
      <c r="B485" s="48" t="s">
        <v>1058</v>
      </c>
      <c r="C485" s="48" t="s">
        <v>1059</v>
      </c>
      <c r="D485" s="48" t="s">
        <v>50</v>
      </c>
      <c r="E485" s="48" t="s">
        <v>210</v>
      </c>
      <c r="F485" s="48">
        <v>107</v>
      </c>
      <c r="G485" s="48">
        <v>27</v>
      </c>
      <c r="H485" s="48">
        <v>429</v>
      </c>
      <c r="I485" s="48">
        <v>87</v>
      </c>
      <c r="J485" s="48">
        <v>38</v>
      </c>
      <c r="K485" s="48">
        <v>614</v>
      </c>
      <c r="L485" s="48">
        <v>120</v>
      </c>
      <c r="M485" s="48">
        <v>11</v>
      </c>
      <c r="N485" s="48">
        <v>211</v>
      </c>
      <c r="O485" s="48">
        <v>64</v>
      </c>
      <c r="P485" s="48">
        <v>39</v>
      </c>
      <c r="Q485" s="48">
        <v>559</v>
      </c>
      <c r="R485" s="48">
        <v>72</v>
      </c>
      <c r="S485" s="48">
        <v>47</v>
      </c>
      <c r="T485" s="48">
        <v>751</v>
      </c>
      <c r="U485" s="48">
        <v>73</v>
      </c>
      <c r="V485" s="48">
        <v>14</v>
      </c>
      <c r="W485" s="48">
        <v>275</v>
      </c>
      <c r="X485" s="48">
        <v>523</v>
      </c>
      <c r="Y485" s="48">
        <v>29</v>
      </c>
      <c r="Z485" s="48">
        <v>480</v>
      </c>
    </row>
    <row r="486" spans="1:26" ht="15" hidden="1" customHeight="1">
      <c r="A486" s="48" t="s">
        <v>1060</v>
      </c>
      <c r="B486" s="48" t="s">
        <v>1060</v>
      </c>
      <c r="C486" s="48" t="s">
        <v>1061</v>
      </c>
      <c r="D486" s="48" t="s">
        <v>50</v>
      </c>
      <c r="E486" s="48" t="s">
        <v>133</v>
      </c>
      <c r="F486" s="48">
        <v>105</v>
      </c>
      <c r="G486" s="48">
        <v>37</v>
      </c>
      <c r="H486" s="48">
        <v>515</v>
      </c>
      <c r="I486" s="48">
        <v>94</v>
      </c>
      <c r="J486" s="48">
        <v>38</v>
      </c>
      <c r="K486" s="48">
        <v>523</v>
      </c>
      <c r="L486" s="48">
        <v>109</v>
      </c>
      <c r="M486" s="48">
        <v>30</v>
      </c>
      <c r="N486" s="48">
        <v>500</v>
      </c>
      <c r="O486" s="48">
        <v>57</v>
      </c>
      <c r="P486" s="48">
        <v>43</v>
      </c>
      <c r="Q486" s="48">
        <v>713</v>
      </c>
      <c r="R486" s="48">
        <v>85</v>
      </c>
      <c r="S486" s="48">
        <v>25</v>
      </c>
      <c r="T486" s="48">
        <v>339</v>
      </c>
      <c r="U486" s="48">
        <v>73</v>
      </c>
      <c r="V486" s="48">
        <v>20</v>
      </c>
      <c r="W486" s="48">
        <v>275</v>
      </c>
      <c r="X486" s="48">
        <v>523</v>
      </c>
      <c r="Y486" s="48">
        <v>34</v>
      </c>
      <c r="Z486" s="48">
        <v>480</v>
      </c>
    </row>
    <row r="487" spans="1:26" ht="15" hidden="1" customHeight="1">
      <c r="A487" s="48" t="s">
        <v>1062</v>
      </c>
      <c r="B487" s="48" t="s">
        <v>1062</v>
      </c>
      <c r="C487" s="48" t="s">
        <v>1063</v>
      </c>
      <c r="D487" s="48" t="s">
        <v>50</v>
      </c>
      <c r="E487" s="48" t="s">
        <v>150</v>
      </c>
      <c r="F487" s="48">
        <v>111</v>
      </c>
      <c r="G487" s="48">
        <v>9</v>
      </c>
      <c r="H487" s="48">
        <v>271</v>
      </c>
      <c r="I487" s="48">
        <v>103</v>
      </c>
      <c r="J487" s="48">
        <v>29</v>
      </c>
      <c r="K487" s="48">
        <v>374</v>
      </c>
      <c r="L487" s="48">
        <v>105</v>
      </c>
      <c r="M487" s="48">
        <v>34</v>
      </c>
      <c r="N487" s="48">
        <v>578</v>
      </c>
      <c r="O487" s="48">
        <v>60</v>
      </c>
      <c r="P487" s="48">
        <v>37</v>
      </c>
      <c r="Q487" s="48">
        <v>647</v>
      </c>
      <c r="R487" s="48">
        <v>79</v>
      </c>
      <c r="S487" s="48">
        <v>37</v>
      </c>
      <c r="T487" s="48">
        <v>539</v>
      </c>
      <c r="U487" s="48">
        <v>65</v>
      </c>
      <c r="V487" s="48">
        <v>46</v>
      </c>
      <c r="W487" s="48">
        <v>554</v>
      </c>
      <c r="X487" s="48">
        <v>523</v>
      </c>
      <c r="Y487" s="48">
        <v>33</v>
      </c>
      <c r="Z487" s="48">
        <v>480</v>
      </c>
    </row>
    <row r="488" spans="1:26" ht="15" hidden="1" customHeight="1">
      <c r="A488" s="48" t="s">
        <v>1064</v>
      </c>
      <c r="B488" s="48" t="s">
        <v>1064</v>
      </c>
      <c r="C488" s="48" t="s">
        <v>1065</v>
      </c>
      <c r="D488" s="48" t="s">
        <v>50</v>
      </c>
      <c r="E488" s="48" t="s">
        <v>133</v>
      </c>
      <c r="F488" s="48">
        <v>113</v>
      </c>
      <c r="G488" s="48">
        <v>14</v>
      </c>
      <c r="H488" s="48">
        <v>196</v>
      </c>
      <c r="I488" s="48">
        <v>86</v>
      </c>
      <c r="J488" s="48">
        <v>42</v>
      </c>
      <c r="K488" s="48">
        <v>626</v>
      </c>
      <c r="L488" s="48">
        <v>114</v>
      </c>
      <c r="M488" s="48">
        <v>21</v>
      </c>
      <c r="N488" s="48">
        <v>356</v>
      </c>
      <c r="O488" s="48">
        <v>69</v>
      </c>
      <c r="P488" s="48">
        <v>27</v>
      </c>
      <c r="Q488" s="48">
        <v>452</v>
      </c>
      <c r="R488" s="48">
        <v>72</v>
      </c>
      <c r="S488" s="48">
        <v>52</v>
      </c>
      <c r="T488" s="48">
        <v>751</v>
      </c>
      <c r="U488" s="48">
        <v>69</v>
      </c>
      <c r="V488" s="48">
        <v>29</v>
      </c>
      <c r="W488" s="48">
        <v>420</v>
      </c>
      <c r="X488" s="48">
        <v>523</v>
      </c>
      <c r="Y488" s="48">
        <v>34</v>
      </c>
      <c r="Z488" s="48">
        <v>480</v>
      </c>
    </row>
    <row r="489" spans="1:26" ht="15" hidden="1" customHeight="1">
      <c r="A489" s="48" t="s">
        <v>1066</v>
      </c>
      <c r="B489" s="48" t="s">
        <v>1066</v>
      </c>
      <c r="C489" s="48" t="s">
        <v>1067</v>
      </c>
      <c r="D489" s="48" t="s">
        <v>50</v>
      </c>
      <c r="E489" s="48" t="s">
        <v>122</v>
      </c>
      <c r="F489" s="48">
        <v>102</v>
      </c>
      <c r="G489" s="48">
        <v>46</v>
      </c>
      <c r="H489" s="48">
        <v>655</v>
      </c>
      <c r="I489" s="48">
        <v>94</v>
      </c>
      <c r="J489" s="48">
        <v>43</v>
      </c>
      <c r="K489" s="48">
        <v>523</v>
      </c>
      <c r="L489" s="48">
        <v>110</v>
      </c>
      <c r="M489" s="48">
        <v>40</v>
      </c>
      <c r="N489" s="48">
        <v>478</v>
      </c>
      <c r="O489" s="48">
        <v>66</v>
      </c>
      <c r="P489" s="48">
        <v>39</v>
      </c>
      <c r="Q489" s="48">
        <v>513</v>
      </c>
      <c r="R489" s="48">
        <v>88</v>
      </c>
      <c r="S489" s="48">
        <v>33</v>
      </c>
      <c r="T489" s="48">
        <v>240</v>
      </c>
      <c r="U489" s="48">
        <v>63</v>
      </c>
      <c r="V489" s="48">
        <v>44</v>
      </c>
      <c r="W489" s="48">
        <v>625</v>
      </c>
      <c r="X489" s="48">
        <v>523</v>
      </c>
      <c r="Y489" s="48">
        <v>48</v>
      </c>
      <c r="Z489" s="48">
        <v>480</v>
      </c>
    </row>
    <row r="490" spans="1:26" ht="15" hidden="1" customHeight="1">
      <c r="A490" s="48" t="s">
        <v>1068</v>
      </c>
      <c r="B490" s="48" t="s">
        <v>1068</v>
      </c>
      <c r="C490" s="48" t="s">
        <v>1069</v>
      </c>
      <c r="D490" s="48" t="s">
        <v>50</v>
      </c>
      <c r="E490" s="48" t="s">
        <v>172</v>
      </c>
      <c r="F490" s="48">
        <v>108</v>
      </c>
      <c r="G490" s="48">
        <v>19</v>
      </c>
      <c r="H490" s="48">
        <v>391</v>
      </c>
      <c r="I490" s="48">
        <v>60</v>
      </c>
      <c r="J490" s="48">
        <v>54</v>
      </c>
      <c r="K490" s="48">
        <v>884</v>
      </c>
      <c r="L490" s="48">
        <v>112.5</v>
      </c>
      <c r="M490" s="48">
        <v>19</v>
      </c>
      <c r="N490" s="48">
        <v>401</v>
      </c>
      <c r="O490" s="48">
        <v>77</v>
      </c>
      <c r="P490" s="48">
        <v>16</v>
      </c>
      <c r="Q490" s="48">
        <v>278</v>
      </c>
      <c r="R490" s="48">
        <v>81</v>
      </c>
      <c r="S490" s="48">
        <v>20</v>
      </c>
      <c r="T490" s="48">
        <v>474</v>
      </c>
      <c r="U490" s="48">
        <v>84</v>
      </c>
      <c r="V490" s="48">
        <v>2</v>
      </c>
      <c r="W490" s="48">
        <v>21</v>
      </c>
      <c r="X490" s="48">
        <v>522.5</v>
      </c>
      <c r="Y490" s="48">
        <v>25</v>
      </c>
      <c r="Z490" s="48">
        <v>487</v>
      </c>
    </row>
    <row r="491" spans="1:26" ht="15" hidden="1" customHeight="1">
      <c r="A491" s="48" t="s">
        <v>1070</v>
      </c>
      <c r="B491" s="48" t="s">
        <v>1070</v>
      </c>
      <c r="C491" s="48" t="s">
        <v>1071</v>
      </c>
      <c r="D491" s="48" t="s">
        <v>50</v>
      </c>
      <c r="E491" s="48" t="s">
        <v>249</v>
      </c>
      <c r="F491" s="48">
        <v>113</v>
      </c>
      <c r="G491" s="48">
        <v>15</v>
      </c>
      <c r="H491" s="48">
        <v>196</v>
      </c>
      <c r="I491" s="48">
        <v>102</v>
      </c>
      <c r="J491" s="48">
        <v>19</v>
      </c>
      <c r="K491" s="48">
        <v>386</v>
      </c>
      <c r="L491" s="48">
        <v>103.5</v>
      </c>
      <c r="M491" s="48">
        <v>31</v>
      </c>
      <c r="N491" s="48">
        <v>612</v>
      </c>
      <c r="O491" s="48">
        <v>59</v>
      </c>
      <c r="P491" s="48">
        <v>36</v>
      </c>
      <c r="Q491" s="48">
        <v>672</v>
      </c>
      <c r="R491" s="48">
        <v>86</v>
      </c>
      <c r="S491" s="48">
        <v>6</v>
      </c>
      <c r="T491" s="48">
        <v>304</v>
      </c>
      <c r="U491" s="48">
        <v>59</v>
      </c>
      <c r="V491" s="48">
        <v>36</v>
      </c>
      <c r="W491" s="48">
        <v>729</v>
      </c>
      <c r="X491" s="48">
        <v>522.5</v>
      </c>
      <c r="Y491" s="48">
        <v>23</v>
      </c>
      <c r="Z491" s="48">
        <v>487</v>
      </c>
    </row>
    <row r="492" spans="1:26" ht="15" hidden="1" customHeight="1">
      <c r="A492" s="48" t="s">
        <v>1072</v>
      </c>
      <c r="B492" s="48" t="s">
        <v>1072</v>
      </c>
      <c r="C492" s="48" t="s">
        <v>1073</v>
      </c>
      <c r="D492" s="48" t="s">
        <v>50</v>
      </c>
      <c r="E492" s="48" t="s">
        <v>92</v>
      </c>
      <c r="F492" s="48">
        <v>101</v>
      </c>
      <c r="G492" s="48">
        <v>33</v>
      </c>
      <c r="H492" s="48">
        <v>688</v>
      </c>
      <c r="I492" s="48">
        <v>101</v>
      </c>
      <c r="J492" s="48">
        <v>20</v>
      </c>
      <c r="K492" s="48">
        <v>403</v>
      </c>
      <c r="L492" s="48">
        <v>89.5</v>
      </c>
      <c r="M492" s="48">
        <v>47</v>
      </c>
      <c r="N492" s="48">
        <v>836</v>
      </c>
      <c r="O492" s="48">
        <v>66</v>
      </c>
      <c r="P492" s="48">
        <v>25</v>
      </c>
      <c r="Q492" s="48">
        <v>513</v>
      </c>
      <c r="R492" s="48">
        <v>91</v>
      </c>
      <c r="S492" s="48">
        <v>6</v>
      </c>
      <c r="T492" s="48">
        <v>151</v>
      </c>
      <c r="U492" s="48">
        <v>74</v>
      </c>
      <c r="V492" s="48">
        <v>19</v>
      </c>
      <c r="W492" s="48">
        <v>247</v>
      </c>
      <c r="X492" s="48">
        <v>522.5</v>
      </c>
      <c r="Y492" s="48">
        <v>26</v>
      </c>
      <c r="Z492" s="48">
        <v>487</v>
      </c>
    </row>
    <row r="493" spans="1:26" ht="15" hidden="1" customHeight="1">
      <c r="A493" s="48" t="s">
        <v>1074</v>
      </c>
      <c r="B493" s="48" t="s">
        <v>1074</v>
      </c>
      <c r="C493" s="48" t="s">
        <v>1075</v>
      </c>
      <c r="D493" s="48" t="s">
        <v>50</v>
      </c>
      <c r="E493" s="48" t="s">
        <v>92</v>
      </c>
      <c r="F493" s="48">
        <v>106</v>
      </c>
      <c r="G493" s="48">
        <v>18</v>
      </c>
      <c r="H493" s="48">
        <v>477</v>
      </c>
      <c r="I493" s="48">
        <v>94</v>
      </c>
      <c r="J493" s="48">
        <v>30</v>
      </c>
      <c r="K493" s="48">
        <v>523</v>
      </c>
      <c r="L493" s="48">
        <v>100</v>
      </c>
      <c r="M493" s="48">
        <v>35</v>
      </c>
      <c r="N493" s="48">
        <v>680</v>
      </c>
      <c r="O493" s="48">
        <v>64</v>
      </c>
      <c r="P493" s="48">
        <v>31</v>
      </c>
      <c r="Q493" s="48">
        <v>559</v>
      </c>
      <c r="R493" s="48">
        <v>91</v>
      </c>
      <c r="S493" s="48">
        <v>6</v>
      </c>
      <c r="T493" s="48">
        <v>151</v>
      </c>
      <c r="U493" s="48">
        <v>67</v>
      </c>
      <c r="V493" s="48">
        <v>33</v>
      </c>
      <c r="W493" s="48">
        <v>489</v>
      </c>
      <c r="X493" s="48">
        <v>522</v>
      </c>
      <c r="Y493" s="48">
        <v>27</v>
      </c>
      <c r="Z493" s="48">
        <v>490</v>
      </c>
    </row>
    <row r="494" spans="1:26" ht="15" hidden="1" customHeight="1">
      <c r="A494" s="48" t="s">
        <v>1076</v>
      </c>
      <c r="B494" s="48" t="s">
        <v>1076</v>
      </c>
      <c r="C494" s="48" t="s">
        <v>1077</v>
      </c>
      <c r="D494" s="48" t="s">
        <v>50</v>
      </c>
      <c r="E494" s="48" t="s">
        <v>92</v>
      </c>
      <c r="F494" s="48">
        <v>109</v>
      </c>
      <c r="G494" s="48">
        <v>13</v>
      </c>
      <c r="H494" s="48">
        <v>353</v>
      </c>
      <c r="I494" s="48">
        <v>79</v>
      </c>
      <c r="J494" s="48">
        <v>46</v>
      </c>
      <c r="K494" s="48">
        <v>713</v>
      </c>
      <c r="L494" s="48">
        <v>119</v>
      </c>
      <c r="M494" s="48">
        <v>12</v>
      </c>
      <c r="N494" s="48">
        <v>237</v>
      </c>
      <c r="O494" s="48">
        <v>56</v>
      </c>
      <c r="P494" s="48">
        <v>43</v>
      </c>
      <c r="Q494" s="48">
        <v>731</v>
      </c>
      <c r="R494" s="48">
        <v>90</v>
      </c>
      <c r="S494" s="48">
        <v>8</v>
      </c>
      <c r="T494" s="48">
        <v>177</v>
      </c>
      <c r="U494" s="48">
        <v>69</v>
      </c>
      <c r="V494" s="48">
        <v>30</v>
      </c>
      <c r="W494" s="48">
        <v>420</v>
      </c>
      <c r="X494" s="48">
        <v>522</v>
      </c>
      <c r="Y494" s="48">
        <v>27</v>
      </c>
      <c r="Z494" s="48">
        <v>490</v>
      </c>
    </row>
    <row r="495" spans="1:26" ht="15" hidden="1" customHeight="1">
      <c r="A495" s="48" t="s">
        <v>1078</v>
      </c>
      <c r="B495" s="48" t="s">
        <v>1078</v>
      </c>
      <c r="C495" s="48" t="s">
        <v>1079</v>
      </c>
      <c r="D495" s="48" t="s">
        <v>50</v>
      </c>
      <c r="E495" s="48" t="s">
        <v>150</v>
      </c>
      <c r="F495" s="48">
        <v>117</v>
      </c>
      <c r="G495" s="48">
        <v>2</v>
      </c>
      <c r="H495" s="48">
        <v>86</v>
      </c>
      <c r="I495" s="48">
        <v>86</v>
      </c>
      <c r="J495" s="48">
        <v>44</v>
      </c>
      <c r="K495" s="48">
        <v>626</v>
      </c>
      <c r="L495" s="48">
        <v>110</v>
      </c>
      <c r="M495" s="48">
        <v>29</v>
      </c>
      <c r="N495" s="48">
        <v>478</v>
      </c>
      <c r="O495" s="48">
        <v>49</v>
      </c>
      <c r="P495" s="48">
        <v>48</v>
      </c>
      <c r="Q495" s="48">
        <v>842</v>
      </c>
      <c r="R495" s="48">
        <v>81</v>
      </c>
      <c r="S495" s="48">
        <v>32</v>
      </c>
      <c r="T495" s="48">
        <v>474</v>
      </c>
      <c r="U495" s="48">
        <v>79</v>
      </c>
      <c r="V495" s="48">
        <v>10</v>
      </c>
      <c r="W495" s="48">
        <v>103</v>
      </c>
      <c r="X495" s="48">
        <v>522</v>
      </c>
      <c r="Y495" s="48">
        <v>34</v>
      </c>
      <c r="Z495" s="48">
        <v>490</v>
      </c>
    </row>
    <row r="496" spans="1:26" ht="15" hidden="1" customHeight="1">
      <c r="A496" s="48" t="s">
        <v>1080</v>
      </c>
      <c r="B496" s="48" t="s">
        <v>1080</v>
      </c>
      <c r="C496" s="48" t="s">
        <v>1081</v>
      </c>
      <c r="D496" s="48" t="s">
        <v>50</v>
      </c>
      <c r="E496" s="48" t="s">
        <v>240</v>
      </c>
      <c r="F496" s="48">
        <v>95</v>
      </c>
      <c r="G496" s="48">
        <v>51</v>
      </c>
      <c r="H496" s="48">
        <v>837</v>
      </c>
      <c r="I496" s="48">
        <v>103</v>
      </c>
      <c r="J496" s="48">
        <v>22</v>
      </c>
      <c r="K496" s="48">
        <v>374</v>
      </c>
      <c r="L496" s="48">
        <v>118</v>
      </c>
      <c r="M496" s="48">
        <v>13</v>
      </c>
      <c r="N496" s="48">
        <v>263</v>
      </c>
      <c r="O496" s="48">
        <v>74</v>
      </c>
      <c r="P496" s="48">
        <v>19</v>
      </c>
      <c r="Q496" s="48">
        <v>345</v>
      </c>
      <c r="R496" s="48">
        <v>83</v>
      </c>
      <c r="S496" s="48">
        <v>21</v>
      </c>
      <c r="T496" s="48">
        <v>407</v>
      </c>
      <c r="U496" s="48">
        <v>49</v>
      </c>
      <c r="V496" s="48">
        <v>56</v>
      </c>
      <c r="W496" s="48">
        <v>883</v>
      </c>
      <c r="X496" s="48">
        <v>522</v>
      </c>
      <c r="Y496" s="48">
        <v>34</v>
      </c>
      <c r="Z496" s="48">
        <v>490</v>
      </c>
    </row>
    <row r="497" spans="1:26" ht="15" hidden="1" customHeight="1">
      <c r="A497" s="48" t="s">
        <v>1082</v>
      </c>
      <c r="B497" s="48" t="s">
        <v>1082</v>
      </c>
      <c r="C497" s="48" t="s">
        <v>1083</v>
      </c>
      <c r="D497" s="48" t="s">
        <v>50</v>
      </c>
      <c r="E497" s="48" t="s">
        <v>169</v>
      </c>
      <c r="F497" s="48">
        <v>110</v>
      </c>
      <c r="G497" s="48">
        <v>15</v>
      </c>
      <c r="H497" s="48">
        <v>310</v>
      </c>
      <c r="I497" s="48">
        <v>75</v>
      </c>
      <c r="J497" s="48">
        <v>45</v>
      </c>
      <c r="K497" s="48">
        <v>766</v>
      </c>
      <c r="L497" s="48">
        <v>118.5</v>
      </c>
      <c r="M497" s="48">
        <v>15</v>
      </c>
      <c r="N497" s="48">
        <v>247</v>
      </c>
      <c r="O497" s="48">
        <v>63</v>
      </c>
      <c r="P497" s="48">
        <v>30</v>
      </c>
      <c r="Q497" s="48">
        <v>581</v>
      </c>
      <c r="R497" s="48">
        <v>81</v>
      </c>
      <c r="S497" s="48">
        <v>22</v>
      </c>
      <c r="T497" s="48">
        <v>474</v>
      </c>
      <c r="U497" s="48">
        <v>74</v>
      </c>
      <c r="V497" s="48">
        <v>15</v>
      </c>
      <c r="W497" s="48">
        <v>247</v>
      </c>
      <c r="X497" s="48">
        <v>521.5</v>
      </c>
      <c r="Y497" s="48">
        <v>28</v>
      </c>
      <c r="Z497" s="48">
        <v>494</v>
      </c>
    </row>
    <row r="498" spans="1:26" ht="15" hidden="1" customHeight="1">
      <c r="A498" s="48" t="s">
        <v>1084</v>
      </c>
      <c r="B498" s="48" t="s">
        <v>1084</v>
      </c>
      <c r="C498" s="48" t="s">
        <v>1085</v>
      </c>
      <c r="D498" s="48" t="s">
        <v>50</v>
      </c>
      <c r="E498" s="48" t="s">
        <v>210</v>
      </c>
      <c r="F498" s="48">
        <v>102</v>
      </c>
      <c r="G498" s="48">
        <v>43</v>
      </c>
      <c r="H498" s="48">
        <v>655</v>
      </c>
      <c r="I498" s="48">
        <v>108</v>
      </c>
      <c r="J498" s="48">
        <v>19</v>
      </c>
      <c r="K498" s="48">
        <v>296</v>
      </c>
      <c r="L498" s="48">
        <v>113.5</v>
      </c>
      <c r="M498" s="48">
        <v>26</v>
      </c>
      <c r="N498" s="48">
        <v>374</v>
      </c>
      <c r="O498" s="48">
        <v>66</v>
      </c>
      <c r="P498" s="48">
        <v>35</v>
      </c>
      <c r="Q498" s="48">
        <v>513</v>
      </c>
      <c r="R498" s="48">
        <v>72</v>
      </c>
      <c r="S498" s="48">
        <v>47</v>
      </c>
      <c r="T498" s="48">
        <v>751</v>
      </c>
      <c r="U498" s="48">
        <v>60</v>
      </c>
      <c r="V498" s="48">
        <v>40</v>
      </c>
      <c r="W498" s="48">
        <v>706</v>
      </c>
      <c r="X498" s="48">
        <v>521.5</v>
      </c>
      <c r="Y498" s="48">
        <v>30</v>
      </c>
      <c r="Z498" s="48">
        <v>494</v>
      </c>
    </row>
    <row r="499" spans="1:26" ht="15" hidden="1" customHeight="1">
      <c r="A499" s="48" t="s">
        <v>1086</v>
      </c>
      <c r="B499" s="48" t="s">
        <v>1086</v>
      </c>
      <c r="C499" s="48" t="s">
        <v>1087</v>
      </c>
      <c r="D499" s="48" t="s">
        <v>50</v>
      </c>
      <c r="E499" s="48" t="s">
        <v>106</v>
      </c>
      <c r="F499" s="48">
        <v>113</v>
      </c>
      <c r="G499" s="48">
        <v>16</v>
      </c>
      <c r="H499" s="48">
        <v>196</v>
      </c>
      <c r="I499" s="48">
        <v>95</v>
      </c>
      <c r="J499" s="48">
        <v>28</v>
      </c>
      <c r="K499" s="48">
        <v>501</v>
      </c>
      <c r="L499" s="48">
        <v>105.5</v>
      </c>
      <c r="M499" s="48">
        <v>32</v>
      </c>
      <c r="N499" s="48">
        <v>568</v>
      </c>
      <c r="O499" s="48">
        <v>60</v>
      </c>
      <c r="P499" s="48">
        <v>34</v>
      </c>
      <c r="Q499" s="48">
        <v>647</v>
      </c>
      <c r="R499" s="48">
        <v>81</v>
      </c>
      <c r="S499" s="48">
        <v>15</v>
      </c>
      <c r="T499" s="48">
        <v>474</v>
      </c>
      <c r="U499" s="48">
        <v>67</v>
      </c>
      <c r="V499" s="48">
        <v>20</v>
      </c>
      <c r="W499" s="48">
        <v>489</v>
      </c>
      <c r="X499" s="48">
        <v>521.5</v>
      </c>
      <c r="Y499" s="48">
        <v>20</v>
      </c>
      <c r="Z499" s="48">
        <v>494</v>
      </c>
    </row>
    <row r="500" spans="1:26" ht="15" hidden="1" customHeight="1">
      <c r="A500" s="48" t="s">
        <v>1088</v>
      </c>
      <c r="B500" s="48" t="s">
        <v>1088</v>
      </c>
      <c r="C500" s="48" t="s">
        <v>1089</v>
      </c>
      <c r="D500" s="48" t="s">
        <v>50</v>
      </c>
      <c r="E500" s="48" t="s">
        <v>249</v>
      </c>
      <c r="F500" s="48">
        <v>118</v>
      </c>
      <c r="G500" s="48">
        <v>3</v>
      </c>
      <c r="H500" s="48">
        <v>69</v>
      </c>
      <c r="I500" s="48">
        <v>91</v>
      </c>
      <c r="J500" s="48">
        <v>30</v>
      </c>
      <c r="K500" s="48">
        <v>566</v>
      </c>
      <c r="L500" s="48">
        <v>112.5</v>
      </c>
      <c r="M500" s="48">
        <v>19</v>
      </c>
      <c r="N500" s="48">
        <v>401</v>
      </c>
      <c r="O500" s="48">
        <v>70</v>
      </c>
      <c r="P500" s="48">
        <v>25</v>
      </c>
      <c r="Q500" s="48">
        <v>429</v>
      </c>
      <c r="R500" s="48">
        <v>75</v>
      </c>
      <c r="S500" s="48">
        <v>27</v>
      </c>
      <c r="T500" s="48">
        <v>671</v>
      </c>
      <c r="U500" s="48">
        <v>55</v>
      </c>
      <c r="V500" s="48">
        <v>45</v>
      </c>
      <c r="W500" s="48">
        <v>802</v>
      </c>
      <c r="X500" s="48">
        <v>521.5</v>
      </c>
      <c r="Y500" s="48">
        <v>24</v>
      </c>
      <c r="Z500" s="48">
        <v>494</v>
      </c>
    </row>
    <row r="501" spans="1:26" ht="15" hidden="1" customHeight="1">
      <c r="A501" s="48" t="s">
        <v>1090</v>
      </c>
      <c r="B501" s="48" t="s">
        <v>1090</v>
      </c>
      <c r="C501" s="48" t="s">
        <v>1091</v>
      </c>
      <c r="D501" s="48" t="s">
        <v>50</v>
      </c>
      <c r="E501" s="48" t="s">
        <v>97</v>
      </c>
      <c r="F501" s="48">
        <v>106</v>
      </c>
      <c r="G501" s="48">
        <v>26</v>
      </c>
      <c r="H501" s="48">
        <v>477</v>
      </c>
      <c r="I501" s="48">
        <v>82</v>
      </c>
      <c r="J501" s="48">
        <v>40</v>
      </c>
      <c r="K501" s="48">
        <v>676</v>
      </c>
      <c r="L501" s="48">
        <v>123</v>
      </c>
      <c r="M501" s="48">
        <v>9</v>
      </c>
      <c r="N501" s="48">
        <v>132</v>
      </c>
      <c r="O501" s="48">
        <v>69</v>
      </c>
      <c r="P501" s="48">
        <v>23</v>
      </c>
      <c r="Q501" s="48">
        <v>452</v>
      </c>
      <c r="R501" s="48">
        <v>73</v>
      </c>
      <c r="S501" s="48">
        <v>42</v>
      </c>
      <c r="T501" s="48">
        <v>717</v>
      </c>
      <c r="U501" s="48">
        <v>68</v>
      </c>
      <c r="V501" s="48">
        <v>32</v>
      </c>
      <c r="W501" s="48">
        <v>452</v>
      </c>
      <c r="X501" s="48">
        <v>521</v>
      </c>
      <c r="Y501" s="48">
        <v>28</v>
      </c>
      <c r="Z501" s="48">
        <v>498</v>
      </c>
    </row>
    <row r="502" spans="1:26" ht="15" hidden="1" customHeight="1">
      <c r="A502" s="48" t="s">
        <v>1092</v>
      </c>
      <c r="B502" s="48" t="s">
        <v>1092</v>
      </c>
      <c r="C502" s="48" t="s">
        <v>1093</v>
      </c>
      <c r="D502" s="48" t="s">
        <v>50</v>
      </c>
      <c r="E502" s="48" t="s">
        <v>210</v>
      </c>
      <c r="F502" s="48">
        <v>120</v>
      </c>
      <c r="G502" s="48">
        <v>3</v>
      </c>
      <c r="H502" s="48">
        <v>43</v>
      </c>
      <c r="I502" s="48">
        <v>104</v>
      </c>
      <c r="J502" s="48">
        <v>23</v>
      </c>
      <c r="K502" s="48">
        <v>358</v>
      </c>
      <c r="L502" s="48">
        <v>96</v>
      </c>
      <c r="M502" s="48">
        <v>44</v>
      </c>
      <c r="N502" s="48">
        <v>762</v>
      </c>
      <c r="O502" s="48">
        <v>67</v>
      </c>
      <c r="P502" s="48">
        <v>30</v>
      </c>
      <c r="Q502" s="48">
        <v>497</v>
      </c>
      <c r="R502" s="48">
        <v>72</v>
      </c>
      <c r="S502" s="48">
        <v>47</v>
      </c>
      <c r="T502" s="48">
        <v>751</v>
      </c>
      <c r="U502" s="48">
        <v>62</v>
      </c>
      <c r="V502" s="48">
        <v>36</v>
      </c>
      <c r="W502" s="48">
        <v>657</v>
      </c>
      <c r="X502" s="48">
        <v>521</v>
      </c>
      <c r="Y502" s="48">
        <v>31</v>
      </c>
      <c r="Z502" s="48">
        <v>498</v>
      </c>
    </row>
    <row r="503" spans="1:26" ht="15" hidden="1" customHeight="1">
      <c r="A503" s="48" t="s">
        <v>1094</v>
      </c>
      <c r="B503" s="48" t="s">
        <v>1094</v>
      </c>
      <c r="C503" s="48" t="s">
        <v>1095</v>
      </c>
      <c r="D503" s="48" t="s">
        <v>50</v>
      </c>
      <c r="E503" s="48" t="s">
        <v>84</v>
      </c>
      <c r="F503" s="48">
        <v>101</v>
      </c>
      <c r="G503" s="48">
        <v>38</v>
      </c>
      <c r="H503" s="48">
        <v>688</v>
      </c>
      <c r="I503" s="48">
        <v>86</v>
      </c>
      <c r="J503" s="48">
        <v>36</v>
      </c>
      <c r="K503" s="48">
        <v>626</v>
      </c>
      <c r="L503" s="48">
        <v>112</v>
      </c>
      <c r="M503" s="48">
        <v>24</v>
      </c>
      <c r="N503" s="48">
        <v>413</v>
      </c>
      <c r="O503" s="48">
        <v>75</v>
      </c>
      <c r="P503" s="48">
        <v>18</v>
      </c>
      <c r="Q503" s="48">
        <v>324</v>
      </c>
      <c r="R503" s="48">
        <v>78</v>
      </c>
      <c r="S503" s="48">
        <v>31</v>
      </c>
      <c r="T503" s="48">
        <v>577</v>
      </c>
      <c r="U503" s="48">
        <v>69</v>
      </c>
      <c r="V503" s="48">
        <v>23</v>
      </c>
      <c r="W503" s="48">
        <v>420</v>
      </c>
      <c r="X503" s="48">
        <v>521</v>
      </c>
      <c r="Y503" s="48">
        <v>25</v>
      </c>
      <c r="Z503" s="48">
        <v>498</v>
      </c>
    </row>
    <row r="504" spans="1:26" ht="15" hidden="1" customHeight="1">
      <c r="A504" s="48" t="s">
        <v>1096</v>
      </c>
      <c r="B504" s="48" t="s">
        <v>1096</v>
      </c>
      <c r="C504" s="48" t="s">
        <v>1097</v>
      </c>
      <c r="D504" s="48" t="s">
        <v>50</v>
      </c>
      <c r="E504" s="48" t="s">
        <v>84</v>
      </c>
      <c r="F504" s="48">
        <v>100</v>
      </c>
      <c r="G504" s="48">
        <v>40</v>
      </c>
      <c r="H504" s="48">
        <v>715</v>
      </c>
      <c r="I504" s="48">
        <v>93</v>
      </c>
      <c r="J504" s="48">
        <v>27</v>
      </c>
      <c r="K504" s="48">
        <v>540</v>
      </c>
      <c r="L504" s="48">
        <v>105</v>
      </c>
      <c r="M504" s="48">
        <v>39</v>
      </c>
      <c r="N504" s="48">
        <v>578</v>
      </c>
      <c r="O504" s="48">
        <v>67</v>
      </c>
      <c r="P504" s="48">
        <v>30</v>
      </c>
      <c r="Q504" s="48">
        <v>497</v>
      </c>
      <c r="R504" s="48">
        <v>89</v>
      </c>
      <c r="S504" s="48">
        <v>8</v>
      </c>
      <c r="T504" s="48">
        <v>200</v>
      </c>
      <c r="U504" s="48">
        <v>67</v>
      </c>
      <c r="V504" s="48">
        <v>30</v>
      </c>
      <c r="W504" s="48">
        <v>489</v>
      </c>
      <c r="X504" s="48">
        <v>521</v>
      </c>
      <c r="Y504" s="48">
        <v>25</v>
      </c>
      <c r="Z504" s="48">
        <v>498</v>
      </c>
    </row>
    <row r="505" spans="1:26" ht="15" hidden="1" customHeight="1">
      <c r="A505" s="48" t="s">
        <v>1098</v>
      </c>
      <c r="B505" s="48" t="s">
        <v>1098</v>
      </c>
      <c r="C505" s="48" t="s">
        <v>1099</v>
      </c>
      <c r="D505" s="48" t="s">
        <v>50</v>
      </c>
      <c r="E505" s="48" t="s">
        <v>133</v>
      </c>
      <c r="F505" s="48">
        <v>106</v>
      </c>
      <c r="G505" s="48">
        <v>33</v>
      </c>
      <c r="H505" s="48">
        <v>477</v>
      </c>
      <c r="I505" s="48">
        <v>94</v>
      </c>
      <c r="J505" s="48">
        <v>38</v>
      </c>
      <c r="K505" s="48">
        <v>523</v>
      </c>
      <c r="L505" s="48">
        <v>117.5</v>
      </c>
      <c r="M505" s="48">
        <v>15</v>
      </c>
      <c r="N505" s="48">
        <v>281</v>
      </c>
      <c r="O505" s="48">
        <v>69</v>
      </c>
      <c r="P505" s="48">
        <v>27</v>
      </c>
      <c r="Q505" s="48">
        <v>452</v>
      </c>
      <c r="R505" s="48">
        <v>88</v>
      </c>
      <c r="S505" s="48">
        <v>16</v>
      </c>
      <c r="T505" s="48">
        <v>240</v>
      </c>
      <c r="U505" s="48">
        <v>46</v>
      </c>
      <c r="V505" s="48">
        <v>57</v>
      </c>
      <c r="W505" s="48">
        <v>909</v>
      </c>
      <c r="X505" s="48">
        <v>520.5</v>
      </c>
      <c r="Y505" s="48">
        <v>36</v>
      </c>
      <c r="Z505" s="48">
        <v>502</v>
      </c>
    </row>
    <row r="506" spans="1:26" ht="15" hidden="1" customHeight="1">
      <c r="A506" s="48" t="s">
        <v>1100</v>
      </c>
      <c r="B506" s="48" t="s">
        <v>1100</v>
      </c>
      <c r="C506" s="48" t="s">
        <v>1101</v>
      </c>
      <c r="D506" s="48" t="s">
        <v>50</v>
      </c>
      <c r="E506" s="48" t="s">
        <v>97</v>
      </c>
      <c r="F506" s="48">
        <v>99</v>
      </c>
      <c r="G506" s="48">
        <v>45</v>
      </c>
      <c r="H506" s="48">
        <v>754</v>
      </c>
      <c r="I506" s="48">
        <v>115</v>
      </c>
      <c r="J506" s="48">
        <v>11</v>
      </c>
      <c r="K506" s="48">
        <v>195</v>
      </c>
      <c r="L506" s="48">
        <v>110</v>
      </c>
      <c r="M506" s="48">
        <v>26</v>
      </c>
      <c r="N506" s="48">
        <v>478</v>
      </c>
      <c r="O506" s="48">
        <v>63</v>
      </c>
      <c r="P506" s="48">
        <v>31</v>
      </c>
      <c r="Q506" s="48">
        <v>581</v>
      </c>
      <c r="R506" s="48">
        <v>71</v>
      </c>
      <c r="S506" s="48">
        <v>47</v>
      </c>
      <c r="T506" s="48">
        <v>773</v>
      </c>
      <c r="U506" s="48">
        <v>62</v>
      </c>
      <c r="V506" s="48">
        <v>42</v>
      </c>
      <c r="W506" s="48">
        <v>657</v>
      </c>
      <c r="X506" s="48">
        <v>520</v>
      </c>
      <c r="Y506" s="48">
        <v>29</v>
      </c>
      <c r="Z506" s="48">
        <v>503</v>
      </c>
    </row>
    <row r="507" spans="1:26" ht="15" hidden="1" customHeight="1">
      <c r="A507" s="48" t="s">
        <v>1102</v>
      </c>
      <c r="B507" s="48" t="s">
        <v>1102</v>
      </c>
      <c r="C507" s="48" t="s">
        <v>1103</v>
      </c>
      <c r="D507" s="48" t="s">
        <v>50</v>
      </c>
      <c r="E507" s="48" t="s">
        <v>169</v>
      </c>
      <c r="F507" s="48">
        <v>101</v>
      </c>
      <c r="G507" s="48">
        <v>46</v>
      </c>
      <c r="H507" s="48">
        <v>688</v>
      </c>
      <c r="I507" s="48">
        <v>88</v>
      </c>
      <c r="J507" s="48">
        <v>32</v>
      </c>
      <c r="K507" s="48">
        <v>601</v>
      </c>
      <c r="L507" s="48">
        <v>101</v>
      </c>
      <c r="M507" s="48">
        <v>40</v>
      </c>
      <c r="N507" s="48">
        <v>661</v>
      </c>
      <c r="O507" s="48">
        <v>60</v>
      </c>
      <c r="P507" s="48">
        <v>37</v>
      </c>
      <c r="Q507" s="48">
        <v>647</v>
      </c>
      <c r="R507" s="48">
        <v>89</v>
      </c>
      <c r="S507" s="48">
        <v>7</v>
      </c>
      <c r="T507" s="48">
        <v>200</v>
      </c>
      <c r="U507" s="48">
        <v>81</v>
      </c>
      <c r="V507" s="48">
        <v>3</v>
      </c>
      <c r="W507" s="48">
        <v>66</v>
      </c>
      <c r="X507" s="48">
        <v>520</v>
      </c>
      <c r="Y507" s="48">
        <v>29</v>
      </c>
      <c r="Z507" s="48">
        <v>503</v>
      </c>
    </row>
    <row r="508" spans="1:26" ht="15" hidden="1" customHeight="1">
      <c r="A508" s="48" t="s">
        <v>1104</v>
      </c>
      <c r="B508" s="48" t="s">
        <v>1104</v>
      </c>
      <c r="C508" s="48" t="s">
        <v>1105</v>
      </c>
      <c r="D508" s="48" t="s">
        <v>50</v>
      </c>
      <c r="E508" s="48" t="s">
        <v>296</v>
      </c>
      <c r="F508" s="48">
        <v>87</v>
      </c>
      <c r="G508" s="48">
        <v>55</v>
      </c>
      <c r="H508" s="48">
        <v>922</v>
      </c>
      <c r="I508" s="48">
        <v>105</v>
      </c>
      <c r="J508" s="48">
        <v>18</v>
      </c>
      <c r="K508" s="48">
        <v>340</v>
      </c>
      <c r="L508" s="48">
        <v>100</v>
      </c>
      <c r="M508" s="48">
        <v>39</v>
      </c>
      <c r="N508" s="48">
        <v>680</v>
      </c>
      <c r="O508" s="48">
        <v>82</v>
      </c>
      <c r="P508" s="48">
        <v>6</v>
      </c>
      <c r="Q508" s="48">
        <v>171</v>
      </c>
      <c r="R508" s="48">
        <v>83</v>
      </c>
      <c r="S508" s="48">
        <v>20</v>
      </c>
      <c r="T508" s="48">
        <v>407</v>
      </c>
      <c r="U508" s="48">
        <v>63</v>
      </c>
      <c r="V508" s="48">
        <v>26</v>
      </c>
      <c r="W508" s="48">
        <v>625</v>
      </c>
      <c r="X508" s="48">
        <v>520</v>
      </c>
      <c r="Y508" s="48">
        <v>25</v>
      </c>
      <c r="Z508" s="48">
        <v>503</v>
      </c>
    </row>
    <row r="509" spans="1:26" ht="15" hidden="1" customHeight="1">
      <c r="A509" s="48" t="s">
        <v>1106</v>
      </c>
      <c r="B509" s="48" t="s">
        <v>1106</v>
      </c>
      <c r="C509" s="48" t="s">
        <v>1107</v>
      </c>
      <c r="D509" s="48" t="s">
        <v>50</v>
      </c>
      <c r="E509" s="48" t="s">
        <v>84</v>
      </c>
      <c r="F509" s="48">
        <v>104</v>
      </c>
      <c r="G509" s="48">
        <v>32</v>
      </c>
      <c r="H509" s="48">
        <v>573</v>
      </c>
      <c r="I509" s="48">
        <v>121</v>
      </c>
      <c r="J509" s="48">
        <v>9</v>
      </c>
      <c r="K509" s="48">
        <v>131</v>
      </c>
      <c r="L509" s="48">
        <v>118.5</v>
      </c>
      <c r="M509" s="48">
        <v>13</v>
      </c>
      <c r="N509" s="48">
        <v>247</v>
      </c>
      <c r="O509" s="48">
        <v>51</v>
      </c>
      <c r="P509" s="48">
        <v>51</v>
      </c>
      <c r="Q509" s="48">
        <v>812</v>
      </c>
      <c r="R509" s="48">
        <v>67</v>
      </c>
      <c r="S509" s="48">
        <v>47</v>
      </c>
      <c r="T509" s="48">
        <v>837</v>
      </c>
      <c r="U509" s="48">
        <v>58</v>
      </c>
      <c r="V509" s="48">
        <v>48</v>
      </c>
      <c r="W509" s="48">
        <v>754</v>
      </c>
      <c r="X509" s="48">
        <v>519.5</v>
      </c>
      <c r="Y509" s="48">
        <v>27</v>
      </c>
      <c r="Z509" s="48">
        <v>506</v>
      </c>
    </row>
    <row r="510" spans="1:26" ht="15" hidden="1" customHeight="1">
      <c r="A510" s="48" t="s">
        <v>1108</v>
      </c>
      <c r="B510" s="48" t="s">
        <v>1108</v>
      </c>
      <c r="C510" s="48" t="s">
        <v>1109</v>
      </c>
      <c r="D510" s="48" t="s">
        <v>50</v>
      </c>
      <c r="E510" s="48" t="s">
        <v>210</v>
      </c>
      <c r="F510" s="48">
        <v>113</v>
      </c>
      <c r="G510" s="48">
        <v>9</v>
      </c>
      <c r="H510" s="48">
        <v>196</v>
      </c>
      <c r="I510" s="48">
        <v>88</v>
      </c>
      <c r="J510" s="48">
        <v>37</v>
      </c>
      <c r="K510" s="48">
        <v>601</v>
      </c>
      <c r="L510" s="48">
        <v>88.5</v>
      </c>
      <c r="M510" s="48">
        <v>50</v>
      </c>
      <c r="N510" s="48">
        <v>848</v>
      </c>
      <c r="O510" s="48">
        <v>77</v>
      </c>
      <c r="P510" s="48">
        <v>14</v>
      </c>
      <c r="Q510" s="48">
        <v>278</v>
      </c>
      <c r="R510" s="48">
        <v>82</v>
      </c>
      <c r="S510" s="48">
        <v>33</v>
      </c>
      <c r="T510" s="48">
        <v>452</v>
      </c>
      <c r="U510" s="48">
        <v>71</v>
      </c>
      <c r="V510" s="48">
        <v>17</v>
      </c>
      <c r="W510" s="48">
        <v>342</v>
      </c>
      <c r="X510" s="48">
        <v>519.5</v>
      </c>
      <c r="Y510" s="48">
        <v>32</v>
      </c>
      <c r="Z510" s="48">
        <v>506</v>
      </c>
    </row>
    <row r="511" spans="1:26" ht="15" hidden="1" customHeight="1">
      <c r="A511" s="48" t="s">
        <v>1110</v>
      </c>
      <c r="B511" s="48" t="s">
        <v>1110</v>
      </c>
      <c r="C511" s="48" t="s">
        <v>1111</v>
      </c>
      <c r="D511" s="48" t="s">
        <v>50</v>
      </c>
      <c r="E511" s="48" t="s">
        <v>84</v>
      </c>
      <c r="F511" s="48">
        <v>104</v>
      </c>
      <c r="G511" s="48">
        <v>32</v>
      </c>
      <c r="H511" s="48">
        <v>573</v>
      </c>
      <c r="I511" s="48">
        <v>81</v>
      </c>
      <c r="J511" s="48">
        <v>40</v>
      </c>
      <c r="K511" s="48">
        <v>688</v>
      </c>
      <c r="L511" s="48">
        <v>105</v>
      </c>
      <c r="M511" s="48">
        <v>39</v>
      </c>
      <c r="N511" s="48">
        <v>578</v>
      </c>
      <c r="O511" s="48">
        <v>80</v>
      </c>
      <c r="P511" s="48">
        <v>11</v>
      </c>
      <c r="Q511" s="48">
        <v>211</v>
      </c>
      <c r="R511" s="48">
        <v>79</v>
      </c>
      <c r="S511" s="48">
        <v>29</v>
      </c>
      <c r="T511" s="48">
        <v>539</v>
      </c>
      <c r="U511" s="48">
        <v>70</v>
      </c>
      <c r="V511" s="48">
        <v>19</v>
      </c>
      <c r="W511" s="48">
        <v>380</v>
      </c>
      <c r="X511" s="48">
        <v>519</v>
      </c>
      <c r="Y511" s="48">
        <v>28</v>
      </c>
      <c r="Z511" s="48">
        <v>508</v>
      </c>
    </row>
    <row r="512" spans="1:26" ht="15" hidden="1" customHeight="1">
      <c r="A512" s="48" t="s">
        <v>1112</v>
      </c>
      <c r="B512" s="48" t="s">
        <v>1112</v>
      </c>
      <c r="C512" s="48" t="s">
        <v>1113</v>
      </c>
      <c r="D512" s="48" t="s">
        <v>50</v>
      </c>
      <c r="E512" s="48" t="s">
        <v>203</v>
      </c>
      <c r="F512" s="48">
        <v>120</v>
      </c>
      <c r="G512" s="48">
        <v>3</v>
      </c>
      <c r="H512" s="48">
        <v>43</v>
      </c>
      <c r="I512" s="48">
        <v>87</v>
      </c>
      <c r="J512" s="48">
        <v>29</v>
      </c>
      <c r="K512" s="48">
        <v>614</v>
      </c>
      <c r="L512" s="48">
        <v>99</v>
      </c>
      <c r="M512" s="48">
        <v>39</v>
      </c>
      <c r="N512" s="48">
        <v>707</v>
      </c>
      <c r="O512" s="48">
        <v>48</v>
      </c>
      <c r="P512" s="48">
        <v>53</v>
      </c>
      <c r="Q512" s="48">
        <v>854</v>
      </c>
      <c r="R512" s="48">
        <v>91</v>
      </c>
      <c r="S512" s="48">
        <v>11</v>
      </c>
      <c r="T512" s="48">
        <v>151</v>
      </c>
      <c r="U512" s="48">
        <v>74</v>
      </c>
      <c r="V512" s="48">
        <v>11</v>
      </c>
      <c r="W512" s="48">
        <v>247</v>
      </c>
      <c r="X512" s="48">
        <v>519</v>
      </c>
      <c r="Y512" s="48">
        <v>23</v>
      </c>
      <c r="Z512" s="48">
        <v>508</v>
      </c>
    </row>
    <row r="513" spans="1:26" ht="15" hidden="1" customHeight="1">
      <c r="A513" s="48" t="s">
        <v>1114</v>
      </c>
      <c r="B513" s="48" t="s">
        <v>1114</v>
      </c>
      <c r="C513" s="48" t="s">
        <v>1115</v>
      </c>
      <c r="D513" s="48" t="s">
        <v>50</v>
      </c>
      <c r="E513" s="48" t="s">
        <v>97</v>
      </c>
      <c r="F513" s="48">
        <v>104</v>
      </c>
      <c r="G513" s="48">
        <v>35</v>
      </c>
      <c r="H513" s="48">
        <v>573</v>
      </c>
      <c r="I513" s="48">
        <v>107</v>
      </c>
      <c r="J513" s="48">
        <v>16</v>
      </c>
      <c r="K513" s="48">
        <v>313</v>
      </c>
      <c r="L513" s="48">
        <v>93</v>
      </c>
      <c r="M513" s="48">
        <v>46</v>
      </c>
      <c r="N513" s="48">
        <v>796</v>
      </c>
      <c r="O513" s="48">
        <v>56</v>
      </c>
      <c r="P513" s="48">
        <v>41</v>
      </c>
      <c r="Q513" s="48">
        <v>731</v>
      </c>
      <c r="R513" s="48">
        <v>88</v>
      </c>
      <c r="S513" s="48">
        <v>12</v>
      </c>
      <c r="T513" s="48">
        <v>240</v>
      </c>
      <c r="U513" s="48">
        <v>71</v>
      </c>
      <c r="V513" s="48">
        <v>25</v>
      </c>
      <c r="W513" s="48">
        <v>342</v>
      </c>
      <c r="X513" s="48">
        <v>519</v>
      </c>
      <c r="Y513" s="48">
        <v>30</v>
      </c>
      <c r="Z513" s="48">
        <v>508</v>
      </c>
    </row>
    <row r="514" spans="1:26" ht="15" hidden="1" customHeight="1">
      <c r="A514" s="48" t="s">
        <v>1116</v>
      </c>
      <c r="B514" s="48" t="s">
        <v>1116</v>
      </c>
      <c r="C514" s="48" t="s">
        <v>1117</v>
      </c>
      <c r="D514" s="48" t="s">
        <v>50</v>
      </c>
      <c r="E514" s="48" t="s">
        <v>150</v>
      </c>
      <c r="F514" s="48">
        <v>109</v>
      </c>
      <c r="G514" s="48">
        <v>14</v>
      </c>
      <c r="H514" s="48">
        <v>353</v>
      </c>
      <c r="I514" s="48">
        <v>95</v>
      </c>
      <c r="J514" s="48">
        <v>40</v>
      </c>
      <c r="K514" s="48">
        <v>501</v>
      </c>
      <c r="L514" s="48">
        <v>106</v>
      </c>
      <c r="M514" s="48">
        <v>31</v>
      </c>
      <c r="N514" s="48">
        <v>558</v>
      </c>
      <c r="O514" s="48">
        <v>54</v>
      </c>
      <c r="P514" s="48">
        <v>45</v>
      </c>
      <c r="Q514" s="48">
        <v>766</v>
      </c>
      <c r="R514" s="48">
        <v>87</v>
      </c>
      <c r="S514" s="48">
        <v>17</v>
      </c>
      <c r="T514" s="48">
        <v>268</v>
      </c>
      <c r="U514" s="48">
        <v>68</v>
      </c>
      <c r="V514" s="48">
        <v>39</v>
      </c>
      <c r="W514" s="48">
        <v>452</v>
      </c>
      <c r="X514" s="48">
        <v>519</v>
      </c>
      <c r="Y514" s="48">
        <v>35</v>
      </c>
      <c r="Z514" s="48">
        <v>508</v>
      </c>
    </row>
    <row r="515" spans="1:26" ht="15" hidden="1" customHeight="1">
      <c r="A515" s="48" t="s">
        <v>1118</v>
      </c>
      <c r="B515" s="48" t="s">
        <v>1118</v>
      </c>
      <c r="C515" s="48" t="s">
        <v>1119</v>
      </c>
      <c r="D515" s="48" t="s">
        <v>50</v>
      </c>
      <c r="E515" s="48" t="s">
        <v>172</v>
      </c>
      <c r="F515" s="48">
        <v>107</v>
      </c>
      <c r="G515" s="48">
        <v>22</v>
      </c>
      <c r="H515" s="48">
        <v>429</v>
      </c>
      <c r="I515" s="48">
        <v>105</v>
      </c>
      <c r="J515" s="48">
        <v>18</v>
      </c>
      <c r="K515" s="48">
        <v>340</v>
      </c>
      <c r="L515" s="48">
        <v>120</v>
      </c>
      <c r="M515" s="48">
        <v>11</v>
      </c>
      <c r="N515" s="48">
        <v>211</v>
      </c>
      <c r="O515" s="48">
        <v>49</v>
      </c>
      <c r="P515" s="48">
        <v>50</v>
      </c>
      <c r="Q515" s="48">
        <v>842</v>
      </c>
      <c r="R515" s="48">
        <v>81</v>
      </c>
      <c r="S515" s="48">
        <v>20</v>
      </c>
      <c r="T515" s="48">
        <v>474</v>
      </c>
      <c r="U515" s="48">
        <v>57</v>
      </c>
      <c r="V515" s="48">
        <v>47</v>
      </c>
      <c r="W515" s="48">
        <v>770</v>
      </c>
      <c r="X515" s="48">
        <v>519</v>
      </c>
      <c r="Y515" s="48">
        <v>26</v>
      </c>
      <c r="Z515" s="48">
        <v>508</v>
      </c>
    </row>
    <row r="516" spans="1:26" ht="15" hidden="1" customHeight="1">
      <c r="A516" s="48" t="s">
        <v>1120</v>
      </c>
      <c r="B516" s="48" t="s">
        <v>1120</v>
      </c>
      <c r="C516" s="48" t="s">
        <v>1121</v>
      </c>
      <c r="D516" s="48" t="s">
        <v>50</v>
      </c>
      <c r="E516" s="48" t="s">
        <v>92</v>
      </c>
      <c r="F516" s="48">
        <v>103</v>
      </c>
      <c r="G516" s="48">
        <v>26</v>
      </c>
      <c r="H516" s="48">
        <v>606</v>
      </c>
      <c r="I516" s="48">
        <v>97</v>
      </c>
      <c r="J516" s="48">
        <v>28</v>
      </c>
      <c r="K516" s="48">
        <v>474</v>
      </c>
      <c r="L516" s="48">
        <v>119.5</v>
      </c>
      <c r="M516" s="48">
        <v>11</v>
      </c>
      <c r="N516" s="48">
        <v>229</v>
      </c>
      <c r="O516" s="48">
        <v>62</v>
      </c>
      <c r="P516" s="48">
        <v>37</v>
      </c>
      <c r="Q516" s="48">
        <v>607</v>
      </c>
      <c r="R516" s="48">
        <v>70</v>
      </c>
      <c r="S516" s="48">
        <v>52</v>
      </c>
      <c r="T516" s="48">
        <v>787</v>
      </c>
      <c r="U516" s="48">
        <v>67</v>
      </c>
      <c r="V516" s="48">
        <v>33</v>
      </c>
      <c r="W516" s="48">
        <v>489</v>
      </c>
      <c r="X516" s="48">
        <v>518.5</v>
      </c>
      <c r="Y516" s="48">
        <v>29</v>
      </c>
      <c r="Z516" s="48">
        <v>513</v>
      </c>
    </row>
    <row r="517" spans="1:26" ht="15" hidden="1" customHeight="1">
      <c r="A517" s="48" t="s">
        <v>1122</v>
      </c>
      <c r="B517" s="48" t="s">
        <v>1122</v>
      </c>
      <c r="C517" s="48" t="s">
        <v>1123</v>
      </c>
      <c r="D517" s="48" t="s">
        <v>50</v>
      </c>
      <c r="E517" s="48" t="s">
        <v>84</v>
      </c>
      <c r="F517" s="48">
        <v>112</v>
      </c>
      <c r="G517" s="48">
        <v>11</v>
      </c>
      <c r="H517" s="48">
        <v>226</v>
      </c>
      <c r="I517" s="48">
        <v>93</v>
      </c>
      <c r="J517" s="48">
        <v>27</v>
      </c>
      <c r="K517" s="48">
        <v>540</v>
      </c>
      <c r="L517" s="48">
        <v>96.5</v>
      </c>
      <c r="M517" s="48">
        <v>48</v>
      </c>
      <c r="N517" s="48">
        <v>750</v>
      </c>
      <c r="O517" s="48">
        <v>73</v>
      </c>
      <c r="P517" s="48">
        <v>23</v>
      </c>
      <c r="Q517" s="48">
        <v>370</v>
      </c>
      <c r="R517" s="48">
        <v>83</v>
      </c>
      <c r="S517" s="48">
        <v>20</v>
      </c>
      <c r="T517" s="48">
        <v>407</v>
      </c>
      <c r="U517" s="48">
        <v>61</v>
      </c>
      <c r="V517" s="48">
        <v>42</v>
      </c>
      <c r="W517" s="48">
        <v>686</v>
      </c>
      <c r="X517" s="48">
        <v>518.5</v>
      </c>
      <c r="Y517" s="48">
        <v>29</v>
      </c>
      <c r="Z517" s="48">
        <v>513</v>
      </c>
    </row>
    <row r="518" spans="1:26" ht="15" hidden="1" customHeight="1">
      <c r="A518" s="48" t="s">
        <v>1124</v>
      </c>
      <c r="B518" s="48" t="s">
        <v>1124</v>
      </c>
      <c r="C518" s="48" t="s">
        <v>1125</v>
      </c>
      <c r="D518" s="48" t="s">
        <v>50</v>
      </c>
      <c r="E518" s="48" t="s">
        <v>203</v>
      </c>
      <c r="F518" s="48">
        <v>101</v>
      </c>
      <c r="G518" s="48">
        <v>41</v>
      </c>
      <c r="H518" s="48">
        <v>688</v>
      </c>
      <c r="I518" s="48">
        <v>84</v>
      </c>
      <c r="J518" s="48">
        <v>31</v>
      </c>
      <c r="K518" s="48">
        <v>658</v>
      </c>
      <c r="L518" s="48">
        <v>88</v>
      </c>
      <c r="M518" s="48">
        <v>52</v>
      </c>
      <c r="N518" s="48">
        <v>852</v>
      </c>
      <c r="O518" s="48">
        <v>78</v>
      </c>
      <c r="P518" s="48">
        <v>14</v>
      </c>
      <c r="Q518" s="48">
        <v>256</v>
      </c>
      <c r="R518" s="48">
        <v>85</v>
      </c>
      <c r="S518" s="48">
        <v>21</v>
      </c>
      <c r="T518" s="48">
        <v>339</v>
      </c>
      <c r="U518" s="48">
        <v>82</v>
      </c>
      <c r="V518" s="48">
        <v>2</v>
      </c>
      <c r="W518" s="48">
        <v>46</v>
      </c>
      <c r="X518" s="48">
        <v>518</v>
      </c>
      <c r="Y518" s="48">
        <v>24</v>
      </c>
      <c r="Z518" s="48">
        <v>515</v>
      </c>
    </row>
    <row r="519" spans="1:26" ht="15" hidden="1" customHeight="1">
      <c r="A519" s="48" t="s">
        <v>1126</v>
      </c>
      <c r="B519" s="48" t="s">
        <v>1126</v>
      </c>
      <c r="C519" s="48" t="s">
        <v>1127</v>
      </c>
      <c r="D519" s="48" t="s">
        <v>50</v>
      </c>
      <c r="E519" s="48" t="s">
        <v>97</v>
      </c>
      <c r="F519" s="48">
        <v>103</v>
      </c>
      <c r="G519" s="48">
        <v>39</v>
      </c>
      <c r="H519" s="48">
        <v>606</v>
      </c>
      <c r="I519" s="48">
        <v>109</v>
      </c>
      <c r="J519" s="48">
        <v>13</v>
      </c>
      <c r="K519" s="48">
        <v>278</v>
      </c>
      <c r="L519" s="48">
        <v>108</v>
      </c>
      <c r="M519" s="48">
        <v>29</v>
      </c>
      <c r="N519" s="48">
        <v>519</v>
      </c>
      <c r="O519" s="48">
        <v>50</v>
      </c>
      <c r="P519" s="48">
        <v>46</v>
      </c>
      <c r="Q519" s="48">
        <v>826</v>
      </c>
      <c r="R519" s="48">
        <v>77</v>
      </c>
      <c r="S519" s="48">
        <v>39</v>
      </c>
      <c r="T519" s="48">
        <v>608</v>
      </c>
      <c r="U519" s="48">
        <v>71</v>
      </c>
      <c r="V519" s="48">
        <v>25</v>
      </c>
      <c r="W519" s="48">
        <v>342</v>
      </c>
      <c r="X519" s="48">
        <v>518</v>
      </c>
      <c r="Y519" s="48">
        <v>31</v>
      </c>
      <c r="Z519" s="48">
        <v>515</v>
      </c>
    </row>
    <row r="520" spans="1:26" ht="15" hidden="1" customHeight="1">
      <c r="A520" s="48" t="s">
        <v>1128</v>
      </c>
      <c r="B520" s="48" t="s">
        <v>1128</v>
      </c>
      <c r="C520" s="48" t="s">
        <v>1129</v>
      </c>
      <c r="D520" s="48" t="s">
        <v>50</v>
      </c>
      <c r="E520" s="48" t="s">
        <v>92</v>
      </c>
      <c r="F520" s="48">
        <v>103</v>
      </c>
      <c r="G520" s="48">
        <v>26</v>
      </c>
      <c r="H520" s="48">
        <v>606</v>
      </c>
      <c r="I520" s="48">
        <v>80</v>
      </c>
      <c r="J520" s="48">
        <v>42</v>
      </c>
      <c r="K520" s="48">
        <v>699</v>
      </c>
      <c r="L520" s="48">
        <v>98</v>
      </c>
      <c r="M520" s="48">
        <v>39</v>
      </c>
      <c r="N520" s="48">
        <v>728</v>
      </c>
      <c r="O520" s="48">
        <v>73</v>
      </c>
      <c r="P520" s="48">
        <v>20</v>
      </c>
      <c r="Q520" s="48">
        <v>370</v>
      </c>
      <c r="R520" s="48">
        <v>89</v>
      </c>
      <c r="S520" s="48">
        <v>10</v>
      </c>
      <c r="T520" s="48">
        <v>200</v>
      </c>
      <c r="U520" s="48">
        <v>75</v>
      </c>
      <c r="V520" s="48">
        <v>17</v>
      </c>
      <c r="W520" s="48">
        <v>219</v>
      </c>
      <c r="X520" s="48">
        <v>518</v>
      </c>
      <c r="Y520" s="48">
        <v>30</v>
      </c>
      <c r="Z520" s="48">
        <v>515</v>
      </c>
    </row>
    <row r="521" spans="1:26" ht="15" hidden="1" customHeight="1">
      <c r="A521" s="48" t="s">
        <v>1130</v>
      </c>
      <c r="B521" s="48" t="s">
        <v>1130</v>
      </c>
      <c r="C521" s="48" t="s">
        <v>1131</v>
      </c>
      <c r="D521" s="48" t="s">
        <v>50</v>
      </c>
      <c r="E521" s="48" t="s">
        <v>97</v>
      </c>
      <c r="F521" s="48">
        <v>108</v>
      </c>
      <c r="G521" s="48">
        <v>23</v>
      </c>
      <c r="H521" s="48">
        <v>391</v>
      </c>
      <c r="I521" s="48">
        <v>97</v>
      </c>
      <c r="J521" s="48">
        <v>28</v>
      </c>
      <c r="K521" s="48">
        <v>474</v>
      </c>
      <c r="L521" s="48">
        <v>120.5</v>
      </c>
      <c r="M521" s="48">
        <v>11</v>
      </c>
      <c r="N521" s="48">
        <v>192</v>
      </c>
      <c r="O521" s="48">
        <v>54</v>
      </c>
      <c r="P521" s="48">
        <v>43</v>
      </c>
      <c r="Q521" s="48">
        <v>766</v>
      </c>
      <c r="R521" s="48">
        <v>85</v>
      </c>
      <c r="S521" s="48">
        <v>21</v>
      </c>
      <c r="T521" s="48">
        <v>339</v>
      </c>
      <c r="U521" s="48">
        <v>53</v>
      </c>
      <c r="V521" s="48">
        <v>54</v>
      </c>
      <c r="W521" s="48">
        <v>832</v>
      </c>
      <c r="X521" s="48">
        <v>517.5</v>
      </c>
      <c r="Y521" s="48">
        <v>32</v>
      </c>
      <c r="Z521" s="48">
        <v>518</v>
      </c>
    </row>
    <row r="522" spans="1:26" ht="15" hidden="1" customHeight="1">
      <c r="A522" s="48" t="s">
        <v>1132</v>
      </c>
      <c r="B522" s="48" t="s">
        <v>1132</v>
      </c>
      <c r="C522" s="48" t="s">
        <v>1133</v>
      </c>
      <c r="D522" s="48" t="s">
        <v>50</v>
      </c>
      <c r="E522" s="48" t="s">
        <v>92</v>
      </c>
      <c r="F522" s="48">
        <v>91</v>
      </c>
      <c r="G522" s="48">
        <v>49</v>
      </c>
      <c r="H522" s="48">
        <v>890</v>
      </c>
      <c r="I522" s="48">
        <v>82</v>
      </c>
      <c r="J522" s="48">
        <v>39</v>
      </c>
      <c r="K522" s="48">
        <v>676</v>
      </c>
      <c r="L522" s="48">
        <v>120.5</v>
      </c>
      <c r="M522" s="48">
        <v>8</v>
      </c>
      <c r="N522" s="48">
        <v>192</v>
      </c>
      <c r="O522" s="48">
        <v>70</v>
      </c>
      <c r="P522" s="48">
        <v>23</v>
      </c>
      <c r="Q522" s="48">
        <v>429</v>
      </c>
      <c r="R522" s="48">
        <v>93</v>
      </c>
      <c r="S522" s="48">
        <v>3</v>
      </c>
      <c r="T522" s="48">
        <v>93</v>
      </c>
      <c r="U522" s="48">
        <v>61</v>
      </c>
      <c r="V522" s="48">
        <v>44</v>
      </c>
      <c r="W522" s="48">
        <v>686</v>
      </c>
      <c r="X522" s="48">
        <v>517.5</v>
      </c>
      <c r="Y522" s="48">
        <v>31</v>
      </c>
      <c r="Z522" s="48">
        <v>518</v>
      </c>
    </row>
    <row r="523" spans="1:26" ht="15" hidden="1" customHeight="1">
      <c r="A523" s="48" t="s">
        <v>1134</v>
      </c>
      <c r="B523" s="48" t="s">
        <v>1134</v>
      </c>
      <c r="C523" s="48" t="s">
        <v>1135</v>
      </c>
      <c r="D523" s="48" t="s">
        <v>50</v>
      </c>
      <c r="E523" s="48" t="s">
        <v>217</v>
      </c>
      <c r="F523" s="48">
        <v>98</v>
      </c>
      <c r="G523" s="48">
        <v>42</v>
      </c>
      <c r="H523" s="48">
        <v>774</v>
      </c>
      <c r="I523" s="48">
        <v>98</v>
      </c>
      <c r="J523" s="48">
        <v>29</v>
      </c>
      <c r="K523" s="48">
        <v>458</v>
      </c>
      <c r="L523" s="48">
        <v>103.5</v>
      </c>
      <c r="M523" s="48">
        <v>29</v>
      </c>
      <c r="N523" s="48">
        <v>612</v>
      </c>
      <c r="O523" s="48">
        <v>75</v>
      </c>
      <c r="P523" s="48">
        <v>19</v>
      </c>
      <c r="Q523" s="48">
        <v>324</v>
      </c>
      <c r="R523" s="48">
        <v>85</v>
      </c>
      <c r="S523" s="48">
        <v>12</v>
      </c>
      <c r="T523" s="48">
        <v>339</v>
      </c>
      <c r="U523" s="48">
        <v>58</v>
      </c>
      <c r="V523" s="48">
        <v>45</v>
      </c>
      <c r="W523" s="48">
        <v>754</v>
      </c>
      <c r="X523" s="48">
        <v>517.5</v>
      </c>
      <c r="Y523" s="48">
        <v>23</v>
      </c>
      <c r="Z523" s="48">
        <v>518</v>
      </c>
    </row>
    <row r="524" spans="1:26" ht="15" hidden="1" customHeight="1">
      <c r="A524" s="48" t="s">
        <v>1136</v>
      </c>
      <c r="B524" s="48" t="s">
        <v>1136</v>
      </c>
      <c r="C524" s="48" t="s">
        <v>1137</v>
      </c>
      <c r="D524" s="48" t="s">
        <v>50</v>
      </c>
      <c r="E524" s="48" t="s">
        <v>210</v>
      </c>
      <c r="F524" s="48">
        <v>110</v>
      </c>
      <c r="G524" s="48">
        <v>20</v>
      </c>
      <c r="H524" s="48">
        <v>310</v>
      </c>
      <c r="I524" s="48">
        <v>105</v>
      </c>
      <c r="J524" s="48">
        <v>22</v>
      </c>
      <c r="K524" s="48">
        <v>340</v>
      </c>
      <c r="L524" s="48">
        <v>86.5</v>
      </c>
      <c r="M524" s="48">
        <v>51</v>
      </c>
      <c r="N524" s="48">
        <v>863</v>
      </c>
      <c r="O524" s="48">
        <v>68</v>
      </c>
      <c r="P524" s="48">
        <v>27</v>
      </c>
      <c r="Q524" s="48">
        <v>474</v>
      </c>
      <c r="R524" s="48">
        <v>86</v>
      </c>
      <c r="S524" s="48">
        <v>20</v>
      </c>
      <c r="T524" s="48">
        <v>304</v>
      </c>
      <c r="U524" s="48">
        <v>62</v>
      </c>
      <c r="V524" s="48">
        <v>36</v>
      </c>
      <c r="W524" s="48">
        <v>657</v>
      </c>
      <c r="X524" s="48">
        <v>517.5</v>
      </c>
      <c r="Y524" s="48">
        <v>33</v>
      </c>
      <c r="Z524" s="48">
        <v>518</v>
      </c>
    </row>
    <row r="525" spans="1:26" ht="15" hidden="1" customHeight="1">
      <c r="A525" s="48" t="s">
        <v>1138</v>
      </c>
      <c r="B525" s="48" t="s">
        <v>1138</v>
      </c>
      <c r="C525" s="48" t="s">
        <v>1139</v>
      </c>
      <c r="D525" s="48" t="s">
        <v>50</v>
      </c>
      <c r="E525" s="48" t="s">
        <v>240</v>
      </c>
      <c r="F525" s="48">
        <v>100</v>
      </c>
      <c r="G525" s="48">
        <v>41</v>
      </c>
      <c r="H525" s="48">
        <v>715</v>
      </c>
      <c r="I525" s="48">
        <v>113</v>
      </c>
      <c r="J525" s="48">
        <v>12</v>
      </c>
      <c r="K525" s="48">
        <v>224</v>
      </c>
      <c r="L525" s="48">
        <v>87.5</v>
      </c>
      <c r="M525" s="48">
        <v>55</v>
      </c>
      <c r="N525" s="48">
        <v>855</v>
      </c>
      <c r="O525" s="48">
        <v>71</v>
      </c>
      <c r="P525" s="48">
        <v>24</v>
      </c>
      <c r="Q525" s="48">
        <v>411</v>
      </c>
      <c r="R525" s="48">
        <v>82</v>
      </c>
      <c r="S525" s="48">
        <v>25</v>
      </c>
      <c r="T525" s="48">
        <v>452</v>
      </c>
      <c r="U525" s="48">
        <v>64</v>
      </c>
      <c r="V525" s="48">
        <v>37</v>
      </c>
      <c r="W525" s="48">
        <v>593</v>
      </c>
      <c r="X525" s="48">
        <v>517.5</v>
      </c>
      <c r="Y525" s="48">
        <v>35</v>
      </c>
      <c r="Z525" s="48">
        <v>518</v>
      </c>
    </row>
    <row r="526" spans="1:26" ht="15" hidden="1" customHeight="1">
      <c r="A526" s="48" t="s">
        <v>1140</v>
      </c>
      <c r="B526" s="48" t="s">
        <v>1140</v>
      </c>
      <c r="C526" s="48" t="s">
        <v>1141</v>
      </c>
      <c r="D526" s="48" t="s">
        <v>50</v>
      </c>
      <c r="E526" s="48" t="s">
        <v>169</v>
      </c>
      <c r="F526" s="48">
        <v>103</v>
      </c>
      <c r="G526" s="48">
        <v>37</v>
      </c>
      <c r="H526" s="48">
        <v>606</v>
      </c>
      <c r="I526" s="48">
        <v>86</v>
      </c>
      <c r="J526" s="48">
        <v>34</v>
      </c>
      <c r="K526" s="48">
        <v>626</v>
      </c>
      <c r="L526" s="48">
        <v>108.5</v>
      </c>
      <c r="M526" s="48">
        <v>30</v>
      </c>
      <c r="N526" s="48">
        <v>508</v>
      </c>
      <c r="O526" s="48">
        <v>78</v>
      </c>
      <c r="P526" s="48">
        <v>15</v>
      </c>
      <c r="Q526" s="48">
        <v>256</v>
      </c>
      <c r="R526" s="48">
        <v>80</v>
      </c>
      <c r="S526" s="48">
        <v>26</v>
      </c>
      <c r="T526" s="48">
        <v>511</v>
      </c>
      <c r="U526" s="48">
        <v>62</v>
      </c>
      <c r="V526" s="48">
        <v>38</v>
      </c>
      <c r="W526" s="48">
        <v>657</v>
      </c>
      <c r="X526" s="48">
        <v>517.5</v>
      </c>
      <c r="Y526" s="48">
        <v>30</v>
      </c>
      <c r="Z526" s="48">
        <v>518</v>
      </c>
    </row>
    <row r="527" spans="1:26" ht="15" hidden="1" customHeight="1">
      <c r="A527" s="48" t="s">
        <v>1142</v>
      </c>
      <c r="B527" s="48" t="s">
        <v>1142</v>
      </c>
      <c r="C527" s="48" t="s">
        <v>1143</v>
      </c>
      <c r="D527" s="48" t="s">
        <v>50</v>
      </c>
      <c r="E527" s="48" t="s">
        <v>111</v>
      </c>
      <c r="F527" s="48">
        <v>114</v>
      </c>
      <c r="G527" s="48">
        <v>8</v>
      </c>
      <c r="H527" s="48">
        <v>170</v>
      </c>
      <c r="I527" s="48">
        <v>99</v>
      </c>
      <c r="J527" s="48">
        <v>20</v>
      </c>
      <c r="K527" s="48">
        <v>436</v>
      </c>
      <c r="L527" s="48">
        <v>106</v>
      </c>
      <c r="M527" s="48">
        <v>32</v>
      </c>
      <c r="N527" s="48">
        <v>558</v>
      </c>
      <c r="O527" s="48">
        <v>68</v>
      </c>
      <c r="P527" s="48">
        <v>23</v>
      </c>
      <c r="Q527" s="48">
        <v>474</v>
      </c>
      <c r="R527" s="48">
        <v>70</v>
      </c>
      <c r="S527" s="48">
        <v>43</v>
      </c>
      <c r="T527" s="48">
        <v>787</v>
      </c>
      <c r="U527" s="48">
        <v>60</v>
      </c>
      <c r="V527" s="48">
        <v>37</v>
      </c>
      <c r="W527" s="48">
        <v>706</v>
      </c>
      <c r="X527" s="48">
        <v>517</v>
      </c>
      <c r="Y527" s="48">
        <v>23</v>
      </c>
      <c r="Z527" s="48">
        <v>524</v>
      </c>
    </row>
    <row r="528" spans="1:26" ht="15" hidden="1" customHeight="1">
      <c r="A528" s="48" t="s">
        <v>1144</v>
      </c>
      <c r="B528" s="48" t="s">
        <v>1144</v>
      </c>
      <c r="C528" s="48" t="s">
        <v>1145</v>
      </c>
      <c r="D528" s="48" t="s">
        <v>50</v>
      </c>
      <c r="E528" s="48" t="s">
        <v>84</v>
      </c>
      <c r="F528" s="48">
        <v>102</v>
      </c>
      <c r="G528" s="48">
        <v>36</v>
      </c>
      <c r="H528" s="48">
        <v>655</v>
      </c>
      <c r="I528" s="48">
        <v>99</v>
      </c>
      <c r="J528" s="48">
        <v>20</v>
      </c>
      <c r="K528" s="48">
        <v>436</v>
      </c>
      <c r="L528" s="48">
        <v>99</v>
      </c>
      <c r="M528" s="48">
        <v>46</v>
      </c>
      <c r="N528" s="48">
        <v>707</v>
      </c>
      <c r="O528" s="48">
        <v>68</v>
      </c>
      <c r="P528" s="48">
        <v>28</v>
      </c>
      <c r="Q528" s="48">
        <v>474</v>
      </c>
      <c r="R528" s="48">
        <v>80</v>
      </c>
      <c r="S528" s="48">
        <v>27</v>
      </c>
      <c r="T528" s="48">
        <v>511</v>
      </c>
      <c r="U528" s="48">
        <v>69</v>
      </c>
      <c r="V528" s="48">
        <v>23</v>
      </c>
      <c r="W528" s="48">
        <v>420</v>
      </c>
      <c r="X528" s="48">
        <v>517</v>
      </c>
      <c r="Y528" s="48">
        <v>30</v>
      </c>
      <c r="Z528" s="48">
        <v>524</v>
      </c>
    </row>
    <row r="529" spans="1:26" ht="15" hidden="1" customHeight="1">
      <c r="A529" s="48" t="s">
        <v>1146</v>
      </c>
      <c r="B529" s="48" t="s">
        <v>1146</v>
      </c>
      <c r="C529" s="48" t="s">
        <v>1147</v>
      </c>
      <c r="D529" s="48" t="s">
        <v>50</v>
      </c>
      <c r="E529" s="48" t="s">
        <v>84</v>
      </c>
      <c r="F529" s="48">
        <v>114</v>
      </c>
      <c r="G529" s="48">
        <v>9</v>
      </c>
      <c r="H529" s="48">
        <v>170</v>
      </c>
      <c r="I529" s="48">
        <v>87</v>
      </c>
      <c r="J529" s="48">
        <v>35</v>
      </c>
      <c r="K529" s="48">
        <v>614</v>
      </c>
      <c r="L529" s="48">
        <v>112</v>
      </c>
      <c r="M529" s="48">
        <v>24</v>
      </c>
      <c r="N529" s="48">
        <v>413</v>
      </c>
      <c r="O529" s="48">
        <v>75</v>
      </c>
      <c r="P529" s="48">
        <v>18</v>
      </c>
      <c r="Q529" s="48">
        <v>324</v>
      </c>
      <c r="R529" s="48">
        <v>70</v>
      </c>
      <c r="S529" s="48">
        <v>45</v>
      </c>
      <c r="T529" s="48">
        <v>787</v>
      </c>
      <c r="U529" s="48">
        <v>59</v>
      </c>
      <c r="V529" s="48">
        <v>46</v>
      </c>
      <c r="W529" s="48">
        <v>729</v>
      </c>
      <c r="X529" s="48">
        <v>517</v>
      </c>
      <c r="Y529" s="48">
        <v>30</v>
      </c>
      <c r="Z529" s="48">
        <v>524</v>
      </c>
    </row>
    <row r="530" spans="1:26" ht="15" hidden="1" customHeight="1">
      <c r="A530" s="48" t="s">
        <v>1148</v>
      </c>
      <c r="B530" s="48" t="s">
        <v>1148</v>
      </c>
      <c r="C530" s="48" t="s">
        <v>1149</v>
      </c>
      <c r="D530" s="48" t="s">
        <v>50</v>
      </c>
      <c r="E530" s="48" t="s">
        <v>133</v>
      </c>
      <c r="F530" s="48">
        <v>114</v>
      </c>
      <c r="G530" s="48">
        <v>11</v>
      </c>
      <c r="H530" s="48">
        <v>170</v>
      </c>
      <c r="I530" s="48">
        <v>104</v>
      </c>
      <c r="J530" s="48">
        <v>27</v>
      </c>
      <c r="K530" s="48">
        <v>358</v>
      </c>
      <c r="L530" s="48">
        <v>102</v>
      </c>
      <c r="M530" s="48">
        <v>40</v>
      </c>
      <c r="N530" s="48">
        <v>642</v>
      </c>
      <c r="O530" s="48">
        <v>58</v>
      </c>
      <c r="P530" s="48">
        <v>40</v>
      </c>
      <c r="Q530" s="48">
        <v>698</v>
      </c>
      <c r="R530" s="48">
        <v>77</v>
      </c>
      <c r="S530" s="48">
        <v>43</v>
      </c>
      <c r="T530" s="48">
        <v>608</v>
      </c>
      <c r="U530" s="48">
        <v>62</v>
      </c>
      <c r="V530" s="48">
        <v>47</v>
      </c>
      <c r="W530" s="48">
        <v>657</v>
      </c>
      <c r="X530" s="48">
        <v>517</v>
      </c>
      <c r="Y530" s="48">
        <v>37</v>
      </c>
      <c r="Z530" s="48">
        <v>524</v>
      </c>
    </row>
    <row r="531" spans="1:26" ht="15" hidden="1" customHeight="1">
      <c r="A531" s="48" t="s">
        <v>1150</v>
      </c>
      <c r="B531" s="48" t="s">
        <v>1150</v>
      </c>
      <c r="C531" s="48" t="s">
        <v>1151</v>
      </c>
      <c r="D531" s="48" t="s">
        <v>50</v>
      </c>
      <c r="E531" s="48" t="s">
        <v>172</v>
      </c>
      <c r="F531" s="48">
        <v>115</v>
      </c>
      <c r="G531" s="48">
        <v>7</v>
      </c>
      <c r="H531" s="48">
        <v>140</v>
      </c>
      <c r="I531" s="48">
        <v>106</v>
      </c>
      <c r="J531" s="48">
        <v>15</v>
      </c>
      <c r="K531" s="48">
        <v>322</v>
      </c>
      <c r="L531" s="48">
        <v>89.5</v>
      </c>
      <c r="M531" s="48">
        <v>44</v>
      </c>
      <c r="N531" s="48">
        <v>836</v>
      </c>
      <c r="O531" s="48">
        <v>68</v>
      </c>
      <c r="P531" s="48">
        <v>27</v>
      </c>
      <c r="Q531" s="48">
        <v>474</v>
      </c>
      <c r="R531" s="48">
        <v>71</v>
      </c>
      <c r="S531" s="48">
        <v>44</v>
      </c>
      <c r="T531" s="48">
        <v>773</v>
      </c>
      <c r="U531" s="48">
        <v>67</v>
      </c>
      <c r="V531" s="48">
        <v>32</v>
      </c>
      <c r="W531" s="48">
        <v>489</v>
      </c>
      <c r="X531" s="48">
        <v>516.5</v>
      </c>
      <c r="Y531" s="48">
        <v>27</v>
      </c>
      <c r="Z531" s="48">
        <v>528</v>
      </c>
    </row>
    <row r="532" spans="1:26" ht="15" hidden="1" customHeight="1">
      <c r="A532" s="48" t="s">
        <v>1152</v>
      </c>
      <c r="B532" s="48" t="s">
        <v>1152</v>
      </c>
      <c r="C532" s="48" t="s">
        <v>1153</v>
      </c>
      <c r="D532" s="48" t="s">
        <v>50</v>
      </c>
      <c r="E532" s="48" t="s">
        <v>122</v>
      </c>
      <c r="F532" s="48">
        <v>100</v>
      </c>
      <c r="G532" s="48">
        <v>49</v>
      </c>
      <c r="H532" s="48">
        <v>715</v>
      </c>
      <c r="I532" s="48">
        <v>90</v>
      </c>
      <c r="J532" s="48">
        <v>46</v>
      </c>
      <c r="K532" s="48">
        <v>578</v>
      </c>
      <c r="L532" s="48">
        <v>110.5</v>
      </c>
      <c r="M532" s="48">
        <v>38</v>
      </c>
      <c r="N532" s="48">
        <v>465</v>
      </c>
      <c r="O532" s="48">
        <v>64</v>
      </c>
      <c r="P532" s="48">
        <v>42</v>
      </c>
      <c r="Q532" s="48">
        <v>559</v>
      </c>
      <c r="R532" s="48">
        <v>89</v>
      </c>
      <c r="S532" s="48">
        <v>29</v>
      </c>
      <c r="T532" s="48">
        <v>200</v>
      </c>
      <c r="U532" s="48">
        <v>63</v>
      </c>
      <c r="V532" s="48">
        <v>44</v>
      </c>
      <c r="W532" s="48">
        <v>625</v>
      </c>
      <c r="X532" s="48">
        <v>516.5</v>
      </c>
      <c r="Y532" s="48">
        <v>49</v>
      </c>
      <c r="Z532" s="48">
        <v>528</v>
      </c>
    </row>
    <row r="533" spans="1:26" ht="15" hidden="1" customHeight="1">
      <c r="A533" s="48" t="s">
        <v>1154</v>
      </c>
      <c r="B533" s="48" t="s">
        <v>1154</v>
      </c>
      <c r="C533" s="48" t="s">
        <v>1155</v>
      </c>
      <c r="D533" s="48" t="s">
        <v>50</v>
      </c>
      <c r="E533" s="48" t="s">
        <v>111</v>
      </c>
      <c r="F533" s="48">
        <v>109</v>
      </c>
      <c r="G533" s="48">
        <v>18</v>
      </c>
      <c r="H533" s="48">
        <v>353</v>
      </c>
      <c r="I533" s="48">
        <v>101</v>
      </c>
      <c r="J533" s="48">
        <v>18</v>
      </c>
      <c r="K533" s="48">
        <v>403</v>
      </c>
      <c r="L533" s="48">
        <v>111.5</v>
      </c>
      <c r="M533" s="48">
        <v>25</v>
      </c>
      <c r="N533" s="48">
        <v>427</v>
      </c>
      <c r="O533" s="48">
        <v>57</v>
      </c>
      <c r="P533" s="48">
        <v>39</v>
      </c>
      <c r="Q533" s="48">
        <v>713</v>
      </c>
      <c r="R533" s="48">
        <v>75</v>
      </c>
      <c r="S533" s="48">
        <v>36</v>
      </c>
      <c r="T533" s="48">
        <v>671</v>
      </c>
      <c r="U533" s="48">
        <v>63</v>
      </c>
      <c r="V533" s="48">
        <v>30</v>
      </c>
      <c r="W533" s="48">
        <v>625</v>
      </c>
      <c r="X533" s="48">
        <v>516.5</v>
      </c>
      <c r="Y533" s="48">
        <v>24</v>
      </c>
      <c r="Z533" s="48">
        <v>528</v>
      </c>
    </row>
    <row r="534" spans="1:26" ht="15" hidden="1" customHeight="1">
      <c r="A534" s="48" t="s">
        <v>1156</v>
      </c>
      <c r="B534" s="48" t="s">
        <v>1156</v>
      </c>
      <c r="C534" s="48" t="s">
        <v>1157</v>
      </c>
      <c r="D534" s="48" t="s">
        <v>50</v>
      </c>
      <c r="E534" s="48" t="s">
        <v>203</v>
      </c>
      <c r="F534" s="48">
        <v>109</v>
      </c>
      <c r="G534" s="48">
        <v>19</v>
      </c>
      <c r="H534" s="48">
        <v>353</v>
      </c>
      <c r="I534" s="48">
        <v>85</v>
      </c>
      <c r="J534" s="48">
        <v>30</v>
      </c>
      <c r="K534" s="48">
        <v>643</v>
      </c>
      <c r="L534" s="48">
        <v>122.5</v>
      </c>
      <c r="M534" s="48">
        <v>5</v>
      </c>
      <c r="N534" s="48">
        <v>146</v>
      </c>
      <c r="O534" s="48">
        <v>47</v>
      </c>
      <c r="P534" s="48">
        <v>54</v>
      </c>
      <c r="Q534" s="48">
        <v>863</v>
      </c>
      <c r="R534" s="48">
        <v>79</v>
      </c>
      <c r="S534" s="48">
        <v>28</v>
      </c>
      <c r="T534" s="48">
        <v>539</v>
      </c>
      <c r="U534" s="48">
        <v>74</v>
      </c>
      <c r="V534" s="48">
        <v>11</v>
      </c>
      <c r="W534" s="48">
        <v>247</v>
      </c>
      <c r="X534" s="48">
        <v>516.5</v>
      </c>
      <c r="Y534" s="48">
        <v>25</v>
      </c>
      <c r="Z534" s="48">
        <v>528</v>
      </c>
    </row>
    <row r="535" spans="1:26" ht="15" hidden="1" customHeight="1">
      <c r="A535" s="48" t="s">
        <v>1158</v>
      </c>
      <c r="B535" s="48" t="s">
        <v>1158</v>
      </c>
      <c r="C535" s="48" t="s">
        <v>1159</v>
      </c>
      <c r="D535" s="48" t="s">
        <v>50</v>
      </c>
      <c r="E535" s="48" t="s">
        <v>169</v>
      </c>
      <c r="F535" s="48">
        <v>91</v>
      </c>
      <c r="G535" s="48">
        <v>56</v>
      </c>
      <c r="H535" s="48">
        <v>890</v>
      </c>
      <c r="I535" s="48">
        <v>113</v>
      </c>
      <c r="J535" s="48">
        <v>13</v>
      </c>
      <c r="K535" s="48">
        <v>224</v>
      </c>
      <c r="L535" s="48">
        <v>93</v>
      </c>
      <c r="M535" s="48">
        <v>49</v>
      </c>
      <c r="N535" s="48">
        <v>796</v>
      </c>
      <c r="O535" s="48">
        <v>78</v>
      </c>
      <c r="P535" s="48">
        <v>15</v>
      </c>
      <c r="Q535" s="48">
        <v>256</v>
      </c>
      <c r="R535" s="48">
        <v>75</v>
      </c>
      <c r="S535" s="48">
        <v>36</v>
      </c>
      <c r="T535" s="48">
        <v>671</v>
      </c>
      <c r="U535" s="48">
        <v>66</v>
      </c>
      <c r="V535" s="48">
        <v>30</v>
      </c>
      <c r="W535" s="48">
        <v>519</v>
      </c>
      <c r="X535" s="48">
        <v>516</v>
      </c>
      <c r="Y535" s="48">
        <v>31</v>
      </c>
      <c r="Z535" s="48">
        <v>532</v>
      </c>
    </row>
    <row r="536" spans="1:26" ht="15" hidden="1" customHeight="1">
      <c r="A536" s="48" t="s">
        <v>1160</v>
      </c>
      <c r="B536" s="48" t="s">
        <v>1160</v>
      </c>
      <c r="C536" s="48" t="s">
        <v>1161</v>
      </c>
      <c r="D536" s="48" t="s">
        <v>50</v>
      </c>
      <c r="E536" s="48" t="s">
        <v>210</v>
      </c>
      <c r="F536" s="48">
        <v>98</v>
      </c>
      <c r="G536" s="48">
        <v>49</v>
      </c>
      <c r="H536" s="48">
        <v>774</v>
      </c>
      <c r="I536" s="48">
        <v>60</v>
      </c>
      <c r="J536" s="48">
        <v>55</v>
      </c>
      <c r="K536" s="48">
        <v>884</v>
      </c>
      <c r="L536" s="48">
        <v>135</v>
      </c>
      <c r="M536" s="48">
        <v>1</v>
      </c>
      <c r="N536" s="48">
        <v>8</v>
      </c>
      <c r="O536" s="48">
        <v>58</v>
      </c>
      <c r="P536" s="48">
        <v>47</v>
      </c>
      <c r="Q536" s="48">
        <v>698</v>
      </c>
      <c r="R536" s="48">
        <v>88</v>
      </c>
      <c r="S536" s="48">
        <v>15</v>
      </c>
      <c r="T536" s="48">
        <v>240</v>
      </c>
      <c r="U536" s="48">
        <v>77</v>
      </c>
      <c r="V536" s="48">
        <v>9</v>
      </c>
      <c r="W536" s="48">
        <v>162</v>
      </c>
      <c r="X536" s="48">
        <v>516</v>
      </c>
      <c r="Y536" s="48">
        <v>34</v>
      </c>
      <c r="Z536" s="48">
        <v>532</v>
      </c>
    </row>
    <row r="537" spans="1:26" ht="15" hidden="1" customHeight="1">
      <c r="A537" s="48" t="s">
        <v>1162</v>
      </c>
      <c r="B537" s="48" t="s">
        <v>1162</v>
      </c>
      <c r="C537" s="48" t="s">
        <v>1163</v>
      </c>
      <c r="D537" s="48" t="s">
        <v>50</v>
      </c>
      <c r="E537" s="48" t="s">
        <v>106</v>
      </c>
      <c r="F537" s="48">
        <v>105</v>
      </c>
      <c r="G537" s="48">
        <v>36</v>
      </c>
      <c r="H537" s="48">
        <v>515</v>
      </c>
      <c r="I537" s="48">
        <v>99</v>
      </c>
      <c r="J537" s="48">
        <v>22</v>
      </c>
      <c r="K537" s="48">
        <v>436</v>
      </c>
      <c r="L537" s="48">
        <v>104</v>
      </c>
      <c r="M537" s="48">
        <v>33</v>
      </c>
      <c r="N537" s="48">
        <v>600</v>
      </c>
      <c r="O537" s="48">
        <v>51</v>
      </c>
      <c r="P537" s="48">
        <v>49</v>
      </c>
      <c r="Q537" s="48">
        <v>812</v>
      </c>
      <c r="R537" s="48">
        <v>77</v>
      </c>
      <c r="S537" s="48">
        <v>27</v>
      </c>
      <c r="T537" s="48">
        <v>608</v>
      </c>
      <c r="U537" s="48">
        <v>80</v>
      </c>
      <c r="V537" s="48">
        <v>4</v>
      </c>
      <c r="W537" s="48">
        <v>85</v>
      </c>
      <c r="X537" s="48">
        <v>516</v>
      </c>
      <c r="Y537" s="48">
        <v>21</v>
      </c>
      <c r="Z537" s="48">
        <v>532</v>
      </c>
    </row>
    <row r="538" spans="1:26" ht="15" hidden="1" customHeight="1">
      <c r="A538" s="48" t="s">
        <v>1164</v>
      </c>
      <c r="B538" s="48" t="s">
        <v>1164</v>
      </c>
      <c r="C538" s="48" t="s">
        <v>1165</v>
      </c>
      <c r="D538" s="48" t="s">
        <v>50</v>
      </c>
      <c r="E538" s="48" t="s">
        <v>150</v>
      </c>
      <c r="F538" s="48">
        <v>110</v>
      </c>
      <c r="G538" s="48">
        <v>11</v>
      </c>
      <c r="H538" s="48">
        <v>310</v>
      </c>
      <c r="I538" s="48">
        <v>103</v>
      </c>
      <c r="J538" s="48">
        <v>29</v>
      </c>
      <c r="K538" s="48">
        <v>374</v>
      </c>
      <c r="L538" s="48">
        <v>128</v>
      </c>
      <c r="M538" s="48">
        <v>2</v>
      </c>
      <c r="N538" s="48">
        <v>58</v>
      </c>
      <c r="O538" s="48">
        <v>50</v>
      </c>
      <c r="P538" s="48">
        <v>47</v>
      </c>
      <c r="Q538" s="48">
        <v>826</v>
      </c>
      <c r="R538" s="48">
        <v>59</v>
      </c>
      <c r="S538" s="48">
        <v>57</v>
      </c>
      <c r="T538" s="48">
        <v>911</v>
      </c>
      <c r="U538" s="48">
        <v>66</v>
      </c>
      <c r="V538" s="48">
        <v>43</v>
      </c>
      <c r="W538" s="48">
        <v>519</v>
      </c>
      <c r="X538" s="48">
        <v>516</v>
      </c>
      <c r="Y538" s="48">
        <v>36</v>
      </c>
      <c r="Z538" s="48">
        <v>532</v>
      </c>
    </row>
    <row r="539" spans="1:26" ht="15" hidden="1" customHeight="1">
      <c r="A539" s="48" t="s">
        <v>1166</v>
      </c>
      <c r="B539" s="48" t="s">
        <v>1166</v>
      </c>
      <c r="C539" s="48" t="s">
        <v>1167</v>
      </c>
      <c r="D539" s="48" t="s">
        <v>50</v>
      </c>
      <c r="E539" s="48" t="s">
        <v>133</v>
      </c>
      <c r="F539" s="48">
        <v>104</v>
      </c>
      <c r="G539" s="48">
        <v>42</v>
      </c>
      <c r="H539" s="48">
        <v>573</v>
      </c>
      <c r="I539" s="48">
        <v>98</v>
      </c>
      <c r="J539" s="48">
        <v>32</v>
      </c>
      <c r="K539" s="48">
        <v>458</v>
      </c>
      <c r="L539" s="48">
        <v>102.5</v>
      </c>
      <c r="M539" s="48">
        <v>39</v>
      </c>
      <c r="N539" s="48">
        <v>635</v>
      </c>
      <c r="O539" s="48">
        <v>49</v>
      </c>
      <c r="P539" s="48">
        <v>49</v>
      </c>
      <c r="Q539" s="48">
        <v>842</v>
      </c>
      <c r="R539" s="48">
        <v>81</v>
      </c>
      <c r="S539" s="48">
        <v>34</v>
      </c>
      <c r="T539" s="48">
        <v>474</v>
      </c>
      <c r="U539" s="48">
        <v>81</v>
      </c>
      <c r="V539" s="48">
        <v>9</v>
      </c>
      <c r="W539" s="48">
        <v>66</v>
      </c>
      <c r="X539" s="48">
        <v>515.5</v>
      </c>
      <c r="Y539" s="48">
        <v>38</v>
      </c>
      <c r="Z539" s="48">
        <v>536</v>
      </c>
    </row>
    <row r="540" spans="1:26" ht="15" hidden="1" customHeight="1">
      <c r="A540" s="48" t="s">
        <v>1168</v>
      </c>
      <c r="B540" s="48" t="s">
        <v>1168</v>
      </c>
      <c r="C540" s="48" t="s">
        <v>1169</v>
      </c>
      <c r="D540" s="48" t="s">
        <v>50</v>
      </c>
      <c r="E540" s="48" t="s">
        <v>133</v>
      </c>
      <c r="F540" s="48">
        <v>114</v>
      </c>
      <c r="G540" s="48">
        <v>11</v>
      </c>
      <c r="H540" s="48">
        <v>170</v>
      </c>
      <c r="I540" s="48">
        <v>70</v>
      </c>
      <c r="J540" s="48">
        <v>53</v>
      </c>
      <c r="K540" s="48">
        <v>815</v>
      </c>
      <c r="L540" s="48">
        <v>111.5</v>
      </c>
      <c r="M540" s="48">
        <v>23</v>
      </c>
      <c r="N540" s="48">
        <v>427</v>
      </c>
      <c r="O540" s="48">
        <v>84</v>
      </c>
      <c r="P540" s="48">
        <v>9</v>
      </c>
      <c r="Q540" s="48">
        <v>131</v>
      </c>
      <c r="R540" s="48">
        <v>80</v>
      </c>
      <c r="S540" s="48">
        <v>37</v>
      </c>
      <c r="T540" s="48">
        <v>511</v>
      </c>
      <c r="U540" s="48">
        <v>56</v>
      </c>
      <c r="V540" s="48">
        <v>52</v>
      </c>
      <c r="W540" s="48">
        <v>789</v>
      </c>
      <c r="X540" s="48">
        <v>515.5</v>
      </c>
      <c r="Y540" s="48">
        <v>38</v>
      </c>
      <c r="Z540" s="48">
        <v>536</v>
      </c>
    </row>
    <row r="541" spans="1:26" ht="15" hidden="1" customHeight="1">
      <c r="A541" s="48" t="s">
        <v>1170</v>
      </c>
      <c r="B541" s="48" t="s">
        <v>1170</v>
      </c>
      <c r="C541" s="48" t="s">
        <v>1171</v>
      </c>
      <c r="D541" s="48" t="s">
        <v>50</v>
      </c>
      <c r="E541" s="48" t="s">
        <v>249</v>
      </c>
      <c r="F541" s="48">
        <v>115</v>
      </c>
      <c r="G541" s="48">
        <v>12</v>
      </c>
      <c r="H541" s="48">
        <v>140</v>
      </c>
      <c r="I541" s="48">
        <v>102</v>
      </c>
      <c r="J541" s="48">
        <v>19</v>
      </c>
      <c r="K541" s="48">
        <v>386</v>
      </c>
      <c r="L541" s="48">
        <v>96.5</v>
      </c>
      <c r="M541" s="48">
        <v>41</v>
      </c>
      <c r="N541" s="48">
        <v>750</v>
      </c>
      <c r="O541" s="48">
        <v>66</v>
      </c>
      <c r="P541" s="48">
        <v>29</v>
      </c>
      <c r="Q541" s="48">
        <v>513</v>
      </c>
      <c r="R541" s="48">
        <v>79</v>
      </c>
      <c r="S541" s="48">
        <v>19</v>
      </c>
      <c r="T541" s="48">
        <v>539</v>
      </c>
      <c r="U541" s="48">
        <v>57</v>
      </c>
      <c r="V541" s="48">
        <v>43</v>
      </c>
      <c r="W541" s="48">
        <v>770</v>
      </c>
      <c r="X541" s="48">
        <v>515.5</v>
      </c>
      <c r="Y541" s="48">
        <v>25</v>
      </c>
      <c r="Z541" s="48">
        <v>536</v>
      </c>
    </row>
    <row r="542" spans="1:26" ht="15" hidden="1" customHeight="1">
      <c r="A542" s="48" t="s">
        <v>1172</v>
      </c>
      <c r="B542" s="48" t="s">
        <v>1172</v>
      </c>
      <c r="C542" s="48" t="s">
        <v>1173</v>
      </c>
      <c r="D542" s="48" t="s">
        <v>50</v>
      </c>
      <c r="E542" s="48" t="s">
        <v>111</v>
      </c>
      <c r="F542" s="48">
        <v>117</v>
      </c>
      <c r="G542" s="48">
        <v>3</v>
      </c>
      <c r="H542" s="48">
        <v>86</v>
      </c>
      <c r="I542" s="48">
        <v>90</v>
      </c>
      <c r="J542" s="48">
        <v>27</v>
      </c>
      <c r="K542" s="48">
        <v>578</v>
      </c>
      <c r="L542" s="48">
        <v>114.5</v>
      </c>
      <c r="M542" s="48">
        <v>19</v>
      </c>
      <c r="N542" s="48">
        <v>340</v>
      </c>
      <c r="O542" s="48">
        <v>62</v>
      </c>
      <c r="P542" s="48">
        <v>31</v>
      </c>
      <c r="Q542" s="48">
        <v>607</v>
      </c>
      <c r="R542" s="48">
        <v>73</v>
      </c>
      <c r="S542" s="48">
        <v>38</v>
      </c>
      <c r="T542" s="48">
        <v>717</v>
      </c>
      <c r="U542" s="48">
        <v>59</v>
      </c>
      <c r="V542" s="48">
        <v>38</v>
      </c>
      <c r="W542" s="48">
        <v>729</v>
      </c>
      <c r="X542" s="48">
        <v>515.5</v>
      </c>
      <c r="Y542" s="48">
        <v>25</v>
      </c>
      <c r="Z542" s="48">
        <v>536</v>
      </c>
    </row>
    <row r="543" spans="1:26" ht="15" hidden="1" customHeight="1">
      <c r="A543" s="48" t="s">
        <v>1174</v>
      </c>
      <c r="B543" s="48" t="s">
        <v>1174</v>
      </c>
      <c r="C543" s="48" t="s">
        <v>1175</v>
      </c>
      <c r="D543" s="48" t="s">
        <v>50</v>
      </c>
      <c r="E543" s="48" t="s">
        <v>240</v>
      </c>
      <c r="F543" s="48">
        <v>108</v>
      </c>
      <c r="G543" s="48">
        <v>19</v>
      </c>
      <c r="H543" s="48">
        <v>391</v>
      </c>
      <c r="I543" s="48">
        <v>74</v>
      </c>
      <c r="J543" s="48">
        <v>46</v>
      </c>
      <c r="K543" s="48">
        <v>778</v>
      </c>
      <c r="L543" s="48">
        <v>100.5</v>
      </c>
      <c r="M543" s="48">
        <v>44</v>
      </c>
      <c r="N543" s="48">
        <v>675</v>
      </c>
      <c r="O543" s="48">
        <v>81</v>
      </c>
      <c r="P543" s="48">
        <v>10</v>
      </c>
      <c r="Q543" s="48">
        <v>195</v>
      </c>
      <c r="R543" s="48">
        <v>85</v>
      </c>
      <c r="S543" s="48">
        <v>16</v>
      </c>
      <c r="T543" s="48">
        <v>339</v>
      </c>
      <c r="U543" s="48">
        <v>67</v>
      </c>
      <c r="V543" s="48">
        <v>29</v>
      </c>
      <c r="W543" s="48">
        <v>489</v>
      </c>
      <c r="X543" s="48">
        <v>515.5</v>
      </c>
      <c r="Y543" s="48">
        <v>36</v>
      </c>
      <c r="Z543" s="48">
        <v>536</v>
      </c>
    </row>
    <row r="544" spans="1:26" ht="15" hidden="1" customHeight="1">
      <c r="A544" s="48" t="s">
        <v>1176</v>
      </c>
      <c r="B544" s="48" t="s">
        <v>1176</v>
      </c>
      <c r="C544" s="48" t="s">
        <v>1177</v>
      </c>
      <c r="D544" s="48" t="s">
        <v>50</v>
      </c>
      <c r="E544" s="48" t="s">
        <v>92</v>
      </c>
      <c r="F544" s="48">
        <v>102</v>
      </c>
      <c r="G544" s="48">
        <v>30</v>
      </c>
      <c r="H544" s="48">
        <v>655</v>
      </c>
      <c r="I544" s="48">
        <v>91</v>
      </c>
      <c r="J544" s="48">
        <v>32</v>
      </c>
      <c r="K544" s="48">
        <v>566</v>
      </c>
      <c r="L544" s="48">
        <v>124</v>
      </c>
      <c r="M544" s="48">
        <v>6</v>
      </c>
      <c r="N544" s="48">
        <v>115</v>
      </c>
      <c r="O544" s="48">
        <v>65</v>
      </c>
      <c r="P544" s="48">
        <v>29</v>
      </c>
      <c r="Q544" s="48">
        <v>539</v>
      </c>
      <c r="R544" s="48">
        <v>78</v>
      </c>
      <c r="S544" s="48">
        <v>37</v>
      </c>
      <c r="T544" s="48">
        <v>577</v>
      </c>
      <c r="U544" s="48">
        <v>55</v>
      </c>
      <c r="V544" s="48">
        <v>52</v>
      </c>
      <c r="W544" s="48">
        <v>802</v>
      </c>
      <c r="X544" s="48">
        <v>515</v>
      </c>
      <c r="Y544" s="48">
        <v>32</v>
      </c>
      <c r="Z544" s="48">
        <v>541</v>
      </c>
    </row>
    <row r="545" spans="1:26" ht="15" hidden="1" customHeight="1">
      <c r="A545" s="48" t="s">
        <v>1178</v>
      </c>
      <c r="B545" s="48" t="s">
        <v>1178</v>
      </c>
      <c r="C545" s="48" t="s">
        <v>1179</v>
      </c>
      <c r="D545" s="48" t="s">
        <v>50</v>
      </c>
      <c r="E545" s="48" t="s">
        <v>92</v>
      </c>
      <c r="F545" s="48">
        <v>101</v>
      </c>
      <c r="G545" s="48">
        <v>33</v>
      </c>
      <c r="H545" s="48">
        <v>688</v>
      </c>
      <c r="I545" s="48">
        <v>99</v>
      </c>
      <c r="J545" s="48">
        <v>23</v>
      </c>
      <c r="K545" s="48">
        <v>436</v>
      </c>
      <c r="L545" s="48">
        <v>97</v>
      </c>
      <c r="M545" s="48">
        <v>41</v>
      </c>
      <c r="N545" s="48">
        <v>743</v>
      </c>
      <c r="O545" s="48">
        <v>66</v>
      </c>
      <c r="P545" s="48">
        <v>25</v>
      </c>
      <c r="Q545" s="48">
        <v>513</v>
      </c>
      <c r="R545" s="48">
        <v>76</v>
      </c>
      <c r="S545" s="48">
        <v>43</v>
      </c>
      <c r="T545" s="48">
        <v>642</v>
      </c>
      <c r="U545" s="48">
        <v>76</v>
      </c>
      <c r="V545" s="48">
        <v>15</v>
      </c>
      <c r="W545" s="48">
        <v>194</v>
      </c>
      <c r="X545" s="48">
        <v>515</v>
      </c>
      <c r="Y545" s="48">
        <v>32</v>
      </c>
      <c r="Z545" s="48">
        <v>541</v>
      </c>
    </row>
    <row r="546" spans="1:26" ht="15" hidden="1" customHeight="1">
      <c r="A546" s="48" t="s">
        <v>1180</v>
      </c>
      <c r="B546" s="48" t="s">
        <v>1180</v>
      </c>
      <c r="C546" s="48" t="s">
        <v>1181</v>
      </c>
      <c r="D546" s="48" t="s">
        <v>50</v>
      </c>
      <c r="E546" s="48" t="s">
        <v>97</v>
      </c>
      <c r="F546" s="48">
        <v>103</v>
      </c>
      <c r="G546" s="48">
        <v>39</v>
      </c>
      <c r="H546" s="48">
        <v>606</v>
      </c>
      <c r="I546" s="48">
        <v>77</v>
      </c>
      <c r="J546" s="48">
        <v>43</v>
      </c>
      <c r="K546" s="48">
        <v>741</v>
      </c>
      <c r="L546" s="48">
        <v>88</v>
      </c>
      <c r="M546" s="48">
        <v>50</v>
      </c>
      <c r="N546" s="48">
        <v>852</v>
      </c>
      <c r="O546" s="48">
        <v>74</v>
      </c>
      <c r="P546" s="48">
        <v>14</v>
      </c>
      <c r="Q546" s="48">
        <v>345</v>
      </c>
      <c r="R546" s="48">
        <v>86</v>
      </c>
      <c r="S546" s="48">
        <v>19</v>
      </c>
      <c r="T546" s="48">
        <v>304</v>
      </c>
      <c r="U546" s="48">
        <v>87</v>
      </c>
      <c r="V546" s="48">
        <v>1</v>
      </c>
      <c r="W546" s="48">
        <v>2</v>
      </c>
      <c r="X546" s="48">
        <v>515</v>
      </c>
      <c r="Y546" s="48">
        <v>33</v>
      </c>
      <c r="Z546" s="48">
        <v>541</v>
      </c>
    </row>
    <row r="547" spans="1:26" ht="15" hidden="1" customHeight="1">
      <c r="A547" s="48" t="s">
        <v>1182</v>
      </c>
      <c r="B547" s="48" t="s">
        <v>1182</v>
      </c>
      <c r="C547" s="48" t="s">
        <v>1183</v>
      </c>
      <c r="D547" s="48" t="s">
        <v>50</v>
      </c>
      <c r="E547" s="48" t="s">
        <v>106</v>
      </c>
      <c r="F547" s="48">
        <v>107</v>
      </c>
      <c r="G547" s="48">
        <v>31</v>
      </c>
      <c r="H547" s="48">
        <v>429</v>
      </c>
      <c r="I547" s="48">
        <v>81</v>
      </c>
      <c r="J547" s="48">
        <v>35</v>
      </c>
      <c r="K547" s="48">
        <v>688</v>
      </c>
      <c r="L547" s="48">
        <v>118.5</v>
      </c>
      <c r="M547" s="48">
        <v>16</v>
      </c>
      <c r="N547" s="48">
        <v>247</v>
      </c>
      <c r="O547" s="48">
        <v>52</v>
      </c>
      <c r="P547" s="48">
        <v>47</v>
      </c>
      <c r="Q547" s="48">
        <v>798</v>
      </c>
      <c r="R547" s="48">
        <v>83</v>
      </c>
      <c r="S547" s="48">
        <v>10</v>
      </c>
      <c r="T547" s="48">
        <v>407</v>
      </c>
      <c r="U547" s="48">
        <v>73</v>
      </c>
      <c r="V547" s="48">
        <v>8</v>
      </c>
      <c r="W547" s="48">
        <v>275</v>
      </c>
      <c r="X547" s="48">
        <v>514.5</v>
      </c>
      <c r="Y547" s="48">
        <v>22</v>
      </c>
      <c r="Z547" s="48">
        <v>544</v>
      </c>
    </row>
    <row r="548" spans="1:26" ht="15" hidden="1" customHeight="1">
      <c r="A548" s="48" t="s">
        <v>1184</v>
      </c>
      <c r="B548" s="48" t="s">
        <v>1184</v>
      </c>
      <c r="C548" s="48" t="s">
        <v>1185</v>
      </c>
      <c r="D548" s="48" t="s">
        <v>50</v>
      </c>
      <c r="E548" s="48" t="s">
        <v>249</v>
      </c>
      <c r="F548" s="48">
        <v>117</v>
      </c>
      <c r="G548" s="48">
        <v>5</v>
      </c>
      <c r="H548" s="48">
        <v>86</v>
      </c>
      <c r="I548" s="48">
        <v>80</v>
      </c>
      <c r="J548" s="48">
        <v>40</v>
      </c>
      <c r="K548" s="48">
        <v>699</v>
      </c>
      <c r="L548" s="48">
        <v>114.5</v>
      </c>
      <c r="M548" s="48">
        <v>15</v>
      </c>
      <c r="N548" s="48">
        <v>340</v>
      </c>
      <c r="O548" s="48">
        <v>56</v>
      </c>
      <c r="P548" s="48">
        <v>39</v>
      </c>
      <c r="Q548" s="48">
        <v>731</v>
      </c>
      <c r="R548" s="48">
        <v>74</v>
      </c>
      <c r="S548" s="48">
        <v>30</v>
      </c>
      <c r="T548" s="48">
        <v>702</v>
      </c>
      <c r="U548" s="48">
        <v>73</v>
      </c>
      <c r="V548" s="48">
        <v>12</v>
      </c>
      <c r="W548" s="48">
        <v>275</v>
      </c>
      <c r="X548" s="48">
        <v>514.5</v>
      </c>
      <c r="Y548" s="48">
        <v>26</v>
      </c>
      <c r="Z548" s="48">
        <v>544</v>
      </c>
    </row>
    <row r="549" spans="1:26" ht="15" hidden="1" customHeight="1">
      <c r="A549" s="48" t="s">
        <v>1186</v>
      </c>
      <c r="B549" s="48" t="s">
        <v>1186</v>
      </c>
      <c r="C549" s="48" t="s">
        <v>1187</v>
      </c>
      <c r="D549" s="48" t="s">
        <v>50</v>
      </c>
      <c r="E549" s="48" t="s">
        <v>217</v>
      </c>
      <c r="F549" s="48">
        <v>98</v>
      </c>
      <c r="G549" s="48">
        <v>42</v>
      </c>
      <c r="H549" s="48">
        <v>774</v>
      </c>
      <c r="I549" s="48">
        <v>105</v>
      </c>
      <c r="J549" s="48">
        <v>17</v>
      </c>
      <c r="K549" s="48">
        <v>340</v>
      </c>
      <c r="L549" s="48">
        <v>100</v>
      </c>
      <c r="M549" s="48">
        <v>36</v>
      </c>
      <c r="N549" s="48">
        <v>680</v>
      </c>
      <c r="O549" s="48">
        <v>60</v>
      </c>
      <c r="P549" s="48">
        <v>40</v>
      </c>
      <c r="Q549" s="48">
        <v>647</v>
      </c>
      <c r="R549" s="48">
        <v>83</v>
      </c>
      <c r="S549" s="48">
        <v>17</v>
      </c>
      <c r="T549" s="48">
        <v>407</v>
      </c>
      <c r="U549" s="48">
        <v>68</v>
      </c>
      <c r="V549" s="48">
        <v>25</v>
      </c>
      <c r="W549" s="48">
        <v>452</v>
      </c>
      <c r="X549" s="48">
        <v>514</v>
      </c>
      <c r="Y549" s="48">
        <v>24</v>
      </c>
      <c r="Z549" s="48">
        <v>546</v>
      </c>
    </row>
    <row r="550" spans="1:26" ht="15" hidden="1" customHeight="1">
      <c r="A550" s="48" t="s">
        <v>1188</v>
      </c>
      <c r="B550" s="48" t="s">
        <v>1188</v>
      </c>
      <c r="C550" s="48" t="s">
        <v>1189</v>
      </c>
      <c r="D550" s="48" t="s">
        <v>50</v>
      </c>
      <c r="E550" s="48" t="s">
        <v>169</v>
      </c>
      <c r="F550" s="48">
        <v>101</v>
      </c>
      <c r="G550" s="48">
        <v>46</v>
      </c>
      <c r="H550" s="48">
        <v>688</v>
      </c>
      <c r="I550" s="48">
        <v>92</v>
      </c>
      <c r="J550" s="48">
        <v>29</v>
      </c>
      <c r="K550" s="48">
        <v>557</v>
      </c>
      <c r="L550" s="48">
        <v>118</v>
      </c>
      <c r="M550" s="48">
        <v>16</v>
      </c>
      <c r="N550" s="48">
        <v>263</v>
      </c>
      <c r="O550" s="48">
        <v>55</v>
      </c>
      <c r="P550" s="48">
        <v>43</v>
      </c>
      <c r="Q550" s="48">
        <v>748</v>
      </c>
      <c r="R550" s="48">
        <v>83</v>
      </c>
      <c r="S550" s="48">
        <v>16</v>
      </c>
      <c r="T550" s="48">
        <v>407</v>
      </c>
      <c r="U550" s="48">
        <v>65</v>
      </c>
      <c r="V550" s="48">
        <v>31</v>
      </c>
      <c r="W550" s="48">
        <v>554</v>
      </c>
      <c r="X550" s="48">
        <v>514</v>
      </c>
      <c r="Y550" s="48">
        <v>32</v>
      </c>
      <c r="Z550" s="48">
        <v>546</v>
      </c>
    </row>
    <row r="551" spans="1:26" ht="15" hidden="1" customHeight="1">
      <c r="A551" s="48" t="s">
        <v>1190</v>
      </c>
      <c r="B551" s="48" t="s">
        <v>1190</v>
      </c>
      <c r="C551" s="48" t="s">
        <v>1191</v>
      </c>
      <c r="D551" s="48" t="s">
        <v>50</v>
      </c>
      <c r="E551" s="48" t="s">
        <v>296</v>
      </c>
      <c r="F551" s="48">
        <v>106</v>
      </c>
      <c r="G551" s="48">
        <v>19</v>
      </c>
      <c r="H551" s="48">
        <v>477</v>
      </c>
      <c r="I551" s="48">
        <v>78</v>
      </c>
      <c r="J551" s="48">
        <v>40</v>
      </c>
      <c r="K551" s="48">
        <v>729</v>
      </c>
      <c r="L551" s="48">
        <v>126.5</v>
      </c>
      <c r="M551" s="48">
        <v>4</v>
      </c>
      <c r="N551" s="48">
        <v>76</v>
      </c>
      <c r="O551" s="48">
        <v>56</v>
      </c>
      <c r="P551" s="48">
        <v>45</v>
      </c>
      <c r="Q551" s="48">
        <v>731</v>
      </c>
      <c r="R551" s="48">
        <v>79</v>
      </c>
      <c r="S551" s="48">
        <v>29</v>
      </c>
      <c r="T551" s="48">
        <v>539</v>
      </c>
      <c r="U551" s="48">
        <v>68</v>
      </c>
      <c r="V551" s="48">
        <v>17</v>
      </c>
      <c r="W551" s="48">
        <v>452</v>
      </c>
      <c r="X551" s="48">
        <v>513.5</v>
      </c>
      <c r="Y551" s="48">
        <v>26</v>
      </c>
      <c r="Z551" s="48">
        <v>548</v>
      </c>
    </row>
    <row r="552" spans="1:26" ht="15" hidden="1" customHeight="1">
      <c r="A552" s="48" t="s">
        <v>1192</v>
      </c>
      <c r="B552" s="48" t="s">
        <v>1192</v>
      </c>
      <c r="C552" s="48" t="s">
        <v>1193</v>
      </c>
      <c r="D552" s="48" t="s">
        <v>50</v>
      </c>
      <c r="E552" s="48" t="s">
        <v>97</v>
      </c>
      <c r="F552" s="48">
        <v>89</v>
      </c>
      <c r="G552" s="48">
        <v>55</v>
      </c>
      <c r="H552" s="48">
        <v>909</v>
      </c>
      <c r="I552" s="48">
        <v>99</v>
      </c>
      <c r="J552" s="48">
        <v>24</v>
      </c>
      <c r="K552" s="48">
        <v>436</v>
      </c>
      <c r="L552" s="48">
        <v>112.5</v>
      </c>
      <c r="M552" s="48">
        <v>21</v>
      </c>
      <c r="N552" s="48">
        <v>401</v>
      </c>
      <c r="O552" s="48">
        <v>57</v>
      </c>
      <c r="P552" s="48">
        <v>39</v>
      </c>
      <c r="Q552" s="48">
        <v>713</v>
      </c>
      <c r="R552" s="48">
        <v>79</v>
      </c>
      <c r="S552" s="48">
        <v>35</v>
      </c>
      <c r="T552" s="48">
        <v>539</v>
      </c>
      <c r="U552" s="48">
        <v>77</v>
      </c>
      <c r="V552" s="48">
        <v>15</v>
      </c>
      <c r="W552" s="48">
        <v>162</v>
      </c>
      <c r="X552" s="48">
        <v>513.5</v>
      </c>
      <c r="Y552" s="48">
        <v>34</v>
      </c>
      <c r="Z552" s="48">
        <v>548</v>
      </c>
    </row>
    <row r="553" spans="1:26" ht="15" hidden="1" customHeight="1">
      <c r="A553" s="48" t="s">
        <v>1194</v>
      </c>
      <c r="B553" s="48" t="s">
        <v>1194</v>
      </c>
      <c r="C553" s="48" t="s">
        <v>1195</v>
      </c>
      <c r="D553" s="48" t="s">
        <v>50</v>
      </c>
      <c r="E553" s="48" t="s">
        <v>97</v>
      </c>
      <c r="F553" s="48">
        <v>96</v>
      </c>
      <c r="G553" s="48">
        <v>50</v>
      </c>
      <c r="H553" s="48">
        <v>814</v>
      </c>
      <c r="I553" s="48">
        <v>111</v>
      </c>
      <c r="J553" s="48">
        <v>12</v>
      </c>
      <c r="K553" s="48">
        <v>247</v>
      </c>
      <c r="L553" s="48">
        <v>97</v>
      </c>
      <c r="M553" s="48">
        <v>41</v>
      </c>
      <c r="N553" s="48">
        <v>743</v>
      </c>
      <c r="O553" s="48">
        <v>59</v>
      </c>
      <c r="P553" s="48">
        <v>35</v>
      </c>
      <c r="Q553" s="48">
        <v>672</v>
      </c>
      <c r="R553" s="48">
        <v>83</v>
      </c>
      <c r="S553" s="48">
        <v>28</v>
      </c>
      <c r="T553" s="48">
        <v>407</v>
      </c>
      <c r="U553" s="48">
        <v>67</v>
      </c>
      <c r="V553" s="48">
        <v>36</v>
      </c>
      <c r="W553" s="48">
        <v>489</v>
      </c>
      <c r="X553" s="48">
        <v>513</v>
      </c>
      <c r="Y553" s="48">
        <v>35</v>
      </c>
      <c r="Z553" s="48">
        <v>550</v>
      </c>
    </row>
    <row r="554" spans="1:26" ht="15" hidden="1" customHeight="1">
      <c r="A554" s="48" t="s">
        <v>1196</v>
      </c>
      <c r="B554" s="48" t="s">
        <v>1196</v>
      </c>
      <c r="C554" s="48" t="s">
        <v>1197</v>
      </c>
      <c r="D554" s="48" t="s">
        <v>50</v>
      </c>
      <c r="E554" s="48" t="s">
        <v>106</v>
      </c>
      <c r="F554" s="48">
        <v>111</v>
      </c>
      <c r="G554" s="48">
        <v>21</v>
      </c>
      <c r="H554" s="48">
        <v>271</v>
      </c>
      <c r="I554" s="48">
        <v>108</v>
      </c>
      <c r="J554" s="48">
        <v>14</v>
      </c>
      <c r="K554" s="48">
        <v>296</v>
      </c>
      <c r="L554" s="48">
        <v>97</v>
      </c>
      <c r="M554" s="48">
        <v>38</v>
      </c>
      <c r="N554" s="48">
        <v>743</v>
      </c>
      <c r="O554" s="48">
        <v>61</v>
      </c>
      <c r="P554" s="48">
        <v>33</v>
      </c>
      <c r="Q554" s="48">
        <v>627</v>
      </c>
      <c r="R554" s="48">
        <v>73</v>
      </c>
      <c r="S554" s="48">
        <v>36</v>
      </c>
      <c r="T554" s="48">
        <v>717</v>
      </c>
      <c r="U554" s="48">
        <v>63</v>
      </c>
      <c r="V554" s="48">
        <v>29</v>
      </c>
      <c r="W554" s="48">
        <v>625</v>
      </c>
      <c r="X554" s="48">
        <v>513</v>
      </c>
      <c r="Y554" s="48">
        <v>23</v>
      </c>
      <c r="Z554" s="48">
        <v>550</v>
      </c>
    </row>
    <row r="555" spans="1:26" ht="15" hidden="1" customHeight="1">
      <c r="A555" s="48" t="s">
        <v>1198</v>
      </c>
      <c r="B555" s="48" t="s">
        <v>1198</v>
      </c>
      <c r="C555" s="48" t="s">
        <v>1199</v>
      </c>
      <c r="D555" s="48" t="s">
        <v>50</v>
      </c>
      <c r="E555" s="48" t="s">
        <v>217</v>
      </c>
      <c r="F555" s="48">
        <v>94</v>
      </c>
      <c r="G555" s="48">
        <v>47</v>
      </c>
      <c r="H555" s="48">
        <v>856</v>
      </c>
      <c r="I555" s="48">
        <v>101</v>
      </c>
      <c r="J555" s="48">
        <v>23</v>
      </c>
      <c r="K555" s="48">
        <v>403</v>
      </c>
      <c r="L555" s="48">
        <v>93</v>
      </c>
      <c r="M555" s="48">
        <v>45</v>
      </c>
      <c r="N555" s="48">
        <v>796</v>
      </c>
      <c r="O555" s="48">
        <v>76</v>
      </c>
      <c r="P555" s="48">
        <v>18</v>
      </c>
      <c r="Q555" s="48">
        <v>302</v>
      </c>
      <c r="R555" s="48">
        <v>79</v>
      </c>
      <c r="S555" s="48">
        <v>29</v>
      </c>
      <c r="T555" s="48">
        <v>539</v>
      </c>
      <c r="U555" s="48">
        <v>70</v>
      </c>
      <c r="V555" s="48">
        <v>20</v>
      </c>
      <c r="W555" s="48">
        <v>380</v>
      </c>
      <c r="X555" s="48">
        <v>513</v>
      </c>
      <c r="Y555" s="48">
        <v>25</v>
      </c>
      <c r="Z555" s="48">
        <v>550</v>
      </c>
    </row>
    <row r="556" spans="1:26" ht="15" hidden="1" customHeight="1">
      <c r="A556" s="48" t="s">
        <v>1200</v>
      </c>
      <c r="B556" s="48" t="s">
        <v>1200</v>
      </c>
      <c r="C556" s="48" t="s">
        <v>1201</v>
      </c>
      <c r="D556" s="48" t="s">
        <v>50</v>
      </c>
      <c r="E556" s="48" t="s">
        <v>84</v>
      </c>
      <c r="F556" s="48">
        <v>105</v>
      </c>
      <c r="G556" s="48">
        <v>30</v>
      </c>
      <c r="H556" s="48">
        <v>515</v>
      </c>
      <c r="I556" s="48">
        <v>97</v>
      </c>
      <c r="J556" s="48">
        <v>24</v>
      </c>
      <c r="K556" s="48">
        <v>474</v>
      </c>
      <c r="L556" s="48">
        <v>124</v>
      </c>
      <c r="M556" s="48">
        <v>8</v>
      </c>
      <c r="N556" s="48">
        <v>115</v>
      </c>
      <c r="O556" s="48">
        <v>59</v>
      </c>
      <c r="P556" s="48">
        <v>42</v>
      </c>
      <c r="Q556" s="48">
        <v>672</v>
      </c>
      <c r="R556" s="48">
        <v>65</v>
      </c>
      <c r="S556" s="48">
        <v>51</v>
      </c>
      <c r="T556" s="48">
        <v>866</v>
      </c>
      <c r="U556" s="48">
        <v>63</v>
      </c>
      <c r="V556" s="48">
        <v>40</v>
      </c>
      <c r="W556" s="48">
        <v>625</v>
      </c>
      <c r="X556" s="48">
        <v>513</v>
      </c>
      <c r="Y556" s="48">
        <v>32</v>
      </c>
      <c r="Z556" s="48">
        <v>550</v>
      </c>
    </row>
    <row r="557" spans="1:26" ht="15" hidden="1" customHeight="1">
      <c r="A557" s="48" t="s">
        <v>1202</v>
      </c>
      <c r="B557" s="48" t="s">
        <v>1202</v>
      </c>
      <c r="C557" s="48" t="s">
        <v>1203</v>
      </c>
      <c r="D557" s="48" t="s">
        <v>50</v>
      </c>
      <c r="E557" s="48" t="s">
        <v>111</v>
      </c>
      <c r="F557" s="48">
        <v>109</v>
      </c>
      <c r="G557" s="48">
        <v>18</v>
      </c>
      <c r="H557" s="48">
        <v>353</v>
      </c>
      <c r="I557" s="48">
        <v>94</v>
      </c>
      <c r="J557" s="48">
        <v>23</v>
      </c>
      <c r="K557" s="48">
        <v>523</v>
      </c>
      <c r="L557" s="48">
        <v>101.5</v>
      </c>
      <c r="M557" s="48">
        <v>38</v>
      </c>
      <c r="N557" s="48">
        <v>654</v>
      </c>
      <c r="O557" s="48">
        <v>51</v>
      </c>
      <c r="P557" s="48">
        <v>48</v>
      </c>
      <c r="Q557" s="48">
        <v>812</v>
      </c>
      <c r="R557" s="48">
        <v>80</v>
      </c>
      <c r="S557" s="48">
        <v>27</v>
      </c>
      <c r="T557" s="48">
        <v>511</v>
      </c>
      <c r="U557" s="48">
        <v>77</v>
      </c>
      <c r="V557" s="48">
        <v>7</v>
      </c>
      <c r="W557" s="48">
        <v>162</v>
      </c>
      <c r="X557" s="48">
        <v>512.5</v>
      </c>
      <c r="Y557" s="48">
        <v>26</v>
      </c>
      <c r="Z557" s="48">
        <v>554</v>
      </c>
    </row>
    <row r="558" spans="1:26" ht="15" hidden="1" customHeight="1">
      <c r="A558" s="48" t="s">
        <v>1204</v>
      </c>
      <c r="B558" s="48" t="s">
        <v>1204</v>
      </c>
      <c r="C558" s="48" t="s">
        <v>1205</v>
      </c>
      <c r="D558" s="48" t="s">
        <v>50</v>
      </c>
      <c r="E558" s="48" t="s">
        <v>210</v>
      </c>
      <c r="F558" s="48">
        <v>109</v>
      </c>
      <c r="G558" s="48">
        <v>21</v>
      </c>
      <c r="H558" s="48">
        <v>353</v>
      </c>
      <c r="I558" s="48">
        <v>113</v>
      </c>
      <c r="J558" s="48">
        <v>12</v>
      </c>
      <c r="K558" s="48">
        <v>224</v>
      </c>
      <c r="L558" s="48">
        <v>101.5</v>
      </c>
      <c r="M558" s="48">
        <v>38</v>
      </c>
      <c r="N558" s="48">
        <v>654</v>
      </c>
      <c r="O558" s="48">
        <v>52</v>
      </c>
      <c r="P558" s="48">
        <v>52</v>
      </c>
      <c r="Q558" s="48">
        <v>798</v>
      </c>
      <c r="R558" s="48">
        <v>80</v>
      </c>
      <c r="S558" s="48">
        <v>35</v>
      </c>
      <c r="T558" s="48">
        <v>511</v>
      </c>
      <c r="U558" s="48">
        <v>57</v>
      </c>
      <c r="V558" s="48">
        <v>44</v>
      </c>
      <c r="W558" s="48">
        <v>770</v>
      </c>
      <c r="X558" s="48">
        <v>512.5</v>
      </c>
      <c r="Y558" s="48">
        <v>35</v>
      </c>
      <c r="Z558" s="48">
        <v>554</v>
      </c>
    </row>
    <row r="559" spans="1:26" ht="15" hidden="1" customHeight="1">
      <c r="A559" s="48" t="s">
        <v>1206</v>
      </c>
      <c r="B559" s="48" t="s">
        <v>1206</v>
      </c>
      <c r="C559" s="48" t="s">
        <v>1207</v>
      </c>
      <c r="D559" s="48" t="s">
        <v>50</v>
      </c>
      <c r="E559" s="48" t="s">
        <v>172</v>
      </c>
      <c r="F559" s="48">
        <v>89</v>
      </c>
      <c r="G559" s="48">
        <v>54</v>
      </c>
      <c r="H559" s="48">
        <v>909</v>
      </c>
      <c r="I559" s="48">
        <v>112</v>
      </c>
      <c r="J559" s="48">
        <v>9</v>
      </c>
      <c r="K559" s="48">
        <v>235</v>
      </c>
      <c r="L559" s="48">
        <v>105.5</v>
      </c>
      <c r="M559" s="48">
        <v>30</v>
      </c>
      <c r="N559" s="48">
        <v>568</v>
      </c>
      <c r="O559" s="48">
        <v>55</v>
      </c>
      <c r="P559" s="48">
        <v>42</v>
      </c>
      <c r="Q559" s="48">
        <v>748</v>
      </c>
      <c r="R559" s="48">
        <v>81</v>
      </c>
      <c r="S559" s="48">
        <v>20</v>
      </c>
      <c r="T559" s="48">
        <v>474</v>
      </c>
      <c r="U559" s="48">
        <v>70</v>
      </c>
      <c r="V559" s="48">
        <v>19</v>
      </c>
      <c r="W559" s="48">
        <v>380</v>
      </c>
      <c r="X559" s="48">
        <v>512.5</v>
      </c>
      <c r="Y559" s="48">
        <v>28</v>
      </c>
      <c r="Z559" s="48">
        <v>554</v>
      </c>
    </row>
    <row r="560" spans="1:26" ht="15" hidden="1" customHeight="1">
      <c r="A560" s="48" t="s">
        <v>1208</v>
      </c>
      <c r="B560" s="48" t="s">
        <v>1208</v>
      </c>
      <c r="C560" s="48" t="s">
        <v>1209</v>
      </c>
      <c r="D560" s="48" t="s">
        <v>50</v>
      </c>
      <c r="E560" s="48" t="s">
        <v>172</v>
      </c>
      <c r="F560" s="48">
        <v>96</v>
      </c>
      <c r="G560" s="48">
        <v>48</v>
      </c>
      <c r="H560" s="48">
        <v>814</v>
      </c>
      <c r="I560" s="48">
        <v>103</v>
      </c>
      <c r="J560" s="48">
        <v>20</v>
      </c>
      <c r="K560" s="48">
        <v>374</v>
      </c>
      <c r="L560" s="48">
        <v>96.5</v>
      </c>
      <c r="M560" s="48">
        <v>42</v>
      </c>
      <c r="N560" s="48">
        <v>750</v>
      </c>
      <c r="O560" s="48">
        <v>75</v>
      </c>
      <c r="P560" s="48">
        <v>20</v>
      </c>
      <c r="Q560" s="48">
        <v>324</v>
      </c>
      <c r="R560" s="48">
        <v>89</v>
      </c>
      <c r="S560" s="48">
        <v>8</v>
      </c>
      <c r="T560" s="48">
        <v>200</v>
      </c>
      <c r="U560" s="48">
        <v>53</v>
      </c>
      <c r="V560" s="48">
        <v>52</v>
      </c>
      <c r="W560" s="48">
        <v>832</v>
      </c>
      <c r="X560" s="48">
        <v>512.5</v>
      </c>
      <c r="Y560" s="48">
        <v>28</v>
      </c>
      <c r="Z560" s="48">
        <v>554</v>
      </c>
    </row>
    <row r="561" spans="1:26" ht="15" hidden="1" customHeight="1">
      <c r="A561" s="48" t="s">
        <v>1210</v>
      </c>
      <c r="B561" s="48" t="s">
        <v>1210</v>
      </c>
      <c r="C561" s="48" t="s">
        <v>1211</v>
      </c>
      <c r="D561" s="48" t="s">
        <v>50</v>
      </c>
      <c r="E561" s="48" t="s">
        <v>217</v>
      </c>
      <c r="F561" s="48">
        <v>104</v>
      </c>
      <c r="G561" s="48">
        <v>31</v>
      </c>
      <c r="H561" s="48">
        <v>573</v>
      </c>
      <c r="I561" s="48">
        <v>124</v>
      </c>
      <c r="J561" s="48">
        <v>4</v>
      </c>
      <c r="K561" s="48">
        <v>101</v>
      </c>
      <c r="L561" s="48">
        <v>69.5</v>
      </c>
      <c r="M561" s="48">
        <v>56</v>
      </c>
      <c r="N561" s="48">
        <v>928</v>
      </c>
      <c r="O561" s="48">
        <v>72</v>
      </c>
      <c r="P561" s="48">
        <v>23</v>
      </c>
      <c r="Q561" s="48">
        <v>392</v>
      </c>
      <c r="R561" s="48">
        <v>79</v>
      </c>
      <c r="S561" s="48">
        <v>29</v>
      </c>
      <c r="T561" s="48">
        <v>539</v>
      </c>
      <c r="U561" s="48">
        <v>64</v>
      </c>
      <c r="V561" s="48">
        <v>32</v>
      </c>
      <c r="W561" s="48">
        <v>593</v>
      </c>
      <c r="X561" s="48">
        <v>512.5</v>
      </c>
      <c r="Y561" s="48">
        <v>26</v>
      </c>
      <c r="Z561" s="48">
        <v>554</v>
      </c>
    </row>
    <row r="562" spans="1:26" ht="15" hidden="1" customHeight="1">
      <c r="A562" s="48" t="s">
        <v>1212</v>
      </c>
      <c r="B562" s="48" t="s">
        <v>1212</v>
      </c>
      <c r="C562" s="48" t="s">
        <v>1213</v>
      </c>
      <c r="D562" s="48" t="s">
        <v>50</v>
      </c>
      <c r="E562" s="48" t="s">
        <v>106</v>
      </c>
      <c r="F562" s="48">
        <v>100</v>
      </c>
      <c r="G562" s="48">
        <v>43</v>
      </c>
      <c r="H562" s="48">
        <v>715</v>
      </c>
      <c r="I562" s="48">
        <v>103</v>
      </c>
      <c r="J562" s="48">
        <v>20</v>
      </c>
      <c r="K562" s="48">
        <v>374</v>
      </c>
      <c r="L562" s="48">
        <v>120.5</v>
      </c>
      <c r="M562" s="48">
        <v>15</v>
      </c>
      <c r="N562" s="48">
        <v>192</v>
      </c>
      <c r="O562" s="48">
        <v>53</v>
      </c>
      <c r="P562" s="48">
        <v>46</v>
      </c>
      <c r="Q562" s="48">
        <v>786</v>
      </c>
      <c r="R562" s="48">
        <v>81</v>
      </c>
      <c r="S562" s="48">
        <v>15</v>
      </c>
      <c r="T562" s="48">
        <v>474</v>
      </c>
      <c r="U562" s="48">
        <v>55</v>
      </c>
      <c r="V562" s="48">
        <v>39</v>
      </c>
      <c r="W562" s="48">
        <v>802</v>
      </c>
      <c r="X562" s="48">
        <v>512.5</v>
      </c>
      <c r="Y562" s="48">
        <v>24</v>
      </c>
      <c r="Z562" s="48">
        <v>554</v>
      </c>
    </row>
    <row r="563" spans="1:26" ht="15" hidden="1" customHeight="1">
      <c r="A563" s="48" t="s">
        <v>1214</v>
      </c>
      <c r="B563" s="48" t="s">
        <v>1214</v>
      </c>
      <c r="C563" s="48" t="s">
        <v>1215</v>
      </c>
      <c r="D563" s="48" t="s">
        <v>50</v>
      </c>
      <c r="E563" s="48" t="s">
        <v>92</v>
      </c>
      <c r="F563" s="48">
        <v>109</v>
      </c>
      <c r="G563" s="48">
        <v>13</v>
      </c>
      <c r="H563" s="48">
        <v>353</v>
      </c>
      <c r="I563" s="48">
        <v>98</v>
      </c>
      <c r="J563" s="48">
        <v>27</v>
      </c>
      <c r="K563" s="48">
        <v>458</v>
      </c>
      <c r="L563" s="48">
        <v>84.5</v>
      </c>
      <c r="M563" s="48">
        <v>50</v>
      </c>
      <c r="N563" s="48">
        <v>873</v>
      </c>
      <c r="O563" s="48">
        <v>65</v>
      </c>
      <c r="P563" s="48">
        <v>29</v>
      </c>
      <c r="Q563" s="48">
        <v>539</v>
      </c>
      <c r="R563" s="48">
        <v>85</v>
      </c>
      <c r="S563" s="48">
        <v>17</v>
      </c>
      <c r="T563" s="48">
        <v>339</v>
      </c>
      <c r="U563" s="48">
        <v>71</v>
      </c>
      <c r="V563" s="48">
        <v>25</v>
      </c>
      <c r="W563" s="48">
        <v>342</v>
      </c>
      <c r="X563" s="48">
        <v>512.5</v>
      </c>
      <c r="Y563" s="48">
        <v>34</v>
      </c>
      <c r="Z563" s="48">
        <v>554</v>
      </c>
    </row>
    <row r="564" spans="1:26" ht="15" hidden="1" customHeight="1">
      <c r="A564" s="48" t="s">
        <v>1216</v>
      </c>
      <c r="B564" s="48" t="s">
        <v>1216</v>
      </c>
      <c r="C564" s="48" t="s">
        <v>1217</v>
      </c>
      <c r="D564" s="48" t="s">
        <v>50</v>
      </c>
      <c r="E564" s="48" t="s">
        <v>296</v>
      </c>
      <c r="F564" s="48">
        <v>81</v>
      </c>
      <c r="G564" s="48">
        <v>56</v>
      </c>
      <c r="H564" s="48">
        <v>938</v>
      </c>
      <c r="I564" s="48">
        <v>95</v>
      </c>
      <c r="J564" s="48">
        <v>27</v>
      </c>
      <c r="K564" s="48">
        <v>501</v>
      </c>
      <c r="L564" s="48">
        <v>79</v>
      </c>
      <c r="M564" s="48">
        <v>54</v>
      </c>
      <c r="N564" s="48">
        <v>900</v>
      </c>
      <c r="O564" s="48">
        <v>81</v>
      </c>
      <c r="P564" s="48">
        <v>10</v>
      </c>
      <c r="Q564" s="48">
        <v>195</v>
      </c>
      <c r="R564" s="48">
        <v>99</v>
      </c>
      <c r="S564" s="48">
        <v>2</v>
      </c>
      <c r="T564" s="48">
        <v>13</v>
      </c>
      <c r="U564" s="48">
        <v>77</v>
      </c>
      <c r="V564" s="48">
        <v>3</v>
      </c>
      <c r="W564" s="48">
        <v>162</v>
      </c>
      <c r="X564" s="48">
        <v>512</v>
      </c>
      <c r="Y564" s="48">
        <v>27</v>
      </c>
      <c r="Z564" s="48">
        <v>561</v>
      </c>
    </row>
    <row r="565" spans="1:26" ht="15" hidden="1" customHeight="1">
      <c r="A565" s="48" t="s">
        <v>1218</v>
      </c>
      <c r="B565" s="48" t="s">
        <v>1218</v>
      </c>
      <c r="C565" s="48" t="s">
        <v>1219</v>
      </c>
      <c r="D565" s="48" t="s">
        <v>50</v>
      </c>
      <c r="E565" s="48" t="s">
        <v>296</v>
      </c>
      <c r="F565" s="48">
        <v>110</v>
      </c>
      <c r="G565" s="48">
        <v>9</v>
      </c>
      <c r="H565" s="48">
        <v>310</v>
      </c>
      <c r="I565" s="48">
        <v>101</v>
      </c>
      <c r="J565" s="48">
        <v>22</v>
      </c>
      <c r="K565" s="48">
        <v>403</v>
      </c>
      <c r="L565" s="48">
        <v>115</v>
      </c>
      <c r="M565" s="48">
        <v>17</v>
      </c>
      <c r="N565" s="48">
        <v>330</v>
      </c>
      <c r="O565" s="48">
        <v>49</v>
      </c>
      <c r="P565" s="48">
        <v>50</v>
      </c>
      <c r="Q565" s="48">
        <v>842</v>
      </c>
      <c r="R565" s="48">
        <v>85</v>
      </c>
      <c r="S565" s="48">
        <v>19</v>
      </c>
      <c r="T565" s="48">
        <v>339</v>
      </c>
      <c r="U565" s="48">
        <v>52</v>
      </c>
      <c r="V565" s="48">
        <v>43</v>
      </c>
      <c r="W565" s="48">
        <v>849</v>
      </c>
      <c r="X565" s="48">
        <v>512</v>
      </c>
      <c r="Y565" s="48">
        <v>27</v>
      </c>
      <c r="Z565" s="48">
        <v>561</v>
      </c>
    </row>
    <row r="566" spans="1:26" ht="15" hidden="1" customHeight="1">
      <c r="A566" s="48" t="s">
        <v>1220</v>
      </c>
      <c r="B566" s="48" t="s">
        <v>1220</v>
      </c>
      <c r="C566" s="48" t="s">
        <v>1221</v>
      </c>
      <c r="D566" s="48" t="s">
        <v>50</v>
      </c>
      <c r="E566" s="48" t="s">
        <v>203</v>
      </c>
      <c r="F566" s="48">
        <v>107</v>
      </c>
      <c r="G566" s="48">
        <v>26</v>
      </c>
      <c r="H566" s="48">
        <v>429</v>
      </c>
      <c r="I566" s="48">
        <v>82</v>
      </c>
      <c r="J566" s="48">
        <v>33</v>
      </c>
      <c r="K566" s="48">
        <v>676</v>
      </c>
      <c r="L566" s="48">
        <v>83</v>
      </c>
      <c r="M566" s="48">
        <v>55</v>
      </c>
      <c r="N566" s="48">
        <v>881</v>
      </c>
      <c r="O566" s="48">
        <v>78</v>
      </c>
      <c r="P566" s="48">
        <v>14</v>
      </c>
      <c r="Q566" s="48">
        <v>256</v>
      </c>
      <c r="R566" s="48">
        <v>87</v>
      </c>
      <c r="S566" s="48">
        <v>17</v>
      </c>
      <c r="T566" s="48">
        <v>268</v>
      </c>
      <c r="U566" s="48">
        <v>75</v>
      </c>
      <c r="V566" s="48">
        <v>10</v>
      </c>
      <c r="W566" s="48">
        <v>219</v>
      </c>
      <c r="X566" s="48">
        <v>512</v>
      </c>
      <c r="Y566" s="48">
        <v>26</v>
      </c>
      <c r="Z566" s="48">
        <v>561</v>
      </c>
    </row>
    <row r="567" spans="1:26" ht="15" hidden="1" customHeight="1">
      <c r="A567" s="48" t="s">
        <v>1222</v>
      </c>
      <c r="B567" s="48" t="s">
        <v>1222</v>
      </c>
      <c r="C567" s="48" t="s">
        <v>1223</v>
      </c>
      <c r="D567" s="48" t="s">
        <v>50</v>
      </c>
      <c r="E567" s="48" t="s">
        <v>203</v>
      </c>
      <c r="F567" s="48">
        <v>118</v>
      </c>
      <c r="G567" s="48">
        <v>6</v>
      </c>
      <c r="H567" s="48">
        <v>69</v>
      </c>
      <c r="I567" s="48">
        <v>93</v>
      </c>
      <c r="J567" s="48">
        <v>24</v>
      </c>
      <c r="K567" s="48">
        <v>540</v>
      </c>
      <c r="L567" s="48">
        <v>132.5</v>
      </c>
      <c r="M567" s="48">
        <v>2</v>
      </c>
      <c r="N567" s="48">
        <v>20</v>
      </c>
      <c r="O567" s="48">
        <v>61</v>
      </c>
      <c r="P567" s="48">
        <v>35</v>
      </c>
      <c r="Q567" s="48">
        <v>627</v>
      </c>
      <c r="R567" s="48">
        <v>65</v>
      </c>
      <c r="S567" s="48">
        <v>50</v>
      </c>
      <c r="T567" s="48">
        <v>866</v>
      </c>
      <c r="U567" s="48">
        <v>42</v>
      </c>
      <c r="V567" s="48">
        <v>52</v>
      </c>
      <c r="W567" s="48">
        <v>925</v>
      </c>
      <c r="X567" s="48">
        <v>511.5</v>
      </c>
      <c r="Y567" s="48">
        <v>27</v>
      </c>
      <c r="Z567" s="48">
        <v>564</v>
      </c>
    </row>
    <row r="568" spans="1:26" ht="15" hidden="1" customHeight="1">
      <c r="A568" s="48" t="s">
        <v>1224</v>
      </c>
      <c r="B568" s="48" t="s">
        <v>1224</v>
      </c>
      <c r="C568" s="48" t="s">
        <v>1225</v>
      </c>
      <c r="D568" s="48" t="s">
        <v>50</v>
      </c>
      <c r="E568" s="48" t="s">
        <v>203</v>
      </c>
      <c r="F568" s="48">
        <v>95</v>
      </c>
      <c r="G568" s="48">
        <v>53</v>
      </c>
      <c r="H568" s="48">
        <v>837</v>
      </c>
      <c r="I568" s="48">
        <v>88</v>
      </c>
      <c r="J568" s="48">
        <v>27</v>
      </c>
      <c r="K568" s="48">
        <v>601</v>
      </c>
      <c r="L568" s="48">
        <v>93.5</v>
      </c>
      <c r="M568" s="48">
        <v>46</v>
      </c>
      <c r="N568" s="48">
        <v>790</v>
      </c>
      <c r="O568" s="48">
        <v>81</v>
      </c>
      <c r="P568" s="48">
        <v>9</v>
      </c>
      <c r="Q568" s="48">
        <v>195</v>
      </c>
      <c r="R568" s="48">
        <v>85</v>
      </c>
      <c r="S568" s="48">
        <v>21</v>
      </c>
      <c r="T568" s="48">
        <v>339</v>
      </c>
      <c r="U568" s="48">
        <v>69</v>
      </c>
      <c r="V568" s="48">
        <v>20</v>
      </c>
      <c r="W568" s="48">
        <v>420</v>
      </c>
      <c r="X568" s="48">
        <v>511.5</v>
      </c>
      <c r="Y568" s="48">
        <v>27</v>
      </c>
      <c r="Z568" s="48">
        <v>564</v>
      </c>
    </row>
    <row r="569" spans="1:26" ht="15" hidden="1" customHeight="1">
      <c r="A569" s="48" t="s">
        <v>1226</v>
      </c>
      <c r="B569" s="48" t="s">
        <v>1226</v>
      </c>
      <c r="C569" s="48" t="s">
        <v>1227</v>
      </c>
      <c r="D569" s="48" t="s">
        <v>50</v>
      </c>
      <c r="E569" s="48" t="s">
        <v>296</v>
      </c>
      <c r="F569" s="48">
        <v>99</v>
      </c>
      <c r="G569" s="48">
        <v>36</v>
      </c>
      <c r="H569" s="48">
        <v>754</v>
      </c>
      <c r="I569" s="48">
        <v>93</v>
      </c>
      <c r="J569" s="48">
        <v>31</v>
      </c>
      <c r="K569" s="48">
        <v>540</v>
      </c>
      <c r="L569" s="48">
        <v>99.5</v>
      </c>
      <c r="M569" s="48">
        <v>41</v>
      </c>
      <c r="N569" s="48">
        <v>694</v>
      </c>
      <c r="O569" s="48">
        <v>79</v>
      </c>
      <c r="P569" s="48">
        <v>13</v>
      </c>
      <c r="Q569" s="48">
        <v>236</v>
      </c>
      <c r="R569" s="48">
        <v>72</v>
      </c>
      <c r="S569" s="48">
        <v>45</v>
      </c>
      <c r="T569" s="48">
        <v>751</v>
      </c>
      <c r="U569" s="48">
        <v>69</v>
      </c>
      <c r="V569" s="48">
        <v>15</v>
      </c>
      <c r="W569" s="48">
        <v>420</v>
      </c>
      <c r="X569" s="48">
        <v>511.5</v>
      </c>
      <c r="Y569" s="48">
        <v>29</v>
      </c>
      <c r="Z569" s="48">
        <v>564</v>
      </c>
    </row>
    <row r="570" spans="1:26" ht="15" hidden="1" customHeight="1">
      <c r="A570" s="48" t="s">
        <v>1228</v>
      </c>
      <c r="B570" s="48" t="s">
        <v>1228</v>
      </c>
      <c r="C570" s="48" t="s">
        <v>1229</v>
      </c>
      <c r="D570" s="48" t="s">
        <v>50</v>
      </c>
      <c r="E570" s="48" t="s">
        <v>210</v>
      </c>
      <c r="F570" s="48">
        <v>87</v>
      </c>
      <c r="G570" s="48">
        <v>55</v>
      </c>
      <c r="H570" s="48">
        <v>922</v>
      </c>
      <c r="I570" s="48">
        <v>95</v>
      </c>
      <c r="J570" s="48">
        <v>28</v>
      </c>
      <c r="K570" s="48">
        <v>501</v>
      </c>
      <c r="L570" s="48">
        <v>119.5</v>
      </c>
      <c r="M570" s="48">
        <v>14</v>
      </c>
      <c r="N570" s="48">
        <v>229</v>
      </c>
      <c r="O570" s="48">
        <v>62</v>
      </c>
      <c r="P570" s="48">
        <v>42</v>
      </c>
      <c r="Q570" s="48">
        <v>607</v>
      </c>
      <c r="R570" s="48">
        <v>83</v>
      </c>
      <c r="S570" s="48">
        <v>31</v>
      </c>
      <c r="T570" s="48">
        <v>407</v>
      </c>
      <c r="U570" s="48">
        <v>65</v>
      </c>
      <c r="V570" s="48">
        <v>31</v>
      </c>
      <c r="W570" s="48">
        <v>554</v>
      </c>
      <c r="X570" s="48">
        <v>511.5</v>
      </c>
      <c r="Y570" s="48">
        <v>36</v>
      </c>
      <c r="Z570" s="48">
        <v>564</v>
      </c>
    </row>
    <row r="571" spans="1:26" ht="15" hidden="1" customHeight="1">
      <c r="A571" s="48" t="s">
        <v>1230</v>
      </c>
      <c r="B571" s="48" t="s">
        <v>1230</v>
      </c>
      <c r="C571" s="48" t="s">
        <v>1231</v>
      </c>
      <c r="D571" s="48" t="s">
        <v>50</v>
      </c>
      <c r="E571" s="48" t="s">
        <v>240</v>
      </c>
      <c r="F571" s="48">
        <v>106</v>
      </c>
      <c r="G571" s="48">
        <v>27</v>
      </c>
      <c r="H571" s="48">
        <v>477</v>
      </c>
      <c r="I571" s="48">
        <v>85</v>
      </c>
      <c r="J571" s="48">
        <v>37</v>
      </c>
      <c r="K571" s="48">
        <v>643</v>
      </c>
      <c r="L571" s="48">
        <v>123.5</v>
      </c>
      <c r="M571" s="48">
        <v>5</v>
      </c>
      <c r="N571" s="48">
        <v>124</v>
      </c>
      <c r="O571" s="48">
        <v>68</v>
      </c>
      <c r="P571" s="48">
        <v>34</v>
      </c>
      <c r="Q571" s="48">
        <v>474</v>
      </c>
      <c r="R571" s="48">
        <v>65</v>
      </c>
      <c r="S571" s="48">
        <v>51</v>
      </c>
      <c r="T571" s="48">
        <v>866</v>
      </c>
      <c r="U571" s="48">
        <v>64</v>
      </c>
      <c r="V571" s="48">
        <v>37</v>
      </c>
      <c r="W571" s="48">
        <v>593</v>
      </c>
      <c r="X571" s="48">
        <v>511.5</v>
      </c>
      <c r="Y571" s="48">
        <v>37</v>
      </c>
      <c r="Z571" s="48">
        <v>564</v>
      </c>
    </row>
    <row r="572" spans="1:26" ht="15" hidden="1" customHeight="1">
      <c r="A572" s="48" t="s">
        <v>1232</v>
      </c>
      <c r="B572" s="48" t="s">
        <v>1232</v>
      </c>
      <c r="C572" s="48" t="s">
        <v>1233</v>
      </c>
      <c r="D572" s="48" t="s">
        <v>50</v>
      </c>
      <c r="E572" s="48" t="s">
        <v>106</v>
      </c>
      <c r="F572" s="48">
        <v>112</v>
      </c>
      <c r="G572" s="48">
        <v>19</v>
      </c>
      <c r="H572" s="48">
        <v>226</v>
      </c>
      <c r="I572" s="48">
        <v>86</v>
      </c>
      <c r="J572" s="48">
        <v>31</v>
      </c>
      <c r="K572" s="48">
        <v>626</v>
      </c>
      <c r="L572" s="48">
        <v>94.5</v>
      </c>
      <c r="M572" s="48">
        <v>42</v>
      </c>
      <c r="N572" s="48">
        <v>779</v>
      </c>
      <c r="O572" s="48">
        <v>70</v>
      </c>
      <c r="P572" s="48">
        <v>16</v>
      </c>
      <c r="Q572" s="48">
        <v>429</v>
      </c>
      <c r="R572" s="48">
        <v>79</v>
      </c>
      <c r="S572" s="48">
        <v>19</v>
      </c>
      <c r="T572" s="48">
        <v>539</v>
      </c>
      <c r="U572" s="48">
        <v>70</v>
      </c>
      <c r="V572" s="48">
        <v>15</v>
      </c>
      <c r="W572" s="48">
        <v>380</v>
      </c>
      <c r="X572" s="48">
        <v>511.5</v>
      </c>
      <c r="Y572" s="48">
        <v>25</v>
      </c>
      <c r="Z572" s="48">
        <v>564</v>
      </c>
    </row>
    <row r="573" spans="1:26" ht="15" hidden="1" customHeight="1">
      <c r="A573" s="48" t="s">
        <v>1234</v>
      </c>
      <c r="B573" s="48" t="s">
        <v>1234</v>
      </c>
      <c r="C573" s="48" t="s">
        <v>1235</v>
      </c>
      <c r="D573" s="48" t="s">
        <v>50</v>
      </c>
      <c r="E573" s="48" t="s">
        <v>150</v>
      </c>
      <c r="F573" s="48">
        <v>102</v>
      </c>
      <c r="G573" s="48">
        <v>32</v>
      </c>
      <c r="H573" s="48">
        <v>655</v>
      </c>
      <c r="I573" s="48">
        <v>88</v>
      </c>
      <c r="J573" s="48">
        <v>43</v>
      </c>
      <c r="K573" s="48">
        <v>601</v>
      </c>
      <c r="L573" s="48">
        <v>113.5</v>
      </c>
      <c r="M573" s="48">
        <v>19</v>
      </c>
      <c r="N573" s="48">
        <v>374</v>
      </c>
      <c r="O573" s="48">
        <v>61</v>
      </c>
      <c r="P573" s="48">
        <v>33</v>
      </c>
      <c r="Q573" s="48">
        <v>627</v>
      </c>
      <c r="R573" s="48">
        <v>81</v>
      </c>
      <c r="S573" s="48">
        <v>32</v>
      </c>
      <c r="T573" s="48">
        <v>474</v>
      </c>
      <c r="U573" s="48">
        <v>66</v>
      </c>
      <c r="V573" s="48">
        <v>43</v>
      </c>
      <c r="W573" s="48">
        <v>519</v>
      </c>
      <c r="X573" s="48">
        <v>511.5</v>
      </c>
      <c r="Y573" s="48">
        <v>37</v>
      </c>
      <c r="Z573" s="48">
        <v>564</v>
      </c>
    </row>
    <row r="574" spans="1:26" ht="15" hidden="1" customHeight="1">
      <c r="A574" s="48" t="s">
        <v>1236</v>
      </c>
      <c r="B574" s="48" t="s">
        <v>1236</v>
      </c>
      <c r="C574" s="48" t="s">
        <v>1237</v>
      </c>
      <c r="D574" s="48" t="s">
        <v>50</v>
      </c>
      <c r="E574" s="48" t="s">
        <v>111</v>
      </c>
      <c r="F574" s="48">
        <v>91</v>
      </c>
      <c r="G574" s="48">
        <v>53</v>
      </c>
      <c r="H574" s="48">
        <v>890</v>
      </c>
      <c r="I574" s="48">
        <v>87</v>
      </c>
      <c r="J574" s="48">
        <v>31</v>
      </c>
      <c r="K574" s="48">
        <v>614</v>
      </c>
      <c r="L574" s="48">
        <v>112</v>
      </c>
      <c r="M574" s="48">
        <v>24</v>
      </c>
      <c r="N574" s="48">
        <v>413</v>
      </c>
      <c r="O574" s="48">
        <v>56</v>
      </c>
      <c r="P574" s="48">
        <v>42</v>
      </c>
      <c r="Q574" s="48">
        <v>731</v>
      </c>
      <c r="R574" s="48">
        <v>87</v>
      </c>
      <c r="S574" s="48">
        <v>12</v>
      </c>
      <c r="T574" s="48">
        <v>268</v>
      </c>
      <c r="U574" s="48">
        <v>78</v>
      </c>
      <c r="V574" s="48">
        <v>4</v>
      </c>
      <c r="W574" s="48">
        <v>133</v>
      </c>
      <c r="X574" s="48">
        <v>511</v>
      </c>
      <c r="Y574" s="48">
        <v>27</v>
      </c>
      <c r="Z574" s="48">
        <v>571</v>
      </c>
    </row>
    <row r="575" spans="1:26" ht="15" hidden="1" customHeight="1">
      <c r="A575" s="48" t="s">
        <v>1238</v>
      </c>
      <c r="B575" s="48" t="s">
        <v>1238</v>
      </c>
      <c r="C575" s="48" t="s">
        <v>1239</v>
      </c>
      <c r="D575" s="48" t="s">
        <v>50</v>
      </c>
      <c r="E575" s="48" t="s">
        <v>169</v>
      </c>
      <c r="F575" s="48">
        <v>108</v>
      </c>
      <c r="G575" s="48">
        <v>25</v>
      </c>
      <c r="H575" s="48">
        <v>391</v>
      </c>
      <c r="I575" s="48">
        <v>87</v>
      </c>
      <c r="J575" s="48">
        <v>33</v>
      </c>
      <c r="K575" s="48">
        <v>614</v>
      </c>
      <c r="L575" s="48">
        <v>99.5</v>
      </c>
      <c r="M575" s="48">
        <v>41</v>
      </c>
      <c r="N575" s="48">
        <v>694</v>
      </c>
      <c r="O575" s="48">
        <v>71</v>
      </c>
      <c r="P575" s="48">
        <v>23</v>
      </c>
      <c r="Q575" s="48">
        <v>411</v>
      </c>
      <c r="R575" s="48">
        <v>75</v>
      </c>
      <c r="S575" s="48">
        <v>36</v>
      </c>
      <c r="T575" s="48">
        <v>671</v>
      </c>
      <c r="U575" s="48">
        <v>70</v>
      </c>
      <c r="V575" s="48">
        <v>22</v>
      </c>
      <c r="W575" s="48">
        <v>380</v>
      </c>
      <c r="X575" s="48">
        <v>510.5</v>
      </c>
      <c r="Y575" s="48">
        <v>33</v>
      </c>
      <c r="Z575" s="48">
        <v>572</v>
      </c>
    </row>
    <row r="576" spans="1:26" ht="15" hidden="1" customHeight="1">
      <c r="A576" s="48" t="s">
        <v>1240</v>
      </c>
      <c r="B576" s="48" t="s">
        <v>1240</v>
      </c>
      <c r="C576" s="48" t="s">
        <v>1241</v>
      </c>
      <c r="D576" s="48" t="s">
        <v>50</v>
      </c>
      <c r="E576" s="48" t="s">
        <v>210</v>
      </c>
      <c r="F576" s="48">
        <v>101</v>
      </c>
      <c r="G576" s="48">
        <v>44</v>
      </c>
      <c r="H576" s="48">
        <v>688</v>
      </c>
      <c r="I576" s="48">
        <v>122</v>
      </c>
      <c r="J576" s="48">
        <v>4</v>
      </c>
      <c r="K576" s="48">
        <v>116</v>
      </c>
      <c r="L576" s="48">
        <v>106.5</v>
      </c>
      <c r="M576" s="48">
        <v>34</v>
      </c>
      <c r="N576" s="48">
        <v>554</v>
      </c>
      <c r="O576" s="48">
        <v>57</v>
      </c>
      <c r="P576" s="48">
        <v>48</v>
      </c>
      <c r="Q576" s="48">
        <v>713</v>
      </c>
      <c r="R576" s="48">
        <v>73</v>
      </c>
      <c r="S576" s="48">
        <v>45</v>
      </c>
      <c r="T576" s="48">
        <v>717</v>
      </c>
      <c r="U576" s="48">
        <v>51</v>
      </c>
      <c r="V576" s="48">
        <v>51</v>
      </c>
      <c r="W576" s="48">
        <v>862</v>
      </c>
      <c r="X576" s="48">
        <v>510.5</v>
      </c>
      <c r="Y576" s="48">
        <v>37</v>
      </c>
      <c r="Z576" s="48">
        <v>572</v>
      </c>
    </row>
    <row r="577" spans="1:26" ht="15" hidden="1" customHeight="1">
      <c r="A577" s="48" t="s">
        <v>1242</v>
      </c>
      <c r="B577" s="48" t="s">
        <v>1242</v>
      </c>
      <c r="C577" s="48" t="s">
        <v>1243</v>
      </c>
      <c r="D577" s="48" t="s">
        <v>50</v>
      </c>
      <c r="E577" s="48" t="s">
        <v>150</v>
      </c>
      <c r="F577" s="48">
        <v>91</v>
      </c>
      <c r="G577" s="48">
        <v>49</v>
      </c>
      <c r="H577" s="48">
        <v>890</v>
      </c>
      <c r="I577" s="48">
        <v>126</v>
      </c>
      <c r="J577" s="48">
        <v>9</v>
      </c>
      <c r="K577" s="48">
        <v>86</v>
      </c>
      <c r="L577" s="48">
        <v>56.5</v>
      </c>
      <c r="M577" s="48">
        <v>56</v>
      </c>
      <c r="N577" s="48">
        <v>946</v>
      </c>
      <c r="O577" s="48">
        <v>83</v>
      </c>
      <c r="P577" s="48">
        <v>2</v>
      </c>
      <c r="Q577" s="48">
        <v>153</v>
      </c>
      <c r="R577" s="48">
        <v>87</v>
      </c>
      <c r="S577" s="48">
        <v>17</v>
      </c>
      <c r="T577" s="48">
        <v>268</v>
      </c>
      <c r="U577" s="48">
        <v>67</v>
      </c>
      <c r="V577" s="48">
        <v>42</v>
      </c>
      <c r="W577" s="48">
        <v>489</v>
      </c>
      <c r="X577" s="48">
        <v>510.5</v>
      </c>
      <c r="Y577" s="48">
        <v>38</v>
      </c>
      <c r="Z577" s="48">
        <v>572</v>
      </c>
    </row>
    <row r="578" spans="1:26" ht="15" hidden="1" customHeight="1">
      <c r="A578" s="48" t="s">
        <v>1244</v>
      </c>
      <c r="B578" s="48" t="s">
        <v>1244</v>
      </c>
      <c r="C578" s="48" t="s">
        <v>1245</v>
      </c>
      <c r="D578" s="48" t="s">
        <v>50</v>
      </c>
      <c r="E578" s="48" t="s">
        <v>217</v>
      </c>
      <c r="F578" s="48">
        <v>111</v>
      </c>
      <c r="G578" s="48">
        <v>17</v>
      </c>
      <c r="H578" s="48">
        <v>271</v>
      </c>
      <c r="I578" s="48">
        <v>104</v>
      </c>
      <c r="J578" s="48">
        <v>18</v>
      </c>
      <c r="K578" s="48">
        <v>358</v>
      </c>
      <c r="L578" s="48">
        <v>75.5</v>
      </c>
      <c r="M578" s="48">
        <v>54</v>
      </c>
      <c r="N578" s="48">
        <v>913</v>
      </c>
      <c r="O578" s="48">
        <v>88</v>
      </c>
      <c r="P578" s="48">
        <v>6</v>
      </c>
      <c r="Q578" s="48">
        <v>87</v>
      </c>
      <c r="R578" s="48">
        <v>70</v>
      </c>
      <c r="S578" s="48">
        <v>49</v>
      </c>
      <c r="T578" s="48">
        <v>787</v>
      </c>
      <c r="U578" s="48">
        <v>62</v>
      </c>
      <c r="V578" s="48">
        <v>37</v>
      </c>
      <c r="W578" s="48">
        <v>657</v>
      </c>
      <c r="X578" s="48">
        <v>510.5</v>
      </c>
      <c r="Y578" s="48">
        <v>27</v>
      </c>
      <c r="Z578" s="48">
        <v>572</v>
      </c>
    </row>
    <row r="579" spans="1:26" ht="15" hidden="1" customHeight="1">
      <c r="A579" s="48" t="s">
        <v>1246</v>
      </c>
      <c r="B579" s="48" t="s">
        <v>1246</v>
      </c>
      <c r="C579" s="48" t="s">
        <v>1247</v>
      </c>
      <c r="D579" s="48" t="s">
        <v>50</v>
      </c>
      <c r="E579" s="48" t="s">
        <v>172</v>
      </c>
      <c r="F579" s="48">
        <v>111</v>
      </c>
      <c r="G579" s="48">
        <v>12</v>
      </c>
      <c r="H579" s="48">
        <v>271</v>
      </c>
      <c r="I579" s="48">
        <v>100</v>
      </c>
      <c r="J579" s="48">
        <v>22</v>
      </c>
      <c r="K579" s="48">
        <v>421</v>
      </c>
      <c r="L579" s="48">
        <v>95</v>
      </c>
      <c r="M579" s="48">
        <v>43</v>
      </c>
      <c r="N579" s="48">
        <v>775</v>
      </c>
      <c r="O579" s="48">
        <v>58</v>
      </c>
      <c r="P579" s="48">
        <v>39</v>
      </c>
      <c r="Q579" s="48">
        <v>698</v>
      </c>
      <c r="R579" s="48">
        <v>78</v>
      </c>
      <c r="S579" s="48">
        <v>29</v>
      </c>
      <c r="T579" s="48">
        <v>577</v>
      </c>
      <c r="U579" s="48">
        <v>68</v>
      </c>
      <c r="V579" s="48">
        <v>30</v>
      </c>
      <c r="W579" s="48">
        <v>452</v>
      </c>
      <c r="X579" s="48">
        <v>510</v>
      </c>
      <c r="Y579" s="48">
        <v>30</v>
      </c>
      <c r="Z579" s="48">
        <v>576</v>
      </c>
    </row>
    <row r="580" spans="1:26" ht="15" hidden="1" customHeight="1">
      <c r="A580" s="48" t="s">
        <v>1248</v>
      </c>
      <c r="B580" s="48" t="s">
        <v>1248</v>
      </c>
      <c r="C580" s="48" t="s">
        <v>1249</v>
      </c>
      <c r="D580" s="48" t="s">
        <v>50</v>
      </c>
      <c r="E580" s="48" t="s">
        <v>150</v>
      </c>
      <c r="F580" s="48">
        <v>112</v>
      </c>
      <c r="G580" s="48">
        <v>8</v>
      </c>
      <c r="H580" s="48">
        <v>226</v>
      </c>
      <c r="I580" s="48">
        <v>76</v>
      </c>
      <c r="J580" s="48">
        <v>49</v>
      </c>
      <c r="K580" s="48">
        <v>754</v>
      </c>
      <c r="L580" s="48">
        <v>111</v>
      </c>
      <c r="M580" s="48">
        <v>26</v>
      </c>
      <c r="N580" s="48">
        <v>445</v>
      </c>
      <c r="O580" s="48">
        <v>61</v>
      </c>
      <c r="P580" s="48">
        <v>33</v>
      </c>
      <c r="Q580" s="48">
        <v>627</v>
      </c>
      <c r="R580" s="48">
        <v>76</v>
      </c>
      <c r="S580" s="48">
        <v>44</v>
      </c>
      <c r="T580" s="48">
        <v>642</v>
      </c>
      <c r="U580" s="48">
        <v>74</v>
      </c>
      <c r="V580" s="48">
        <v>24</v>
      </c>
      <c r="W580" s="48">
        <v>247</v>
      </c>
      <c r="X580" s="48">
        <v>510</v>
      </c>
      <c r="Y580" s="48">
        <v>39</v>
      </c>
      <c r="Z580" s="48">
        <v>576</v>
      </c>
    </row>
    <row r="581" spans="1:26" ht="15" hidden="1" customHeight="1">
      <c r="A581" s="48" t="s">
        <v>1250</v>
      </c>
      <c r="B581" s="48" t="s">
        <v>1250</v>
      </c>
      <c r="C581" s="48" t="s">
        <v>1251</v>
      </c>
      <c r="D581" s="48" t="s">
        <v>50</v>
      </c>
      <c r="E581" s="48" t="s">
        <v>296</v>
      </c>
      <c r="F581" s="48">
        <v>95</v>
      </c>
      <c r="G581" s="48">
        <v>41</v>
      </c>
      <c r="H581" s="48">
        <v>837</v>
      </c>
      <c r="I581" s="48">
        <v>119</v>
      </c>
      <c r="J581" s="48">
        <v>12</v>
      </c>
      <c r="K581" s="48">
        <v>154</v>
      </c>
      <c r="L581" s="48">
        <v>114</v>
      </c>
      <c r="M581" s="48">
        <v>19</v>
      </c>
      <c r="N581" s="48">
        <v>356</v>
      </c>
      <c r="O581" s="48">
        <v>54</v>
      </c>
      <c r="P581" s="48">
        <v>46</v>
      </c>
      <c r="Q581" s="48">
        <v>766</v>
      </c>
      <c r="R581" s="48">
        <v>73</v>
      </c>
      <c r="S581" s="48">
        <v>42</v>
      </c>
      <c r="T581" s="48">
        <v>717</v>
      </c>
      <c r="U581" s="48">
        <v>55</v>
      </c>
      <c r="V581" s="48">
        <v>37</v>
      </c>
      <c r="W581" s="48">
        <v>802</v>
      </c>
      <c r="X581" s="48">
        <v>510</v>
      </c>
      <c r="Y581" s="48">
        <v>30</v>
      </c>
      <c r="Z581" s="48">
        <v>576</v>
      </c>
    </row>
    <row r="582" spans="1:26" ht="15" hidden="1" customHeight="1">
      <c r="A582" s="48" t="s">
        <v>1252</v>
      </c>
      <c r="B582" s="48" t="s">
        <v>1252</v>
      </c>
      <c r="C582" s="48" t="s">
        <v>1253</v>
      </c>
      <c r="D582" s="48" t="s">
        <v>50</v>
      </c>
      <c r="E582" s="48" t="s">
        <v>111</v>
      </c>
      <c r="F582" s="48">
        <v>110</v>
      </c>
      <c r="G582" s="48">
        <v>16</v>
      </c>
      <c r="H582" s="48">
        <v>310</v>
      </c>
      <c r="I582" s="48">
        <v>107</v>
      </c>
      <c r="J582" s="48">
        <v>14</v>
      </c>
      <c r="K582" s="48">
        <v>313</v>
      </c>
      <c r="L582" s="48">
        <v>98</v>
      </c>
      <c r="M582" s="48">
        <v>44</v>
      </c>
      <c r="N582" s="48">
        <v>728</v>
      </c>
      <c r="O582" s="48">
        <v>61</v>
      </c>
      <c r="P582" s="48">
        <v>33</v>
      </c>
      <c r="Q582" s="48">
        <v>627</v>
      </c>
      <c r="R582" s="48">
        <v>72</v>
      </c>
      <c r="S582" s="48">
        <v>39</v>
      </c>
      <c r="T582" s="48">
        <v>751</v>
      </c>
      <c r="U582" s="48">
        <v>62</v>
      </c>
      <c r="V582" s="48">
        <v>33</v>
      </c>
      <c r="W582" s="48">
        <v>657</v>
      </c>
      <c r="X582" s="48">
        <v>510</v>
      </c>
      <c r="Y582" s="48">
        <v>28</v>
      </c>
      <c r="Z582" s="48">
        <v>576</v>
      </c>
    </row>
    <row r="583" spans="1:26" ht="15" hidden="1" customHeight="1">
      <c r="A583" s="48" t="s">
        <v>1254</v>
      </c>
      <c r="B583" s="48" t="s">
        <v>1254</v>
      </c>
      <c r="C583" s="48" t="s">
        <v>1255</v>
      </c>
      <c r="D583" s="48" t="s">
        <v>50</v>
      </c>
      <c r="E583" s="48" t="s">
        <v>111</v>
      </c>
      <c r="F583" s="48">
        <v>117</v>
      </c>
      <c r="G583" s="48">
        <v>3</v>
      </c>
      <c r="H583" s="48">
        <v>86</v>
      </c>
      <c r="I583" s="48">
        <v>69</v>
      </c>
      <c r="J583" s="48">
        <v>46</v>
      </c>
      <c r="K583" s="48">
        <v>827</v>
      </c>
      <c r="L583" s="48">
        <v>120.5</v>
      </c>
      <c r="M583" s="48">
        <v>13</v>
      </c>
      <c r="N583" s="48">
        <v>192</v>
      </c>
      <c r="O583" s="48">
        <v>70</v>
      </c>
      <c r="P583" s="48">
        <v>21</v>
      </c>
      <c r="Q583" s="48">
        <v>429</v>
      </c>
      <c r="R583" s="48">
        <v>80</v>
      </c>
      <c r="S583" s="48">
        <v>27</v>
      </c>
      <c r="T583" s="48">
        <v>511</v>
      </c>
      <c r="U583" s="48">
        <v>53</v>
      </c>
      <c r="V583" s="48">
        <v>46</v>
      </c>
      <c r="W583" s="48">
        <v>832</v>
      </c>
      <c r="X583" s="48">
        <v>509.5</v>
      </c>
      <c r="Y583" s="48">
        <v>29</v>
      </c>
      <c r="Z583" s="48">
        <v>580</v>
      </c>
    </row>
    <row r="584" spans="1:26" ht="15" hidden="1" customHeight="1">
      <c r="A584" s="48" t="s">
        <v>1256</v>
      </c>
      <c r="B584" s="48" t="s">
        <v>1256</v>
      </c>
      <c r="C584" s="48" t="s">
        <v>1257</v>
      </c>
      <c r="D584" s="48" t="s">
        <v>50</v>
      </c>
      <c r="E584" s="48" t="s">
        <v>203</v>
      </c>
      <c r="F584" s="48">
        <v>107</v>
      </c>
      <c r="G584" s="48">
        <v>26</v>
      </c>
      <c r="H584" s="48">
        <v>429</v>
      </c>
      <c r="I584" s="48">
        <v>89</v>
      </c>
      <c r="J584" s="48">
        <v>25</v>
      </c>
      <c r="K584" s="48">
        <v>587</v>
      </c>
      <c r="L584" s="48">
        <v>103.5</v>
      </c>
      <c r="M584" s="48">
        <v>34</v>
      </c>
      <c r="N584" s="48">
        <v>612</v>
      </c>
      <c r="O584" s="48">
        <v>69</v>
      </c>
      <c r="P584" s="48">
        <v>27</v>
      </c>
      <c r="Q584" s="48">
        <v>452</v>
      </c>
      <c r="R584" s="48">
        <v>73</v>
      </c>
      <c r="S584" s="48">
        <v>40</v>
      </c>
      <c r="T584" s="48">
        <v>717</v>
      </c>
      <c r="U584" s="48">
        <v>68</v>
      </c>
      <c r="V584" s="48">
        <v>24</v>
      </c>
      <c r="W584" s="48">
        <v>452</v>
      </c>
      <c r="X584" s="48">
        <v>509.5</v>
      </c>
      <c r="Y584" s="48">
        <v>29</v>
      </c>
      <c r="Z584" s="48">
        <v>580</v>
      </c>
    </row>
    <row r="585" spans="1:26" ht="15" hidden="1" customHeight="1">
      <c r="A585" s="48" t="s">
        <v>1258</v>
      </c>
      <c r="B585" s="48" t="s">
        <v>1258</v>
      </c>
      <c r="C585" s="48" t="s">
        <v>1259</v>
      </c>
      <c r="D585" s="48" t="s">
        <v>50</v>
      </c>
      <c r="E585" s="48" t="s">
        <v>172</v>
      </c>
      <c r="F585" s="48">
        <v>97</v>
      </c>
      <c r="G585" s="48">
        <v>47</v>
      </c>
      <c r="H585" s="48">
        <v>795</v>
      </c>
      <c r="I585" s="48">
        <v>100</v>
      </c>
      <c r="J585" s="48">
        <v>22</v>
      </c>
      <c r="K585" s="48">
        <v>421</v>
      </c>
      <c r="L585" s="48">
        <v>105</v>
      </c>
      <c r="M585" s="48">
        <v>33</v>
      </c>
      <c r="N585" s="48">
        <v>578</v>
      </c>
      <c r="O585" s="48">
        <v>64</v>
      </c>
      <c r="P585" s="48">
        <v>31</v>
      </c>
      <c r="Q585" s="48">
        <v>559</v>
      </c>
      <c r="R585" s="48">
        <v>74</v>
      </c>
      <c r="S585" s="48">
        <v>36</v>
      </c>
      <c r="T585" s="48">
        <v>702</v>
      </c>
      <c r="U585" s="48">
        <v>69</v>
      </c>
      <c r="V585" s="48">
        <v>25</v>
      </c>
      <c r="W585" s="48">
        <v>420</v>
      </c>
      <c r="X585" s="48">
        <v>509</v>
      </c>
      <c r="Y585" s="48">
        <v>31</v>
      </c>
      <c r="Z585" s="48">
        <v>582</v>
      </c>
    </row>
    <row r="586" spans="1:26" ht="15" hidden="1" customHeight="1">
      <c r="A586" s="48" t="s">
        <v>1260</v>
      </c>
      <c r="B586" s="48" t="s">
        <v>1260</v>
      </c>
      <c r="C586" s="48" t="s">
        <v>1261</v>
      </c>
      <c r="D586" s="48" t="s">
        <v>50</v>
      </c>
      <c r="E586" s="48" t="s">
        <v>150</v>
      </c>
      <c r="F586" s="48">
        <v>97</v>
      </c>
      <c r="G586" s="48">
        <v>43</v>
      </c>
      <c r="H586" s="48">
        <v>795</v>
      </c>
      <c r="I586" s="48">
        <v>79</v>
      </c>
      <c r="J586" s="48">
        <v>47</v>
      </c>
      <c r="K586" s="48">
        <v>713</v>
      </c>
      <c r="L586" s="48">
        <v>111.5</v>
      </c>
      <c r="M586" s="48">
        <v>24</v>
      </c>
      <c r="N586" s="48">
        <v>427</v>
      </c>
      <c r="O586" s="48">
        <v>59</v>
      </c>
      <c r="P586" s="48">
        <v>40</v>
      </c>
      <c r="Q586" s="48">
        <v>672</v>
      </c>
      <c r="R586" s="48">
        <v>86</v>
      </c>
      <c r="S586" s="48">
        <v>23</v>
      </c>
      <c r="T586" s="48">
        <v>304</v>
      </c>
      <c r="U586" s="48">
        <v>76</v>
      </c>
      <c r="V586" s="48">
        <v>20</v>
      </c>
      <c r="W586" s="48">
        <v>194</v>
      </c>
      <c r="X586" s="48">
        <v>508.5</v>
      </c>
      <c r="Y586" s="48">
        <v>40</v>
      </c>
      <c r="Z586" s="48">
        <v>583</v>
      </c>
    </row>
    <row r="587" spans="1:26" ht="15" hidden="1" customHeight="1">
      <c r="A587" s="48" t="s">
        <v>1262</v>
      </c>
      <c r="B587" s="48" t="s">
        <v>1262</v>
      </c>
      <c r="C587" s="48" t="s">
        <v>1263</v>
      </c>
      <c r="D587" s="48" t="s">
        <v>50</v>
      </c>
      <c r="E587" s="48" t="s">
        <v>150</v>
      </c>
      <c r="F587" s="48">
        <v>99</v>
      </c>
      <c r="G587" s="48">
        <v>39</v>
      </c>
      <c r="H587" s="48">
        <v>754</v>
      </c>
      <c r="I587" s="48">
        <v>89</v>
      </c>
      <c r="J587" s="48">
        <v>42</v>
      </c>
      <c r="K587" s="48">
        <v>587</v>
      </c>
      <c r="L587" s="48">
        <v>116.5</v>
      </c>
      <c r="M587" s="48">
        <v>14</v>
      </c>
      <c r="N587" s="48">
        <v>298</v>
      </c>
      <c r="O587" s="48">
        <v>66</v>
      </c>
      <c r="P587" s="48">
        <v>28</v>
      </c>
      <c r="Q587" s="48">
        <v>513</v>
      </c>
      <c r="R587" s="48">
        <v>74</v>
      </c>
      <c r="S587" s="48">
        <v>47</v>
      </c>
      <c r="T587" s="48">
        <v>702</v>
      </c>
      <c r="U587" s="48">
        <v>64</v>
      </c>
      <c r="V587" s="48">
        <v>48</v>
      </c>
      <c r="W587" s="48">
        <v>593</v>
      </c>
      <c r="X587" s="48">
        <v>508.5</v>
      </c>
      <c r="Y587" s="48">
        <v>40</v>
      </c>
      <c r="Z587" s="48">
        <v>583</v>
      </c>
    </row>
    <row r="588" spans="1:26" ht="15" hidden="1" customHeight="1">
      <c r="A588" s="48" t="s">
        <v>1264</v>
      </c>
      <c r="B588" s="48" t="s">
        <v>1264</v>
      </c>
      <c r="C588" s="48" t="s">
        <v>1265</v>
      </c>
      <c r="D588" s="48" t="s">
        <v>50</v>
      </c>
      <c r="E588" s="48" t="s">
        <v>97</v>
      </c>
      <c r="F588" s="48">
        <v>106</v>
      </c>
      <c r="G588" s="48">
        <v>26</v>
      </c>
      <c r="H588" s="48">
        <v>477</v>
      </c>
      <c r="I588" s="48">
        <v>87</v>
      </c>
      <c r="J588" s="48">
        <v>34</v>
      </c>
      <c r="K588" s="48">
        <v>614</v>
      </c>
      <c r="L588" s="48">
        <v>116.5</v>
      </c>
      <c r="M588" s="48">
        <v>13</v>
      </c>
      <c r="N588" s="48">
        <v>298</v>
      </c>
      <c r="O588" s="48">
        <v>62</v>
      </c>
      <c r="P588" s="48">
        <v>32</v>
      </c>
      <c r="Q588" s="48">
        <v>607</v>
      </c>
      <c r="R588" s="48">
        <v>75</v>
      </c>
      <c r="S588" s="48">
        <v>41</v>
      </c>
      <c r="T588" s="48">
        <v>671</v>
      </c>
      <c r="U588" s="48">
        <v>62</v>
      </c>
      <c r="V588" s="48">
        <v>42</v>
      </c>
      <c r="W588" s="48">
        <v>657</v>
      </c>
      <c r="X588" s="48">
        <v>508.5</v>
      </c>
      <c r="Y588" s="48">
        <v>36</v>
      </c>
      <c r="Z588" s="48">
        <v>583</v>
      </c>
    </row>
    <row r="589" spans="1:26" ht="15" hidden="1" customHeight="1">
      <c r="A589" s="48" t="s">
        <v>1266</v>
      </c>
      <c r="B589" s="48" t="s">
        <v>1266</v>
      </c>
      <c r="C589" s="48" t="s">
        <v>1267</v>
      </c>
      <c r="D589" s="48" t="s">
        <v>50</v>
      </c>
      <c r="E589" s="48" t="s">
        <v>111</v>
      </c>
      <c r="F589" s="48">
        <v>97</v>
      </c>
      <c r="G589" s="48">
        <v>46</v>
      </c>
      <c r="H589" s="48">
        <v>795</v>
      </c>
      <c r="I589" s="48">
        <v>77</v>
      </c>
      <c r="J589" s="48">
        <v>37</v>
      </c>
      <c r="K589" s="48">
        <v>741</v>
      </c>
      <c r="L589" s="48">
        <v>102.5</v>
      </c>
      <c r="M589" s="48">
        <v>37</v>
      </c>
      <c r="N589" s="48">
        <v>635</v>
      </c>
      <c r="O589" s="48">
        <v>77</v>
      </c>
      <c r="P589" s="48">
        <v>15</v>
      </c>
      <c r="Q589" s="48">
        <v>278</v>
      </c>
      <c r="R589" s="48">
        <v>81</v>
      </c>
      <c r="S589" s="48">
        <v>25</v>
      </c>
      <c r="T589" s="48">
        <v>474</v>
      </c>
      <c r="U589" s="48">
        <v>74</v>
      </c>
      <c r="V589" s="48">
        <v>10</v>
      </c>
      <c r="W589" s="48">
        <v>247</v>
      </c>
      <c r="X589" s="48">
        <v>508.5</v>
      </c>
      <c r="Y589" s="48">
        <v>30</v>
      </c>
      <c r="Z589" s="48">
        <v>583</v>
      </c>
    </row>
    <row r="590" spans="1:26" ht="15" hidden="1" customHeight="1">
      <c r="A590" s="48" t="s">
        <v>1268</v>
      </c>
      <c r="B590" s="48" t="s">
        <v>1268</v>
      </c>
      <c r="C590" s="48" t="s">
        <v>1269</v>
      </c>
      <c r="D590" s="48" t="s">
        <v>50</v>
      </c>
      <c r="E590" s="48" t="s">
        <v>169</v>
      </c>
      <c r="F590" s="48">
        <v>110</v>
      </c>
      <c r="G590" s="48">
        <v>15</v>
      </c>
      <c r="H590" s="48">
        <v>310</v>
      </c>
      <c r="I590" s="48">
        <v>76</v>
      </c>
      <c r="J590" s="48">
        <v>43</v>
      </c>
      <c r="K590" s="48">
        <v>754</v>
      </c>
      <c r="L590" s="48">
        <v>121</v>
      </c>
      <c r="M590" s="48">
        <v>6</v>
      </c>
      <c r="N590" s="48">
        <v>173</v>
      </c>
      <c r="O590" s="48">
        <v>65</v>
      </c>
      <c r="P590" s="48">
        <v>28</v>
      </c>
      <c r="Q590" s="48">
        <v>539</v>
      </c>
      <c r="R590" s="48">
        <v>73</v>
      </c>
      <c r="S590" s="48">
        <v>41</v>
      </c>
      <c r="T590" s="48">
        <v>717</v>
      </c>
      <c r="U590" s="48">
        <v>63</v>
      </c>
      <c r="V590" s="48">
        <v>36</v>
      </c>
      <c r="W590" s="48">
        <v>625</v>
      </c>
      <c r="X590" s="48">
        <v>508</v>
      </c>
      <c r="Y590" s="48">
        <v>34</v>
      </c>
      <c r="Z590" s="48">
        <v>587</v>
      </c>
    </row>
    <row r="591" spans="1:26" ht="15" hidden="1" customHeight="1">
      <c r="A591" s="48" t="s">
        <v>1270</v>
      </c>
      <c r="B591" s="48" t="s">
        <v>1270</v>
      </c>
      <c r="C591" s="48" t="s">
        <v>1271</v>
      </c>
      <c r="D591" s="48" t="s">
        <v>50</v>
      </c>
      <c r="E591" s="48" t="s">
        <v>169</v>
      </c>
      <c r="F591" s="48">
        <v>102</v>
      </c>
      <c r="G591" s="48">
        <v>41</v>
      </c>
      <c r="H591" s="48">
        <v>655</v>
      </c>
      <c r="I591" s="48">
        <v>101</v>
      </c>
      <c r="J591" s="48">
        <v>22</v>
      </c>
      <c r="K591" s="48">
        <v>403</v>
      </c>
      <c r="L591" s="48">
        <v>109</v>
      </c>
      <c r="M591" s="48">
        <v>29</v>
      </c>
      <c r="N591" s="48">
        <v>500</v>
      </c>
      <c r="O591" s="48">
        <v>80</v>
      </c>
      <c r="P591" s="48">
        <v>11</v>
      </c>
      <c r="Q591" s="48">
        <v>211</v>
      </c>
      <c r="R591" s="48">
        <v>70</v>
      </c>
      <c r="S591" s="48">
        <v>47</v>
      </c>
      <c r="T591" s="48">
        <v>787</v>
      </c>
      <c r="U591" s="48">
        <v>46</v>
      </c>
      <c r="V591" s="48">
        <v>53</v>
      </c>
      <c r="W591" s="48">
        <v>909</v>
      </c>
      <c r="X591" s="48">
        <v>508</v>
      </c>
      <c r="Y591" s="48">
        <v>34</v>
      </c>
      <c r="Z591" s="48">
        <v>587</v>
      </c>
    </row>
    <row r="592" spans="1:26" ht="15" hidden="1" customHeight="1">
      <c r="A592" s="48" t="s">
        <v>1272</v>
      </c>
      <c r="B592" s="48" t="s">
        <v>1272</v>
      </c>
      <c r="C592" s="48" t="s">
        <v>1273</v>
      </c>
      <c r="D592" s="48" t="s">
        <v>50</v>
      </c>
      <c r="E592" s="48" t="s">
        <v>84</v>
      </c>
      <c r="F592" s="48">
        <v>106</v>
      </c>
      <c r="G592" s="48">
        <v>26</v>
      </c>
      <c r="H592" s="48">
        <v>477</v>
      </c>
      <c r="I592" s="48">
        <v>101</v>
      </c>
      <c r="J592" s="48">
        <v>17</v>
      </c>
      <c r="K592" s="48">
        <v>403</v>
      </c>
      <c r="L592" s="48">
        <v>111</v>
      </c>
      <c r="M592" s="48">
        <v>29</v>
      </c>
      <c r="N592" s="48">
        <v>445</v>
      </c>
      <c r="O592" s="48">
        <v>59</v>
      </c>
      <c r="P592" s="48">
        <v>42</v>
      </c>
      <c r="Q592" s="48">
        <v>672</v>
      </c>
      <c r="R592" s="48">
        <v>77</v>
      </c>
      <c r="S592" s="48">
        <v>35</v>
      </c>
      <c r="T592" s="48">
        <v>608</v>
      </c>
      <c r="U592" s="48">
        <v>54</v>
      </c>
      <c r="V592" s="48">
        <v>50</v>
      </c>
      <c r="W592" s="48">
        <v>817</v>
      </c>
      <c r="X592" s="48">
        <v>508</v>
      </c>
      <c r="Y592" s="48">
        <v>33</v>
      </c>
      <c r="Z592" s="48">
        <v>587</v>
      </c>
    </row>
    <row r="593" spans="1:26" ht="15" hidden="1" customHeight="1">
      <c r="A593" s="48" t="s">
        <v>1274</v>
      </c>
      <c r="B593" s="48" t="s">
        <v>1274</v>
      </c>
      <c r="C593" s="48" t="s">
        <v>1275</v>
      </c>
      <c r="D593" s="48" t="s">
        <v>50</v>
      </c>
      <c r="E593" s="48" t="s">
        <v>249</v>
      </c>
      <c r="F593" s="48">
        <v>116</v>
      </c>
      <c r="G593" s="48">
        <v>8</v>
      </c>
      <c r="H593" s="48">
        <v>117</v>
      </c>
      <c r="I593" s="48">
        <v>72</v>
      </c>
      <c r="J593" s="48">
        <v>46</v>
      </c>
      <c r="K593" s="48">
        <v>802</v>
      </c>
      <c r="L593" s="48">
        <v>114</v>
      </c>
      <c r="M593" s="48">
        <v>16</v>
      </c>
      <c r="N593" s="48">
        <v>356</v>
      </c>
      <c r="O593" s="48">
        <v>70</v>
      </c>
      <c r="P593" s="48">
        <v>25</v>
      </c>
      <c r="Q593" s="48">
        <v>429</v>
      </c>
      <c r="R593" s="48">
        <v>60</v>
      </c>
      <c r="S593" s="48">
        <v>47</v>
      </c>
      <c r="T593" s="48">
        <v>908</v>
      </c>
      <c r="U593" s="48">
        <v>76</v>
      </c>
      <c r="V593" s="48">
        <v>7</v>
      </c>
      <c r="W593" s="48">
        <v>194</v>
      </c>
      <c r="X593" s="48">
        <v>508</v>
      </c>
      <c r="Y593" s="48">
        <v>27</v>
      </c>
      <c r="Z593" s="48">
        <v>587</v>
      </c>
    </row>
    <row r="594" spans="1:26" ht="15" hidden="1" customHeight="1">
      <c r="A594" s="48" t="s">
        <v>1276</v>
      </c>
      <c r="B594" s="48" t="s">
        <v>1276</v>
      </c>
      <c r="C594" s="48" t="s">
        <v>1277</v>
      </c>
      <c r="D594" s="48" t="s">
        <v>50</v>
      </c>
      <c r="E594" s="48" t="s">
        <v>97</v>
      </c>
      <c r="F594" s="48">
        <v>112</v>
      </c>
      <c r="G594" s="48">
        <v>12</v>
      </c>
      <c r="H594" s="48">
        <v>226</v>
      </c>
      <c r="I594" s="48">
        <v>75</v>
      </c>
      <c r="J594" s="48">
        <v>45</v>
      </c>
      <c r="K594" s="48">
        <v>766</v>
      </c>
      <c r="L594" s="48">
        <v>114.5</v>
      </c>
      <c r="M594" s="48">
        <v>16</v>
      </c>
      <c r="N594" s="48">
        <v>340</v>
      </c>
      <c r="O594" s="48">
        <v>65</v>
      </c>
      <c r="P594" s="48">
        <v>30</v>
      </c>
      <c r="Q594" s="48">
        <v>539</v>
      </c>
      <c r="R594" s="48">
        <v>73</v>
      </c>
      <c r="S594" s="48">
        <v>42</v>
      </c>
      <c r="T594" s="48">
        <v>717</v>
      </c>
      <c r="U594" s="48">
        <v>68</v>
      </c>
      <c r="V594" s="48">
        <v>32</v>
      </c>
      <c r="W594" s="48">
        <v>452</v>
      </c>
      <c r="X594" s="48">
        <v>507.5</v>
      </c>
      <c r="Y594" s="48">
        <v>37</v>
      </c>
      <c r="Z594" s="48">
        <v>591</v>
      </c>
    </row>
    <row r="595" spans="1:26" ht="15" hidden="1" customHeight="1">
      <c r="A595" s="48" t="s">
        <v>1278</v>
      </c>
      <c r="B595" s="48" t="s">
        <v>1278</v>
      </c>
      <c r="C595" s="48" t="s">
        <v>1279</v>
      </c>
      <c r="D595" s="48" t="s">
        <v>50</v>
      </c>
      <c r="E595" s="48" t="s">
        <v>92</v>
      </c>
      <c r="F595" s="48">
        <v>101</v>
      </c>
      <c r="G595" s="48">
        <v>33</v>
      </c>
      <c r="H595" s="48">
        <v>688</v>
      </c>
      <c r="I595" s="48">
        <v>102</v>
      </c>
      <c r="J595" s="48">
        <v>17</v>
      </c>
      <c r="K595" s="48">
        <v>386</v>
      </c>
      <c r="L595" s="48">
        <v>79.5</v>
      </c>
      <c r="M595" s="48">
        <v>53</v>
      </c>
      <c r="N595" s="48">
        <v>897</v>
      </c>
      <c r="O595" s="48">
        <v>76</v>
      </c>
      <c r="P595" s="48">
        <v>15</v>
      </c>
      <c r="Q595" s="48">
        <v>302</v>
      </c>
      <c r="R595" s="48">
        <v>81</v>
      </c>
      <c r="S595" s="48">
        <v>28</v>
      </c>
      <c r="T595" s="48">
        <v>474</v>
      </c>
      <c r="U595" s="48">
        <v>68</v>
      </c>
      <c r="V595" s="48">
        <v>31</v>
      </c>
      <c r="W595" s="48">
        <v>452</v>
      </c>
      <c r="X595" s="48">
        <v>507.5</v>
      </c>
      <c r="Y595" s="48">
        <v>35</v>
      </c>
      <c r="Z595" s="48">
        <v>591</v>
      </c>
    </row>
    <row r="596" spans="1:26" ht="15" hidden="1" customHeight="1">
      <c r="A596" s="48" t="s">
        <v>1280</v>
      </c>
      <c r="B596" s="48" t="s">
        <v>1280</v>
      </c>
      <c r="C596" s="48" t="s">
        <v>1281</v>
      </c>
      <c r="D596" s="48" t="s">
        <v>50</v>
      </c>
      <c r="E596" s="48" t="s">
        <v>84</v>
      </c>
      <c r="F596" s="48">
        <v>110</v>
      </c>
      <c r="G596" s="48">
        <v>18</v>
      </c>
      <c r="H596" s="48">
        <v>310</v>
      </c>
      <c r="I596" s="48">
        <v>80</v>
      </c>
      <c r="J596" s="48">
        <v>42</v>
      </c>
      <c r="K596" s="48">
        <v>699</v>
      </c>
      <c r="L596" s="48">
        <v>109.5</v>
      </c>
      <c r="M596" s="48">
        <v>32</v>
      </c>
      <c r="N596" s="48">
        <v>490</v>
      </c>
      <c r="O596" s="48">
        <v>62</v>
      </c>
      <c r="P596" s="48">
        <v>38</v>
      </c>
      <c r="Q596" s="48">
        <v>607</v>
      </c>
      <c r="R596" s="48">
        <v>75</v>
      </c>
      <c r="S596" s="48">
        <v>40</v>
      </c>
      <c r="T596" s="48">
        <v>671</v>
      </c>
      <c r="U596" s="48">
        <v>71</v>
      </c>
      <c r="V596" s="48">
        <v>15</v>
      </c>
      <c r="W596" s="48">
        <v>342</v>
      </c>
      <c r="X596" s="48">
        <v>507.5</v>
      </c>
      <c r="Y596" s="48">
        <v>34</v>
      </c>
      <c r="Z596" s="48">
        <v>591</v>
      </c>
    </row>
    <row r="597" spans="1:26" ht="15" hidden="1" customHeight="1">
      <c r="A597" s="48" t="s">
        <v>1282</v>
      </c>
      <c r="B597" s="48" t="s">
        <v>1282</v>
      </c>
      <c r="C597" s="48" t="s">
        <v>1283</v>
      </c>
      <c r="D597" s="48" t="s">
        <v>50</v>
      </c>
      <c r="E597" s="48" t="s">
        <v>111</v>
      </c>
      <c r="F597" s="48">
        <v>103</v>
      </c>
      <c r="G597" s="48">
        <v>30</v>
      </c>
      <c r="H597" s="48">
        <v>606</v>
      </c>
      <c r="I597" s="48">
        <v>73</v>
      </c>
      <c r="J597" s="48">
        <v>41</v>
      </c>
      <c r="K597" s="48">
        <v>788</v>
      </c>
      <c r="L597" s="48">
        <v>101</v>
      </c>
      <c r="M597" s="48">
        <v>39</v>
      </c>
      <c r="N597" s="48">
        <v>661</v>
      </c>
      <c r="O597" s="48">
        <v>79</v>
      </c>
      <c r="P597" s="48">
        <v>12</v>
      </c>
      <c r="Q597" s="48">
        <v>236</v>
      </c>
      <c r="R597" s="48">
        <v>77</v>
      </c>
      <c r="S597" s="48">
        <v>31</v>
      </c>
      <c r="T597" s="48">
        <v>608</v>
      </c>
      <c r="U597" s="48">
        <v>74</v>
      </c>
      <c r="V597" s="48">
        <v>10</v>
      </c>
      <c r="W597" s="48">
        <v>247</v>
      </c>
      <c r="X597" s="48">
        <v>507</v>
      </c>
      <c r="Y597" s="48">
        <v>31</v>
      </c>
      <c r="Z597" s="48">
        <v>594</v>
      </c>
    </row>
    <row r="598" spans="1:26" ht="15" hidden="1" customHeight="1">
      <c r="A598" s="48" t="s">
        <v>1284</v>
      </c>
      <c r="B598" s="48" t="s">
        <v>1284</v>
      </c>
      <c r="C598" s="48" t="s">
        <v>1285</v>
      </c>
      <c r="D598" s="48" t="s">
        <v>50</v>
      </c>
      <c r="E598" s="48" t="s">
        <v>106</v>
      </c>
      <c r="F598" s="48">
        <v>114</v>
      </c>
      <c r="G598" s="48">
        <v>12</v>
      </c>
      <c r="H598" s="48">
        <v>170</v>
      </c>
      <c r="I598" s="48">
        <v>85</v>
      </c>
      <c r="J598" s="48">
        <v>33</v>
      </c>
      <c r="K598" s="48">
        <v>643</v>
      </c>
      <c r="L598" s="48">
        <v>123</v>
      </c>
      <c r="M598" s="48">
        <v>8</v>
      </c>
      <c r="N598" s="48">
        <v>132</v>
      </c>
      <c r="O598" s="48">
        <v>54</v>
      </c>
      <c r="P598" s="48">
        <v>42</v>
      </c>
      <c r="Q598" s="48">
        <v>766</v>
      </c>
      <c r="R598" s="48">
        <v>69</v>
      </c>
      <c r="S598" s="48">
        <v>43</v>
      </c>
      <c r="T598" s="48">
        <v>810</v>
      </c>
      <c r="U598" s="48">
        <v>62</v>
      </c>
      <c r="V598" s="48">
        <v>30</v>
      </c>
      <c r="W598" s="48">
        <v>657</v>
      </c>
      <c r="X598" s="48">
        <v>507</v>
      </c>
      <c r="Y598" s="48">
        <v>26</v>
      </c>
      <c r="Z598" s="48">
        <v>594</v>
      </c>
    </row>
    <row r="599" spans="1:26" ht="15" hidden="1" customHeight="1">
      <c r="A599" s="48" t="s">
        <v>1286</v>
      </c>
      <c r="B599" s="48" t="s">
        <v>1286</v>
      </c>
      <c r="C599" s="48" t="s">
        <v>1287</v>
      </c>
      <c r="D599" s="48" t="s">
        <v>50</v>
      </c>
      <c r="E599" s="48" t="s">
        <v>106</v>
      </c>
      <c r="F599" s="48">
        <v>100</v>
      </c>
      <c r="G599" s="48">
        <v>43</v>
      </c>
      <c r="H599" s="48">
        <v>715</v>
      </c>
      <c r="I599" s="48">
        <v>97</v>
      </c>
      <c r="J599" s="48">
        <v>26</v>
      </c>
      <c r="K599" s="48">
        <v>474</v>
      </c>
      <c r="L599" s="48">
        <v>125</v>
      </c>
      <c r="M599" s="48">
        <v>4</v>
      </c>
      <c r="N599" s="48">
        <v>96</v>
      </c>
      <c r="O599" s="48">
        <v>54</v>
      </c>
      <c r="P599" s="48">
        <v>42</v>
      </c>
      <c r="Q599" s="48">
        <v>766</v>
      </c>
      <c r="R599" s="48">
        <v>67</v>
      </c>
      <c r="S599" s="48">
        <v>48</v>
      </c>
      <c r="T599" s="48">
        <v>837</v>
      </c>
      <c r="U599" s="48">
        <v>64</v>
      </c>
      <c r="V599" s="48">
        <v>27</v>
      </c>
      <c r="W599" s="48">
        <v>593</v>
      </c>
      <c r="X599" s="48">
        <v>507</v>
      </c>
      <c r="Y599" s="48">
        <v>26</v>
      </c>
      <c r="Z599" s="48">
        <v>594</v>
      </c>
    </row>
    <row r="600" spans="1:26" ht="15" hidden="1" customHeight="1">
      <c r="A600" s="48" t="s">
        <v>1288</v>
      </c>
      <c r="B600" s="48" t="s">
        <v>1288</v>
      </c>
      <c r="C600" s="48" t="s">
        <v>1289</v>
      </c>
      <c r="D600" s="48" t="s">
        <v>50</v>
      </c>
      <c r="E600" s="48" t="s">
        <v>249</v>
      </c>
      <c r="F600" s="48">
        <v>108</v>
      </c>
      <c r="G600" s="48">
        <v>32</v>
      </c>
      <c r="H600" s="48">
        <v>391</v>
      </c>
      <c r="I600" s="48">
        <v>87</v>
      </c>
      <c r="J600" s="48">
        <v>33</v>
      </c>
      <c r="K600" s="48">
        <v>614</v>
      </c>
      <c r="L600" s="48">
        <v>104.5</v>
      </c>
      <c r="M600" s="48">
        <v>29</v>
      </c>
      <c r="N600" s="48">
        <v>593</v>
      </c>
      <c r="O600" s="48">
        <v>54</v>
      </c>
      <c r="P600" s="48">
        <v>42</v>
      </c>
      <c r="Q600" s="48">
        <v>766</v>
      </c>
      <c r="R600" s="48">
        <v>86</v>
      </c>
      <c r="S600" s="48">
        <v>6</v>
      </c>
      <c r="T600" s="48">
        <v>304</v>
      </c>
      <c r="U600" s="48">
        <v>67</v>
      </c>
      <c r="V600" s="48">
        <v>19</v>
      </c>
      <c r="W600" s="48">
        <v>489</v>
      </c>
      <c r="X600" s="48">
        <v>506.5</v>
      </c>
      <c r="Y600" s="48">
        <v>28</v>
      </c>
      <c r="Z600" s="48">
        <v>597</v>
      </c>
    </row>
    <row r="601" spans="1:26" ht="15" hidden="1" customHeight="1">
      <c r="A601" s="48" t="s">
        <v>1290</v>
      </c>
      <c r="B601" s="48" t="s">
        <v>1290</v>
      </c>
      <c r="C601" s="48" t="s">
        <v>1291</v>
      </c>
      <c r="D601" s="48" t="s">
        <v>50</v>
      </c>
      <c r="E601" s="48" t="s">
        <v>203</v>
      </c>
      <c r="F601" s="48">
        <v>96</v>
      </c>
      <c r="G601" s="48">
        <v>50</v>
      </c>
      <c r="H601" s="48">
        <v>814</v>
      </c>
      <c r="I601" s="48">
        <v>105</v>
      </c>
      <c r="J601" s="48">
        <v>16</v>
      </c>
      <c r="K601" s="48">
        <v>340</v>
      </c>
      <c r="L601" s="48">
        <v>96.5</v>
      </c>
      <c r="M601" s="48">
        <v>43</v>
      </c>
      <c r="N601" s="48">
        <v>750</v>
      </c>
      <c r="O601" s="48">
        <v>84</v>
      </c>
      <c r="P601" s="48">
        <v>6</v>
      </c>
      <c r="Q601" s="48">
        <v>131</v>
      </c>
      <c r="R601" s="48">
        <v>56</v>
      </c>
      <c r="S601" s="48">
        <v>56</v>
      </c>
      <c r="T601" s="48">
        <v>928</v>
      </c>
      <c r="U601" s="48">
        <v>69</v>
      </c>
      <c r="V601" s="48">
        <v>20</v>
      </c>
      <c r="W601" s="48">
        <v>420</v>
      </c>
      <c r="X601" s="48">
        <v>506.5</v>
      </c>
      <c r="Y601" s="48">
        <v>30</v>
      </c>
      <c r="Z601" s="48">
        <v>597</v>
      </c>
    </row>
    <row r="602" spans="1:26" ht="15" hidden="1" customHeight="1">
      <c r="A602" s="48" t="s">
        <v>1292</v>
      </c>
      <c r="B602" s="48" t="s">
        <v>1292</v>
      </c>
      <c r="C602" s="48" t="s">
        <v>1293</v>
      </c>
      <c r="D602" s="48" t="s">
        <v>50</v>
      </c>
      <c r="E602" s="48" t="s">
        <v>240</v>
      </c>
      <c r="F602" s="48">
        <v>96</v>
      </c>
      <c r="G602" s="48">
        <v>48</v>
      </c>
      <c r="H602" s="48">
        <v>814</v>
      </c>
      <c r="I602" s="48">
        <v>97</v>
      </c>
      <c r="J602" s="48">
        <v>27</v>
      </c>
      <c r="K602" s="48">
        <v>474</v>
      </c>
      <c r="L602" s="48">
        <v>104</v>
      </c>
      <c r="M602" s="48">
        <v>39</v>
      </c>
      <c r="N602" s="48">
        <v>600</v>
      </c>
      <c r="O602" s="48">
        <v>51</v>
      </c>
      <c r="P602" s="48">
        <v>48</v>
      </c>
      <c r="Q602" s="48">
        <v>812</v>
      </c>
      <c r="R602" s="48">
        <v>93</v>
      </c>
      <c r="S602" s="48">
        <v>3</v>
      </c>
      <c r="T602" s="48">
        <v>93</v>
      </c>
      <c r="U602" s="48">
        <v>65</v>
      </c>
      <c r="V602" s="48">
        <v>33</v>
      </c>
      <c r="W602" s="48">
        <v>554</v>
      </c>
      <c r="X602" s="48">
        <v>506</v>
      </c>
      <c r="Y602" s="48">
        <v>38</v>
      </c>
      <c r="Z602" s="48">
        <v>599</v>
      </c>
    </row>
    <row r="603" spans="1:26" ht="15" hidden="1" customHeight="1">
      <c r="A603" s="48" t="s">
        <v>1294</v>
      </c>
      <c r="B603" s="48" t="s">
        <v>1294</v>
      </c>
      <c r="C603" s="48" t="s">
        <v>1295</v>
      </c>
      <c r="D603" s="48" t="s">
        <v>50</v>
      </c>
      <c r="E603" s="48" t="s">
        <v>169</v>
      </c>
      <c r="F603" s="48">
        <v>117</v>
      </c>
      <c r="G603" s="48">
        <v>5</v>
      </c>
      <c r="H603" s="48">
        <v>86</v>
      </c>
      <c r="I603" s="48">
        <v>74</v>
      </c>
      <c r="J603" s="48">
        <v>47</v>
      </c>
      <c r="K603" s="48">
        <v>778</v>
      </c>
      <c r="L603" s="48">
        <v>110</v>
      </c>
      <c r="M603" s="48">
        <v>27</v>
      </c>
      <c r="N603" s="48">
        <v>478</v>
      </c>
      <c r="O603" s="48">
        <v>68</v>
      </c>
      <c r="P603" s="48">
        <v>25</v>
      </c>
      <c r="Q603" s="48">
        <v>474</v>
      </c>
      <c r="R603" s="48">
        <v>72</v>
      </c>
      <c r="S603" s="48">
        <v>44</v>
      </c>
      <c r="T603" s="48">
        <v>751</v>
      </c>
      <c r="U603" s="48">
        <v>65</v>
      </c>
      <c r="V603" s="48">
        <v>31</v>
      </c>
      <c r="W603" s="48">
        <v>554</v>
      </c>
      <c r="X603" s="48">
        <v>506</v>
      </c>
      <c r="Y603" s="48">
        <v>36</v>
      </c>
      <c r="Z603" s="48">
        <v>599</v>
      </c>
    </row>
    <row r="604" spans="1:26" ht="15" hidden="1" customHeight="1">
      <c r="A604" s="48" t="s">
        <v>1296</v>
      </c>
      <c r="B604" s="48" t="s">
        <v>1296</v>
      </c>
      <c r="C604" s="48" t="s">
        <v>1297</v>
      </c>
      <c r="D604" s="48" t="s">
        <v>50</v>
      </c>
      <c r="E604" s="48" t="s">
        <v>210</v>
      </c>
      <c r="F604" s="48">
        <v>101</v>
      </c>
      <c r="G604" s="48">
        <v>44</v>
      </c>
      <c r="H604" s="48">
        <v>688</v>
      </c>
      <c r="I604" s="48">
        <v>89</v>
      </c>
      <c r="J604" s="48">
        <v>35</v>
      </c>
      <c r="K604" s="48">
        <v>587</v>
      </c>
      <c r="L604" s="48">
        <v>118</v>
      </c>
      <c r="M604" s="48">
        <v>18</v>
      </c>
      <c r="N604" s="48">
        <v>263</v>
      </c>
      <c r="O604" s="48">
        <v>53</v>
      </c>
      <c r="P604" s="48">
        <v>51</v>
      </c>
      <c r="Q604" s="48">
        <v>786</v>
      </c>
      <c r="R604" s="48">
        <v>86</v>
      </c>
      <c r="S604" s="48">
        <v>20</v>
      </c>
      <c r="T604" s="48">
        <v>304</v>
      </c>
      <c r="U604" s="48">
        <v>59</v>
      </c>
      <c r="V604" s="48">
        <v>41</v>
      </c>
      <c r="W604" s="48">
        <v>729</v>
      </c>
      <c r="X604" s="48">
        <v>506</v>
      </c>
      <c r="Y604" s="48">
        <v>38</v>
      </c>
      <c r="Z604" s="48">
        <v>599</v>
      </c>
    </row>
    <row r="605" spans="1:26" ht="15" hidden="1" customHeight="1">
      <c r="A605" s="48" t="s">
        <v>1298</v>
      </c>
      <c r="B605" s="48" t="s">
        <v>1298</v>
      </c>
      <c r="C605" s="48" t="s">
        <v>1299</v>
      </c>
      <c r="D605" s="48" t="s">
        <v>50</v>
      </c>
      <c r="E605" s="48" t="s">
        <v>172</v>
      </c>
      <c r="F605" s="48">
        <v>105</v>
      </c>
      <c r="G605" s="48">
        <v>27</v>
      </c>
      <c r="H605" s="48">
        <v>515</v>
      </c>
      <c r="I605" s="48">
        <v>92</v>
      </c>
      <c r="J605" s="48">
        <v>30</v>
      </c>
      <c r="K605" s="48">
        <v>557</v>
      </c>
      <c r="L605" s="48">
        <v>100.5</v>
      </c>
      <c r="M605" s="48">
        <v>38</v>
      </c>
      <c r="N605" s="48">
        <v>675</v>
      </c>
      <c r="O605" s="48">
        <v>77</v>
      </c>
      <c r="P605" s="48">
        <v>16</v>
      </c>
      <c r="Q605" s="48">
        <v>278</v>
      </c>
      <c r="R605" s="48">
        <v>65</v>
      </c>
      <c r="S605" s="48">
        <v>51</v>
      </c>
      <c r="T605" s="48">
        <v>866</v>
      </c>
      <c r="U605" s="48">
        <v>66</v>
      </c>
      <c r="V605" s="48">
        <v>37</v>
      </c>
      <c r="W605" s="48">
        <v>519</v>
      </c>
      <c r="X605" s="48">
        <v>505.5</v>
      </c>
      <c r="Y605" s="48">
        <v>32</v>
      </c>
      <c r="Z605" s="48">
        <v>602</v>
      </c>
    </row>
    <row r="606" spans="1:26" ht="15" hidden="1" customHeight="1">
      <c r="A606" s="48" t="s">
        <v>1300</v>
      </c>
      <c r="B606" s="48" t="s">
        <v>1300</v>
      </c>
      <c r="C606" s="48" t="s">
        <v>1301</v>
      </c>
      <c r="D606" s="48" t="s">
        <v>50</v>
      </c>
      <c r="E606" s="48" t="s">
        <v>172</v>
      </c>
      <c r="F606" s="48">
        <v>114</v>
      </c>
      <c r="G606" s="48">
        <v>9</v>
      </c>
      <c r="H606" s="48">
        <v>170</v>
      </c>
      <c r="I606" s="48">
        <v>96</v>
      </c>
      <c r="J606" s="48">
        <v>25</v>
      </c>
      <c r="K606" s="48">
        <v>483</v>
      </c>
      <c r="L606" s="48">
        <v>113.5</v>
      </c>
      <c r="M606" s="48">
        <v>17</v>
      </c>
      <c r="N606" s="48">
        <v>374</v>
      </c>
      <c r="O606" s="48">
        <v>60</v>
      </c>
      <c r="P606" s="48">
        <v>34</v>
      </c>
      <c r="Q606" s="48">
        <v>647</v>
      </c>
      <c r="R606" s="48">
        <v>68</v>
      </c>
      <c r="S606" s="48">
        <v>48</v>
      </c>
      <c r="T606" s="48">
        <v>824</v>
      </c>
      <c r="U606" s="48">
        <v>54</v>
      </c>
      <c r="V606" s="48">
        <v>50</v>
      </c>
      <c r="W606" s="48">
        <v>817</v>
      </c>
      <c r="X606" s="48">
        <v>505.5</v>
      </c>
      <c r="Y606" s="48">
        <v>32</v>
      </c>
      <c r="Z606" s="48">
        <v>602</v>
      </c>
    </row>
    <row r="607" spans="1:26" ht="15" hidden="1" customHeight="1">
      <c r="A607" s="48" t="s">
        <v>1302</v>
      </c>
      <c r="B607" s="48" t="s">
        <v>1302</v>
      </c>
      <c r="C607" s="48" t="s">
        <v>1303</v>
      </c>
      <c r="D607" s="48" t="s">
        <v>50</v>
      </c>
      <c r="E607" s="48" t="s">
        <v>133</v>
      </c>
      <c r="F607" s="48">
        <v>111</v>
      </c>
      <c r="G607" s="48">
        <v>20</v>
      </c>
      <c r="H607" s="48">
        <v>271</v>
      </c>
      <c r="I607" s="48">
        <v>77</v>
      </c>
      <c r="J607" s="48">
        <v>46</v>
      </c>
      <c r="K607" s="48">
        <v>741</v>
      </c>
      <c r="L607" s="48">
        <v>117.5</v>
      </c>
      <c r="M607" s="48">
        <v>15</v>
      </c>
      <c r="N607" s="48">
        <v>281</v>
      </c>
      <c r="O607" s="48">
        <v>58</v>
      </c>
      <c r="P607" s="48">
        <v>40</v>
      </c>
      <c r="Q607" s="48">
        <v>698</v>
      </c>
      <c r="R607" s="48">
        <v>73</v>
      </c>
      <c r="S607" s="48">
        <v>51</v>
      </c>
      <c r="T607" s="48">
        <v>717</v>
      </c>
      <c r="U607" s="48">
        <v>69</v>
      </c>
      <c r="V607" s="48">
        <v>29</v>
      </c>
      <c r="W607" s="48">
        <v>420</v>
      </c>
      <c r="X607" s="48">
        <v>505.5</v>
      </c>
      <c r="Y607" s="48">
        <v>40</v>
      </c>
      <c r="Z607" s="48">
        <v>602</v>
      </c>
    </row>
    <row r="608" spans="1:26" ht="15" hidden="1" customHeight="1">
      <c r="A608" s="48" t="s">
        <v>1304</v>
      </c>
      <c r="B608" s="48" t="s">
        <v>1304</v>
      </c>
      <c r="C608" s="48" t="s">
        <v>1305</v>
      </c>
      <c r="D608" s="48" t="s">
        <v>50</v>
      </c>
      <c r="E608" s="48" t="s">
        <v>106</v>
      </c>
      <c r="F608" s="48">
        <v>93</v>
      </c>
      <c r="G608" s="48">
        <v>54</v>
      </c>
      <c r="H608" s="48">
        <v>868</v>
      </c>
      <c r="I608" s="48">
        <v>104</v>
      </c>
      <c r="J608" s="48">
        <v>18</v>
      </c>
      <c r="K608" s="48">
        <v>358</v>
      </c>
      <c r="L608" s="48">
        <v>97</v>
      </c>
      <c r="M608" s="48">
        <v>38</v>
      </c>
      <c r="N608" s="48">
        <v>743</v>
      </c>
      <c r="O608" s="48">
        <v>65</v>
      </c>
      <c r="P608" s="48">
        <v>25</v>
      </c>
      <c r="Q608" s="48">
        <v>539</v>
      </c>
      <c r="R608" s="48">
        <v>76</v>
      </c>
      <c r="S608" s="48">
        <v>30</v>
      </c>
      <c r="T608" s="48">
        <v>642</v>
      </c>
      <c r="U608" s="48">
        <v>70</v>
      </c>
      <c r="V608" s="48">
        <v>15</v>
      </c>
      <c r="W608" s="48">
        <v>380</v>
      </c>
      <c r="X608" s="48">
        <v>505</v>
      </c>
      <c r="Y608" s="48">
        <v>28</v>
      </c>
      <c r="Z608" s="48">
        <v>605</v>
      </c>
    </row>
    <row r="609" spans="1:26" ht="15" hidden="1" customHeight="1">
      <c r="A609" s="48" t="s">
        <v>1306</v>
      </c>
      <c r="B609" s="48" t="s">
        <v>1306</v>
      </c>
      <c r="C609" s="48" t="s">
        <v>1307</v>
      </c>
      <c r="D609" s="48" t="s">
        <v>50</v>
      </c>
      <c r="E609" s="48" t="s">
        <v>92</v>
      </c>
      <c r="F609" s="48">
        <v>101</v>
      </c>
      <c r="G609" s="48">
        <v>33</v>
      </c>
      <c r="H609" s="48">
        <v>688</v>
      </c>
      <c r="I609" s="48">
        <v>102</v>
      </c>
      <c r="J609" s="48">
        <v>17</v>
      </c>
      <c r="K609" s="48">
        <v>386</v>
      </c>
      <c r="L609" s="48">
        <v>94</v>
      </c>
      <c r="M609" s="48">
        <v>44</v>
      </c>
      <c r="N609" s="48">
        <v>783</v>
      </c>
      <c r="O609" s="48">
        <v>58</v>
      </c>
      <c r="P609" s="48">
        <v>40</v>
      </c>
      <c r="Q609" s="48">
        <v>698</v>
      </c>
      <c r="R609" s="48">
        <v>79</v>
      </c>
      <c r="S609" s="48">
        <v>31</v>
      </c>
      <c r="T609" s="48">
        <v>539</v>
      </c>
      <c r="U609" s="48">
        <v>71</v>
      </c>
      <c r="V609" s="48">
        <v>25</v>
      </c>
      <c r="W609" s="48">
        <v>342</v>
      </c>
      <c r="X609" s="48">
        <v>505</v>
      </c>
      <c r="Y609" s="48">
        <v>36</v>
      </c>
      <c r="Z609" s="48">
        <v>605</v>
      </c>
    </row>
    <row r="610" spans="1:26" ht="15" hidden="1" customHeight="1">
      <c r="A610" s="48" t="s">
        <v>1308</v>
      </c>
      <c r="B610" s="48" t="s">
        <v>1308</v>
      </c>
      <c r="C610" s="48" t="s">
        <v>1309</v>
      </c>
      <c r="D610" s="48" t="s">
        <v>50</v>
      </c>
      <c r="E610" s="48" t="s">
        <v>97</v>
      </c>
      <c r="F610" s="48">
        <v>105</v>
      </c>
      <c r="G610" s="48">
        <v>30</v>
      </c>
      <c r="H610" s="48">
        <v>515</v>
      </c>
      <c r="I610" s="48">
        <v>82</v>
      </c>
      <c r="J610" s="48">
        <v>40</v>
      </c>
      <c r="K610" s="48">
        <v>676</v>
      </c>
      <c r="L610" s="48">
        <v>120</v>
      </c>
      <c r="M610" s="48">
        <v>12</v>
      </c>
      <c r="N610" s="48">
        <v>211</v>
      </c>
      <c r="O610" s="48">
        <v>50</v>
      </c>
      <c r="P610" s="48">
        <v>46</v>
      </c>
      <c r="Q610" s="48">
        <v>826</v>
      </c>
      <c r="R610" s="48">
        <v>84</v>
      </c>
      <c r="S610" s="48">
        <v>25</v>
      </c>
      <c r="T610" s="48">
        <v>379</v>
      </c>
      <c r="U610" s="48">
        <v>64</v>
      </c>
      <c r="V610" s="48">
        <v>39</v>
      </c>
      <c r="W610" s="48">
        <v>593</v>
      </c>
      <c r="X610" s="48">
        <v>505</v>
      </c>
      <c r="Y610" s="48">
        <v>38</v>
      </c>
      <c r="Z610" s="48">
        <v>605</v>
      </c>
    </row>
    <row r="611" spans="1:26" ht="15" hidden="1" customHeight="1">
      <c r="A611" s="48" t="s">
        <v>1310</v>
      </c>
      <c r="B611" s="48" t="s">
        <v>1310</v>
      </c>
      <c r="C611" s="48" t="s">
        <v>1311</v>
      </c>
      <c r="D611" s="48" t="s">
        <v>50</v>
      </c>
      <c r="E611" s="48" t="s">
        <v>84</v>
      </c>
      <c r="F611" s="48">
        <v>108</v>
      </c>
      <c r="G611" s="48">
        <v>21</v>
      </c>
      <c r="H611" s="48">
        <v>391</v>
      </c>
      <c r="I611" s="48">
        <v>73</v>
      </c>
      <c r="J611" s="48">
        <v>49</v>
      </c>
      <c r="K611" s="48">
        <v>788</v>
      </c>
      <c r="L611" s="48">
        <v>111</v>
      </c>
      <c r="M611" s="48">
        <v>29</v>
      </c>
      <c r="N611" s="48">
        <v>445</v>
      </c>
      <c r="O611" s="48">
        <v>64</v>
      </c>
      <c r="P611" s="48">
        <v>35</v>
      </c>
      <c r="Q611" s="48">
        <v>559</v>
      </c>
      <c r="R611" s="48">
        <v>78</v>
      </c>
      <c r="S611" s="48">
        <v>31</v>
      </c>
      <c r="T611" s="48">
        <v>577</v>
      </c>
      <c r="U611" s="48">
        <v>71</v>
      </c>
      <c r="V611" s="48">
        <v>15</v>
      </c>
      <c r="W611" s="48">
        <v>342</v>
      </c>
      <c r="X611" s="48">
        <v>505</v>
      </c>
      <c r="Y611" s="48">
        <v>35</v>
      </c>
      <c r="Z611" s="48">
        <v>605</v>
      </c>
    </row>
    <row r="612" spans="1:26" ht="15" hidden="1" customHeight="1">
      <c r="A612" s="48" t="s">
        <v>1312</v>
      </c>
      <c r="B612" s="48" t="s">
        <v>1312</v>
      </c>
      <c r="C612" s="48" t="s">
        <v>1313</v>
      </c>
      <c r="D612" s="48" t="s">
        <v>50</v>
      </c>
      <c r="E612" s="48" t="s">
        <v>84</v>
      </c>
      <c r="F612" s="48">
        <v>103</v>
      </c>
      <c r="G612" s="48">
        <v>35</v>
      </c>
      <c r="H612" s="48">
        <v>606</v>
      </c>
      <c r="I612" s="48">
        <v>67</v>
      </c>
      <c r="J612" s="48">
        <v>51</v>
      </c>
      <c r="K612" s="48">
        <v>839</v>
      </c>
      <c r="L612" s="48">
        <v>127</v>
      </c>
      <c r="M612" s="48">
        <v>7</v>
      </c>
      <c r="N612" s="48">
        <v>72</v>
      </c>
      <c r="O612" s="48">
        <v>62</v>
      </c>
      <c r="P612" s="48">
        <v>38</v>
      </c>
      <c r="Q612" s="48">
        <v>607</v>
      </c>
      <c r="R612" s="48">
        <v>80</v>
      </c>
      <c r="S612" s="48">
        <v>27</v>
      </c>
      <c r="T612" s="48">
        <v>511</v>
      </c>
      <c r="U612" s="48">
        <v>66</v>
      </c>
      <c r="V612" s="48">
        <v>31</v>
      </c>
      <c r="W612" s="48">
        <v>519</v>
      </c>
      <c r="X612" s="48">
        <v>505</v>
      </c>
      <c r="Y612" s="48">
        <v>35</v>
      </c>
      <c r="Z612" s="48">
        <v>605</v>
      </c>
    </row>
    <row r="613" spans="1:26" ht="15" hidden="1" customHeight="1">
      <c r="A613" s="48" t="s">
        <v>1314</v>
      </c>
      <c r="B613" s="48" t="s">
        <v>1314</v>
      </c>
      <c r="C613" s="48" t="s">
        <v>1315</v>
      </c>
      <c r="D613" s="48" t="s">
        <v>50</v>
      </c>
      <c r="E613" s="48" t="s">
        <v>203</v>
      </c>
      <c r="F613" s="48">
        <v>107</v>
      </c>
      <c r="G613" s="48">
        <v>26</v>
      </c>
      <c r="H613" s="48">
        <v>429</v>
      </c>
      <c r="I613" s="48">
        <v>69</v>
      </c>
      <c r="J613" s="48">
        <v>50</v>
      </c>
      <c r="K613" s="48">
        <v>827</v>
      </c>
      <c r="L613" s="48">
        <v>112</v>
      </c>
      <c r="M613" s="48">
        <v>22</v>
      </c>
      <c r="N613" s="48">
        <v>413</v>
      </c>
      <c r="O613" s="48">
        <v>68</v>
      </c>
      <c r="P613" s="48">
        <v>30</v>
      </c>
      <c r="Q613" s="48">
        <v>474</v>
      </c>
      <c r="R613" s="48">
        <v>79</v>
      </c>
      <c r="S613" s="48">
        <v>28</v>
      </c>
      <c r="T613" s="48">
        <v>539</v>
      </c>
      <c r="U613" s="48">
        <v>70</v>
      </c>
      <c r="V613" s="48">
        <v>18</v>
      </c>
      <c r="W613" s="48">
        <v>380</v>
      </c>
      <c r="X613" s="48">
        <v>505</v>
      </c>
      <c r="Y613" s="48">
        <v>31</v>
      </c>
      <c r="Z613" s="48">
        <v>605</v>
      </c>
    </row>
    <row r="614" spans="1:26" ht="15" hidden="1" customHeight="1">
      <c r="A614" s="48" t="s">
        <v>1316</v>
      </c>
      <c r="B614" s="48" t="s">
        <v>1316</v>
      </c>
      <c r="C614" s="48" t="s">
        <v>1317</v>
      </c>
      <c r="D614" s="48" t="s">
        <v>50</v>
      </c>
      <c r="E614" s="48" t="s">
        <v>296</v>
      </c>
      <c r="F614" s="48">
        <v>103</v>
      </c>
      <c r="G614" s="48">
        <v>26</v>
      </c>
      <c r="H614" s="48">
        <v>606</v>
      </c>
      <c r="I614" s="48">
        <v>85</v>
      </c>
      <c r="J614" s="48">
        <v>35</v>
      </c>
      <c r="K614" s="48">
        <v>643</v>
      </c>
      <c r="L614" s="48">
        <v>110.5</v>
      </c>
      <c r="M614" s="48">
        <v>26</v>
      </c>
      <c r="N614" s="48">
        <v>465</v>
      </c>
      <c r="O614" s="48">
        <v>74</v>
      </c>
      <c r="P614" s="48">
        <v>21</v>
      </c>
      <c r="Q614" s="48">
        <v>345</v>
      </c>
      <c r="R614" s="48">
        <v>78</v>
      </c>
      <c r="S614" s="48">
        <v>32</v>
      </c>
      <c r="T614" s="48">
        <v>577</v>
      </c>
      <c r="U614" s="48">
        <v>54</v>
      </c>
      <c r="V614" s="48">
        <v>40</v>
      </c>
      <c r="W614" s="48">
        <v>817</v>
      </c>
      <c r="X614" s="48">
        <v>504.5</v>
      </c>
      <c r="Y614" s="48">
        <v>31</v>
      </c>
      <c r="Z614" s="48">
        <v>611</v>
      </c>
    </row>
    <row r="615" spans="1:26" ht="15" hidden="1" customHeight="1">
      <c r="A615" s="48" t="s">
        <v>1318</v>
      </c>
      <c r="B615" s="48" t="s">
        <v>1318</v>
      </c>
      <c r="C615" s="48" t="s">
        <v>1319</v>
      </c>
      <c r="D615" s="48" t="s">
        <v>50</v>
      </c>
      <c r="E615" s="48" t="s">
        <v>133</v>
      </c>
      <c r="F615" s="48">
        <v>97</v>
      </c>
      <c r="G615" s="48">
        <v>47</v>
      </c>
      <c r="H615" s="48">
        <v>795</v>
      </c>
      <c r="I615" s="48">
        <v>111</v>
      </c>
      <c r="J615" s="48">
        <v>17</v>
      </c>
      <c r="K615" s="48">
        <v>247</v>
      </c>
      <c r="L615" s="48">
        <v>97.5</v>
      </c>
      <c r="M615" s="48">
        <v>46</v>
      </c>
      <c r="N615" s="48">
        <v>737</v>
      </c>
      <c r="O615" s="48">
        <v>59</v>
      </c>
      <c r="P615" s="48">
        <v>39</v>
      </c>
      <c r="Q615" s="48">
        <v>672</v>
      </c>
      <c r="R615" s="48">
        <v>76</v>
      </c>
      <c r="S615" s="48">
        <v>46</v>
      </c>
      <c r="T615" s="48">
        <v>642</v>
      </c>
      <c r="U615" s="48">
        <v>64</v>
      </c>
      <c r="V615" s="48">
        <v>40</v>
      </c>
      <c r="W615" s="48">
        <v>593</v>
      </c>
      <c r="X615" s="48">
        <v>504.5</v>
      </c>
      <c r="Y615" s="48">
        <v>41</v>
      </c>
      <c r="Z615" s="48">
        <v>611</v>
      </c>
    </row>
    <row r="616" spans="1:26" ht="15" hidden="1" customHeight="1">
      <c r="A616" s="48" t="s">
        <v>1320</v>
      </c>
      <c r="B616" s="48" t="s">
        <v>1320</v>
      </c>
      <c r="C616" s="48" t="s">
        <v>1321</v>
      </c>
      <c r="D616" s="48" t="s">
        <v>50</v>
      </c>
      <c r="E616" s="48" t="s">
        <v>150</v>
      </c>
      <c r="F616" s="48">
        <v>105</v>
      </c>
      <c r="G616" s="48">
        <v>20</v>
      </c>
      <c r="H616" s="48">
        <v>515</v>
      </c>
      <c r="I616" s="48">
        <v>85</v>
      </c>
      <c r="J616" s="48">
        <v>45</v>
      </c>
      <c r="K616" s="48">
        <v>643</v>
      </c>
      <c r="L616" s="48">
        <v>105.5</v>
      </c>
      <c r="M616" s="48">
        <v>32</v>
      </c>
      <c r="N616" s="48">
        <v>568</v>
      </c>
      <c r="O616" s="48">
        <v>62</v>
      </c>
      <c r="P616" s="48">
        <v>32</v>
      </c>
      <c r="Q616" s="48">
        <v>607</v>
      </c>
      <c r="R616" s="48">
        <v>79</v>
      </c>
      <c r="S616" s="48">
        <v>37</v>
      </c>
      <c r="T616" s="48">
        <v>539</v>
      </c>
      <c r="U616" s="48">
        <v>68</v>
      </c>
      <c r="V616" s="48">
        <v>39</v>
      </c>
      <c r="W616" s="48">
        <v>452</v>
      </c>
      <c r="X616" s="48">
        <v>504.5</v>
      </c>
      <c r="Y616" s="48">
        <v>42</v>
      </c>
      <c r="Z616" s="48">
        <v>611</v>
      </c>
    </row>
    <row r="617" spans="1:26" ht="15" hidden="1" customHeight="1">
      <c r="A617" s="48" t="s">
        <v>1322</v>
      </c>
      <c r="B617" s="48" t="s">
        <v>1322</v>
      </c>
      <c r="C617" s="48" t="s">
        <v>1323</v>
      </c>
      <c r="D617" s="48" t="s">
        <v>50</v>
      </c>
      <c r="E617" s="48" t="s">
        <v>172</v>
      </c>
      <c r="F617" s="48">
        <v>120</v>
      </c>
      <c r="G617" s="48">
        <v>1</v>
      </c>
      <c r="H617" s="48">
        <v>43</v>
      </c>
      <c r="I617" s="48">
        <v>80</v>
      </c>
      <c r="J617" s="48">
        <v>40</v>
      </c>
      <c r="K617" s="48">
        <v>699</v>
      </c>
      <c r="L617" s="48">
        <v>85.5</v>
      </c>
      <c r="M617" s="48">
        <v>50</v>
      </c>
      <c r="N617" s="48">
        <v>866</v>
      </c>
      <c r="O617" s="48">
        <v>73</v>
      </c>
      <c r="P617" s="48">
        <v>23</v>
      </c>
      <c r="Q617" s="48">
        <v>370</v>
      </c>
      <c r="R617" s="48">
        <v>80</v>
      </c>
      <c r="S617" s="48">
        <v>28</v>
      </c>
      <c r="T617" s="48">
        <v>511</v>
      </c>
      <c r="U617" s="48">
        <v>66</v>
      </c>
      <c r="V617" s="48">
        <v>37</v>
      </c>
      <c r="W617" s="48">
        <v>519</v>
      </c>
      <c r="X617" s="48">
        <v>504.5</v>
      </c>
      <c r="Y617" s="48">
        <v>34</v>
      </c>
      <c r="Z617" s="48">
        <v>611</v>
      </c>
    </row>
    <row r="618" spans="1:26" ht="15" hidden="1" customHeight="1">
      <c r="A618" s="48" t="s">
        <v>1324</v>
      </c>
      <c r="B618" s="48" t="s">
        <v>1324</v>
      </c>
      <c r="C618" s="48" t="s">
        <v>1325</v>
      </c>
      <c r="D618" s="48" t="s">
        <v>50</v>
      </c>
      <c r="E618" s="48" t="s">
        <v>217</v>
      </c>
      <c r="F618" s="48">
        <v>101</v>
      </c>
      <c r="G618" s="48">
        <v>37</v>
      </c>
      <c r="H618" s="48">
        <v>688</v>
      </c>
      <c r="I618" s="48">
        <v>91</v>
      </c>
      <c r="J618" s="48">
        <v>37</v>
      </c>
      <c r="K618" s="48">
        <v>566</v>
      </c>
      <c r="L618" s="48">
        <v>96</v>
      </c>
      <c r="M618" s="48">
        <v>41</v>
      </c>
      <c r="N618" s="48">
        <v>762</v>
      </c>
      <c r="O618" s="48">
        <v>77</v>
      </c>
      <c r="P618" s="48">
        <v>16</v>
      </c>
      <c r="Q618" s="48">
        <v>278</v>
      </c>
      <c r="R618" s="48">
        <v>79</v>
      </c>
      <c r="S618" s="48">
        <v>29</v>
      </c>
      <c r="T618" s="48">
        <v>539</v>
      </c>
      <c r="U618" s="48">
        <v>60</v>
      </c>
      <c r="V618" s="48">
        <v>43</v>
      </c>
      <c r="W618" s="48">
        <v>706</v>
      </c>
      <c r="X618" s="48">
        <v>504</v>
      </c>
      <c r="Y618" s="48">
        <v>28</v>
      </c>
      <c r="Z618" s="48">
        <v>615</v>
      </c>
    </row>
    <row r="619" spans="1:26" ht="15" hidden="1" customHeight="1">
      <c r="A619" s="48" t="s">
        <v>1326</v>
      </c>
      <c r="B619" s="48" t="s">
        <v>1326</v>
      </c>
      <c r="C619" s="48" t="s">
        <v>1327</v>
      </c>
      <c r="D619" s="48" t="s">
        <v>50</v>
      </c>
      <c r="E619" s="48" t="s">
        <v>172</v>
      </c>
      <c r="F619" s="48">
        <v>96</v>
      </c>
      <c r="G619" s="48">
        <v>48</v>
      </c>
      <c r="H619" s="48">
        <v>814</v>
      </c>
      <c r="I619" s="48">
        <v>108</v>
      </c>
      <c r="J619" s="48">
        <v>13</v>
      </c>
      <c r="K619" s="48">
        <v>296</v>
      </c>
      <c r="L619" s="48">
        <v>73</v>
      </c>
      <c r="M619" s="48">
        <v>56</v>
      </c>
      <c r="N619" s="48">
        <v>921</v>
      </c>
      <c r="O619" s="48">
        <v>90</v>
      </c>
      <c r="P619" s="48">
        <v>4</v>
      </c>
      <c r="Q619" s="48">
        <v>63</v>
      </c>
      <c r="R619" s="48">
        <v>63</v>
      </c>
      <c r="S619" s="48">
        <v>54</v>
      </c>
      <c r="T619" s="48">
        <v>888</v>
      </c>
      <c r="U619" s="48">
        <v>74</v>
      </c>
      <c r="V619" s="48">
        <v>11</v>
      </c>
      <c r="W619" s="48">
        <v>247</v>
      </c>
      <c r="X619" s="48">
        <v>504</v>
      </c>
      <c r="Y619" s="48">
        <v>35</v>
      </c>
      <c r="Z619" s="48">
        <v>615</v>
      </c>
    </row>
    <row r="620" spans="1:26" ht="15" hidden="1" customHeight="1">
      <c r="A620" s="48" t="s">
        <v>1328</v>
      </c>
      <c r="B620" s="48" t="s">
        <v>1328</v>
      </c>
      <c r="C620" s="48" t="s">
        <v>1329</v>
      </c>
      <c r="D620" s="48" t="s">
        <v>50</v>
      </c>
      <c r="E620" s="48" t="s">
        <v>84</v>
      </c>
      <c r="F620" s="48">
        <v>88</v>
      </c>
      <c r="G620" s="48">
        <v>52</v>
      </c>
      <c r="H620" s="48">
        <v>918</v>
      </c>
      <c r="I620" s="48">
        <v>78</v>
      </c>
      <c r="J620" s="48">
        <v>43</v>
      </c>
      <c r="K620" s="48">
        <v>729</v>
      </c>
      <c r="L620" s="48">
        <v>123</v>
      </c>
      <c r="M620" s="48">
        <v>9</v>
      </c>
      <c r="N620" s="48">
        <v>132</v>
      </c>
      <c r="O620" s="48">
        <v>78</v>
      </c>
      <c r="P620" s="48">
        <v>13</v>
      </c>
      <c r="Q620" s="48">
        <v>256</v>
      </c>
      <c r="R620" s="48">
        <v>66</v>
      </c>
      <c r="S620" s="48">
        <v>49</v>
      </c>
      <c r="T620" s="48">
        <v>849</v>
      </c>
      <c r="U620" s="48">
        <v>71</v>
      </c>
      <c r="V620" s="48">
        <v>15</v>
      </c>
      <c r="W620" s="48">
        <v>342</v>
      </c>
      <c r="X620" s="48">
        <v>504</v>
      </c>
      <c r="Y620" s="48">
        <v>37</v>
      </c>
      <c r="Z620" s="48">
        <v>615</v>
      </c>
    </row>
    <row r="621" spans="1:26" ht="15" hidden="1" customHeight="1">
      <c r="A621" s="48" t="s">
        <v>1330</v>
      </c>
      <c r="B621" s="48" t="s">
        <v>1330</v>
      </c>
      <c r="C621" s="48" t="s">
        <v>1331</v>
      </c>
      <c r="D621" s="48" t="s">
        <v>50</v>
      </c>
      <c r="E621" s="48" t="s">
        <v>296</v>
      </c>
      <c r="F621" s="48">
        <v>97</v>
      </c>
      <c r="G621" s="48">
        <v>39</v>
      </c>
      <c r="H621" s="48">
        <v>795</v>
      </c>
      <c r="I621" s="48">
        <v>92</v>
      </c>
      <c r="J621" s="48">
        <v>32</v>
      </c>
      <c r="K621" s="48">
        <v>557</v>
      </c>
      <c r="L621" s="48">
        <v>110</v>
      </c>
      <c r="M621" s="48">
        <v>27</v>
      </c>
      <c r="N621" s="48">
        <v>478</v>
      </c>
      <c r="O621" s="48">
        <v>61</v>
      </c>
      <c r="P621" s="48">
        <v>37</v>
      </c>
      <c r="Q621" s="48">
        <v>627</v>
      </c>
      <c r="R621" s="48">
        <v>81</v>
      </c>
      <c r="S621" s="48">
        <v>25</v>
      </c>
      <c r="T621" s="48">
        <v>474</v>
      </c>
      <c r="U621" s="48">
        <v>62</v>
      </c>
      <c r="V621" s="48">
        <v>29</v>
      </c>
      <c r="W621" s="48">
        <v>657</v>
      </c>
      <c r="X621" s="48">
        <v>503</v>
      </c>
      <c r="Y621" s="48">
        <v>32</v>
      </c>
      <c r="Z621" s="48">
        <v>618</v>
      </c>
    </row>
    <row r="622" spans="1:26" ht="15" hidden="1" customHeight="1">
      <c r="A622" s="48" t="s">
        <v>1332</v>
      </c>
      <c r="B622" s="48" t="s">
        <v>1332</v>
      </c>
      <c r="C622" s="48" t="s">
        <v>1333</v>
      </c>
      <c r="D622" s="48" t="s">
        <v>50</v>
      </c>
      <c r="E622" s="48" t="s">
        <v>111</v>
      </c>
      <c r="F622" s="48">
        <v>102</v>
      </c>
      <c r="G622" s="48">
        <v>33</v>
      </c>
      <c r="H622" s="48">
        <v>655</v>
      </c>
      <c r="I622" s="48">
        <v>70</v>
      </c>
      <c r="J622" s="48">
        <v>43</v>
      </c>
      <c r="K622" s="48">
        <v>815</v>
      </c>
      <c r="L622" s="48">
        <v>113</v>
      </c>
      <c r="M622" s="48">
        <v>23</v>
      </c>
      <c r="N622" s="48">
        <v>396</v>
      </c>
      <c r="O622" s="48">
        <v>74</v>
      </c>
      <c r="P622" s="48">
        <v>18</v>
      </c>
      <c r="Q622" s="48">
        <v>345</v>
      </c>
      <c r="R622" s="48">
        <v>72</v>
      </c>
      <c r="S622" s="48">
        <v>39</v>
      </c>
      <c r="T622" s="48">
        <v>751</v>
      </c>
      <c r="U622" s="48">
        <v>72</v>
      </c>
      <c r="V622" s="48">
        <v>13</v>
      </c>
      <c r="W622" s="48">
        <v>312</v>
      </c>
      <c r="X622" s="48">
        <v>503</v>
      </c>
      <c r="Y622" s="48">
        <v>32</v>
      </c>
      <c r="Z622" s="48">
        <v>618</v>
      </c>
    </row>
    <row r="623" spans="1:26" ht="15" hidden="1" customHeight="1">
      <c r="A623" s="48" t="s">
        <v>1334</v>
      </c>
      <c r="B623" s="48" t="s">
        <v>1334</v>
      </c>
      <c r="C623" s="48" t="s">
        <v>1335</v>
      </c>
      <c r="D623" s="48" t="s">
        <v>50</v>
      </c>
      <c r="E623" s="48" t="s">
        <v>217</v>
      </c>
      <c r="F623" s="48">
        <v>107</v>
      </c>
      <c r="G623" s="48">
        <v>23</v>
      </c>
      <c r="H623" s="48">
        <v>429</v>
      </c>
      <c r="I623" s="48">
        <v>85</v>
      </c>
      <c r="J623" s="48">
        <v>41</v>
      </c>
      <c r="K623" s="48">
        <v>643</v>
      </c>
      <c r="L623" s="48">
        <v>114</v>
      </c>
      <c r="M623" s="48">
        <v>14</v>
      </c>
      <c r="N623" s="48">
        <v>356</v>
      </c>
      <c r="O623" s="48">
        <v>53</v>
      </c>
      <c r="P623" s="48">
        <v>49</v>
      </c>
      <c r="Q623" s="48">
        <v>786</v>
      </c>
      <c r="R623" s="48">
        <v>76</v>
      </c>
      <c r="S623" s="48">
        <v>37</v>
      </c>
      <c r="T623" s="48">
        <v>642</v>
      </c>
      <c r="U623" s="48">
        <v>68</v>
      </c>
      <c r="V623" s="48">
        <v>25</v>
      </c>
      <c r="W623" s="48">
        <v>452</v>
      </c>
      <c r="X623" s="48">
        <v>503</v>
      </c>
      <c r="Y623" s="48">
        <v>29</v>
      </c>
      <c r="Z623" s="48">
        <v>618</v>
      </c>
    </row>
    <row r="624" spans="1:26" ht="15" hidden="1" customHeight="1">
      <c r="A624" s="48" t="s">
        <v>1336</v>
      </c>
      <c r="B624" s="48" t="s">
        <v>1336</v>
      </c>
      <c r="C624" s="48" t="s">
        <v>1337</v>
      </c>
      <c r="D624" s="48" t="s">
        <v>50</v>
      </c>
      <c r="E624" s="48" t="s">
        <v>122</v>
      </c>
      <c r="F624" s="48">
        <v>113</v>
      </c>
      <c r="G624" s="48">
        <v>20</v>
      </c>
      <c r="H624" s="48">
        <v>196</v>
      </c>
      <c r="I624" s="48">
        <v>77</v>
      </c>
      <c r="J624" s="48">
        <v>52</v>
      </c>
      <c r="K624" s="48">
        <v>741</v>
      </c>
      <c r="L624" s="48">
        <v>109.5</v>
      </c>
      <c r="M624" s="48">
        <v>42</v>
      </c>
      <c r="N624" s="48">
        <v>490</v>
      </c>
      <c r="O624" s="48">
        <v>70</v>
      </c>
      <c r="P624" s="48">
        <v>34</v>
      </c>
      <c r="Q624" s="48">
        <v>429</v>
      </c>
      <c r="R624" s="48">
        <v>84</v>
      </c>
      <c r="S624" s="48">
        <v>49</v>
      </c>
      <c r="T624" s="48">
        <v>379</v>
      </c>
      <c r="U624" s="48">
        <v>49</v>
      </c>
      <c r="V624" s="48">
        <v>52</v>
      </c>
      <c r="W624" s="48">
        <v>883</v>
      </c>
      <c r="X624" s="48">
        <v>502.5</v>
      </c>
      <c r="Y624" s="48">
        <v>50</v>
      </c>
      <c r="Z624" s="48">
        <v>621</v>
      </c>
    </row>
    <row r="625" spans="1:26" ht="15" hidden="1" customHeight="1">
      <c r="A625" s="48" t="s">
        <v>1338</v>
      </c>
      <c r="B625" s="48" t="s">
        <v>1338</v>
      </c>
      <c r="C625" s="48" t="s">
        <v>1339</v>
      </c>
      <c r="D625" s="48" t="s">
        <v>50</v>
      </c>
      <c r="E625" s="48" t="s">
        <v>210</v>
      </c>
      <c r="F625" s="48">
        <v>113</v>
      </c>
      <c r="G625" s="48">
        <v>9</v>
      </c>
      <c r="H625" s="48">
        <v>196</v>
      </c>
      <c r="I625" s="48">
        <v>69</v>
      </c>
      <c r="J625" s="48">
        <v>49</v>
      </c>
      <c r="K625" s="48">
        <v>827</v>
      </c>
      <c r="L625" s="48">
        <v>123.5</v>
      </c>
      <c r="M625" s="48">
        <v>7</v>
      </c>
      <c r="N625" s="48">
        <v>124</v>
      </c>
      <c r="O625" s="48">
        <v>56</v>
      </c>
      <c r="P625" s="48">
        <v>49</v>
      </c>
      <c r="Q625" s="48">
        <v>731</v>
      </c>
      <c r="R625" s="48">
        <v>76</v>
      </c>
      <c r="S625" s="48">
        <v>39</v>
      </c>
      <c r="T625" s="48">
        <v>642</v>
      </c>
      <c r="U625" s="48">
        <v>65</v>
      </c>
      <c r="V625" s="48">
        <v>31</v>
      </c>
      <c r="W625" s="48">
        <v>554</v>
      </c>
      <c r="X625" s="48">
        <v>502.5</v>
      </c>
      <c r="Y625" s="48">
        <v>39</v>
      </c>
      <c r="Z625" s="48">
        <v>621</v>
      </c>
    </row>
    <row r="626" spans="1:26" ht="15" hidden="1" customHeight="1">
      <c r="A626" s="48" t="s">
        <v>1340</v>
      </c>
      <c r="B626" s="48" t="s">
        <v>1340</v>
      </c>
      <c r="C626" s="48" t="s">
        <v>1341</v>
      </c>
      <c r="D626" s="48" t="s">
        <v>50</v>
      </c>
      <c r="E626" s="48" t="s">
        <v>111</v>
      </c>
      <c r="F626" s="48">
        <v>108</v>
      </c>
      <c r="G626" s="48">
        <v>21</v>
      </c>
      <c r="H626" s="48">
        <v>391</v>
      </c>
      <c r="I626" s="48">
        <v>117</v>
      </c>
      <c r="J626" s="48">
        <v>7</v>
      </c>
      <c r="K626" s="48">
        <v>174</v>
      </c>
      <c r="L626" s="48">
        <v>75</v>
      </c>
      <c r="M626" s="48">
        <v>54</v>
      </c>
      <c r="N626" s="48">
        <v>916</v>
      </c>
      <c r="O626" s="48">
        <v>55</v>
      </c>
      <c r="P626" s="48">
        <v>43</v>
      </c>
      <c r="Q626" s="48">
        <v>748</v>
      </c>
      <c r="R626" s="48">
        <v>77</v>
      </c>
      <c r="S626" s="48">
        <v>31</v>
      </c>
      <c r="T626" s="48">
        <v>608</v>
      </c>
      <c r="U626" s="48">
        <v>70</v>
      </c>
      <c r="V626" s="48">
        <v>16</v>
      </c>
      <c r="W626" s="48">
        <v>380</v>
      </c>
      <c r="X626" s="48">
        <v>502</v>
      </c>
      <c r="Y626" s="48">
        <v>33</v>
      </c>
      <c r="Z626" s="48">
        <v>623</v>
      </c>
    </row>
    <row r="627" spans="1:26" ht="15" hidden="1" customHeight="1">
      <c r="A627" s="48" t="s">
        <v>1342</v>
      </c>
      <c r="B627" s="48" t="s">
        <v>1342</v>
      </c>
      <c r="C627" s="48" t="s">
        <v>1343</v>
      </c>
      <c r="D627" s="48" t="s">
        <v>50</v>
      </c>
      <c r="E627" s="48" t="s">
        <v>249</v>
      </c>
      <c r="F627" s="48">
        <v>111</v>
      </c>
      <c r="G627" s="48">
        <v>24</v>
      </c>
      <c r="H627" s="48">
        <v>271</v>
      </c>
      <c r="I627" s="48">
        <v>91</v>
      </c>
      <c r="J627" s="48">
        <v>30</v>
      </c>
      <c r="K627" s="48">
        <v>566</v>
      </c>
      <c r="L627" s="48">
        <v>120</v>
      </c>
      <c r="M627" s="48">
        <v>10</v>
      </c>
      <c r="N627" s="48">
        <v>211</v>
      </c>
      <c r="O627" s="48">
        <v>57</v>
      </c>
      <c r="P627" s="48">
        <v>38</v>
      </c>
      <c r="Q627" s="48">
        <v>713</v>
      </c>
      <c r="R627" s="48">
        <v>58</v>
      </c>
      <c r="S627" s="48">
        <v>51</v>
      </c>
      <c r="T627" s="48">
        <v>918</v>
      </c>
      <c r="U627" s="48">
        <v>65</v>
      </c>
      <c r="V627" s="48">
        <v>21</v>
      </c>
      <c r="W627" s="48">
        <v>554</v>
      </c>
      <c r="X627" s="48">
        <v>502</v>
      </c>
      <c r="Y627" s="48">
        <v>29</v>
      </c>
      <c r="Z627" s="48">
        <v>623</v>
      </c>
    </row>
    <row r="628" spans="1:26" ht="15" hidden="1" customHeight="1">
      <c r="A628" s="48" t="s">
        <v>1344</v>
      </c>
      <c r="B628" s="48" t="s">
        <v>1344</v>
      </c>
      <c r="C628" s="48" t="s">
        <v>1345</v>
      </c>
      <c r="D628" s="48" t="s">
        <v>50</v>
      </c>
      <c r="E628" s="48" t="s">
        <v>172</v>
      </c>
      <c r="F628" s="48">
        <v>96</v>
      </c>
      <c r="G628" s="48">
        <v>48</v>
      </c>
      <c r="H628" s="48">
        <v>814</v>
      </c>
      <c r="I628" s="48">
        <v>89</v>
      </c>
      <c r="J628" s="48">
        <v>32</v>
      </c>
      <c r="K628" s="48">
        <v>587</v>
      </c>
      <c r="L628" s="48">
        <v>118</v>
      </c>
      <c r="M628" s="48">
        <v>13</v>
      </c>
      <c r="N628" s="48">
        <v>263</v>
      </c>
      <c r="O628" s="48">
        <v>54</v>
      </c>
      <c r="P628" s="48">
        <v>45</v>
      </c>
      <c r="Q628" s="48">
        <v>766</v>
      </c>
      <c r="R628" s="48">
        <v>75</v>
      </c>
      <c r="S628" s="48">
        <v>34</v>
      </c>
      <c r="T628" s="48">
        <v>671</v>
      </c>
      <c r="U628" s="48">
        <v>70</v>
      </c>
      <c r="V628" s="48">
        <v>19</v>
      </c>
      <c r="W628" s="48">
        <v>380</v>
      </c>
      <c r="X628" s="48">
        <v>502</v>
      </c>
      <c r="Y628" s="48">
        <v>36</v>
      </c>
      <c r="Z628" s="48">
        <v>623</v>
      </c>
    </row>
    <row r="629" spans="1:26" ht="15" hidden="1" customHeight="1">
      <c r="A629" s="48" t="s">
        <v>1346</v>
      </c>
      <c r="B629" s="48" t="s">
        <v>1346</v>
      </c>
      <c r="C629" s="48" t="s">
        <v>1347</v>
      </c>
      <c r="D629" s="48" t="s">
        <v>50</v>
      </c>
      <c r="E629" s="48" t="s">
        <v>92</v>
      </c>
      <c r="F629" s="48">
        <v>107</v>
      </c>
      <c r="G629" s="48">
        <v>17</v>
      </c>
      <c r="H629" s="48">
        <v>429</v>
      </c>
      <c r="I629" s="48">
        <v>90</v>
      </c>
      <c r="J629" s="48">
        <v>34</v>
      </c>
      <c r="K629" s="48">
        <v>578</v>
      </c>
      <c r="L629" s="48">
        <v>105</v>
      </c>
      <c r="M629" s="48">
        <v>27</v>
      </c>
      <c r="N629" s="48">
        <v>578</v>
      </c>
      <c r="O629" s="48">
        <v>54</v>
      </c>
      <c r="P629" s="48">
        <v>46</v>
      </c>
      <c r="Q629" s="48">
        <v>766</v>
      </c>
      <c r="R629" s="48">
        <v>85</v>
      </c>
      <c r="S629" s="48">
        <v>17</v>
      </c>
      <c r="T629" s="48">
        <v>339</v>
      </c>
      <c r="U629" s="48">
        <v>61</v>
      </c>
      <c r="V629" s="48">
        <v>44</v>
      </c>
      <c r="W629" s="48">
        <v>686</v>
      </c>
      <c r="X629" s="48">
        <v>502</v>
      </c>
      <c r="Y629" s="48">
        <v>37</v>
      </c>
      <c r="Z629" s="48">
        <v>623</v>
      </c>
    </row>
    <row r="630" spans="1:26" ht="15" hidden="1" customHeight="1">
      <c r="A630" s="48" t="s">
        <v>1348</v>
      </c>
      <c r="B630" s="48" t="s">
        <v>1348</v>
      </c>
      <c r="C630" s="48" t="s">
        <v>1349</v>
      </c>
      <c r="D630" s="48" t="s">
        <v>50</v>
      </c>
      <c r="E630" s="48" t="s">
        <v>150</v>
      </c>
      <c r="F630" s="48">
        <v>81</v>
      </c>
      <c r="G630" s="48">
        <v>55</v>
      </c>
      <c r="H630" s="48">
        <v>938</v>
      </c>
      <c r="I630" s="48">
        <v>97</v>
      </c>
      <c r="J630" s="48">
        <v>37</v>
      </c>
      <c r="K630" s="48">
        <v>474</v>
      </c>
      <c r="L630" s="48">
        <v>103.5</v>
      </c>
      <c r="M630" s="48">
        <v>37</v>
      </c>
      <c r="N630" s="48">
        <v>612</v>
      </c>
      <c r="O630" s="48">
        <v>69</v>
      </c>
      <c r="P630" s="48">
        <v>24</v>
      </c>
      <c r="Q630" s="48">
        <v>452</v>
      </c>
      <c r="R630" s="48">
        <v>92</v>
      </c>
      <c r="S630" s="48">
        <v>10</v>
      </c>
      <c r="T630" s="48">
        <v>116</v>
      </c>
      <c r="U630" s="48">
        <v>59</v>
      </c>
      <c r="V630" s="48">
        <v>50</v>
      </c>
      <c r="W630" s="48">
        <v>729</v>
      </c>
      <c r="X630" s="48">
        <v>501.5</v>
      </c>
      <c r="Y630" s="48">
        <v>43</v>
      </c>
      <c r="Z630" s="48">
        <v>627</v>
      </c>
    </row>
    <row r="631" spans="1:26" ht="15" hidden="1" customHeight="1">
      <c r="A631" s="48" t="s">
        <v>1350</v>
      </c>
      <c r="B631" s="48" t="s">
        <v>1350</v>
      </c>
      <c r="C631" s="48" t="s">
        <v>1351</v>
      </c>
      <c r="D631" s="48" t="s">
        <v>50</v>
      </c>
      <c r="E631" s="48" t="s">
        <v>172</v>
      </c>
      <c r="F631" s="48">
        <v>78</v>
      </c>
      <c r="G631" s="48">
        <v>57</v>
      </c>
      <c r="H631" s="48">
        <v>941</v>
      </c>
      <c r="I631" s="48">
        <v>121</v>
      </c>
      <c r="J631" s="48">
        <v>6</v>
      </c>
      <c r="K631" s="48">
        <v>131</v>
      </c>
      <c r="L631" s="48">
        <v>65.5</v>
      </c>
      <c r="M631" s="48">
        <v>57</v>
      </c>
      <c r="N631" s="48">
        <v>934</v>
      </c>
      <c r="O631" s="48">
        <v>78</v>
      </c>
      <c r="P631" s="48">
        <v>15</v>
      </c>
      <c r="Q631" s="48">
        <v>256</v>
      </c>
      <c r="R631" s="48">
        <v>85</v>
      </c>
      <c r="S631" s="48">
        <v>15</v>
      </c>
      <c r="T631" s="48">
        <v>339</v>
      </c>
      <c r="U631" s="48">
        <v>74</v>
      </c>
      <c r="V631" s="48">
        <v>11</v>
      </c>
      <c r="W631" s="48">
        <v>247</v>
      </c>
      <c r="X631" s="48">
        <v>501.5</v>
      </c>
      <c r="Y631" s="48">
        <v>37</v>
      </c>
      <c r="Z631" s="48">
        <v>627</v>
      </c>
    </row>
    <row r="632" spans="1:26" ht="15" hidden="1" customHeight="1">
      <c r="A632" s="48" t="s">
        <v>1352</v>
      </c>
      <c r="B632" s="48" t="s">
        <v>1352</v>
      </c>
      <c r="C632" s="48" t="s">
        <v>1353</v>
      </c>
      <c r="D632" s="48" t="s">
        <v>50</v>
      </c>
      <c r="E632" s="48" t="s">
        <v>172</v>
      </c>
      <c r="F632" s="48">
        <v>107</v>
      </c>
      <c r="G632" s="48">
        <v>22</v>
      </c>
      <c r="H632" s="48">
        <v>429</v>
      </c>
      <c r="I632" s="48">
        <v>88</v>
      </c>
      <c r="J632" s="48">
        <v>33</v>
      </c>
      <c r="K632" s="48">
        <v>601</v>
      </c>
      <c r="L632" s="48">
        <v>103.5</v>
      </c>
      <c r="M632" s="48">
        <v>34</v>
      </c>
      <c r="N632" s="48">
        <v>612</v>
      </c>
      <c r="O632" s="48">
        <v>59</v>
      </c>
      <c r="P632" s="48">
        <v>36</v>
      </c>
      <c r="Q632" s="48">
        <v>672</v>
      </c>
      <c r="R632" s="48">
        <v>75</v>
      </c>
      <c r="S632" s="48">
        <v>34</v>
      </c>
      <c r="T632" s="48">
        <v>671</v>
      </c>
      <c r="U632" s="48">
        <v>69</v>
      </c>
      <c r="V632" s="48">
        <v>25</v>
      </c>
      <c r="W632" s="48">
        <v>420</v>
      </c>
      <c r="X632" s="48">
        <v>501.5</v>
      </c>
      <c r="Y632" s="48">
        <v>37</v>
      </c>
      <c r="Z632" s="48">
        <v>627</v>
      </c>
    </row>
    <row r="633" spans="1:26" ht="15" hidden="1" customHeight="1">
      <c r="A633" s="48" t="s">
        <v>1354</v>
      </c>
      <c r="B633" s="48" t="s">
        <v>1354</v>
      </c>
      <c r="C633" s="48" t="s">
        <v>1355</v>
      </c>
      <c r="D633" s="48" t="s">
        <v>50</v>
      </c>
      <c r="E633" s="48" t="s">
        <v>249</v>
      </c>
      <c r="F633" s="48">
        <v>101</v>
      </c>
      <c r="G633" s="48">
        <v>50</v>
      </c>
      <c r="H633" s="48">
        <v>688</v>
      </c>
      <c r="I633" s="48">
        <v>95</v>
      </c>
      <c r="J633" s="48">
        <v>26</v>
      </c>
      <c r="K633" s="48">
        <v>501</v>
      </c>
      <c r="L633" s="48">
        <v>114</v>
      </c>
      <c r="M633" s="48">
        <v>16</v>
      </c>
      <c r="N633" s="48">
        <v>356</v>
      </c>
      <c r="O633" s="48">
        <v>58</v>
      </c>
      <c r="P633" s="48">
        <v>37</v>
      </c>
      <c r="Q633" s="48">
        <v>698</v>
      </c>
      <c r="R633" s="48">
        <v>68</v>
      </c>
      <c r="S633" s="48">
        <v>40</v>
      </c>
      <c r="T633" s="48">
        <v>824</v>
      </c>
      <c r="U633" s="48">
        <v>65</v>
      </c>
      <c r="V633" s="48">
        <v>21</v>
      </c>
      <c r="W633" s="48">
        <v>554</v>
      </c>
      <c r="X633" s="48">
        <v>501</v>
      </c>
      <c r="Y633" s="48">
        <v>30</v>
      </c>
      <c r="Z633" s="48">
        <v>630</v>
      </c>
    </row>
    <row r="634" spans="1:26" ht="15" hidden="1" customHeight="1">
      <c r="A634" s="48" t="s">
        <v>1356</v>
      </c>
      <c r="B634" s="48" t="s">
        <v>1356</v>
      </c>
      <c r="C634" s="48" t="s">
        <v>1357</v>
      </c>
      <c r="D634" s="48" t="s">
        <v>50</v>
      </c>
      <c r="E634" s="48" t="s">
        <v>106</v>
      </c>
      <c r="F634" s="48">
        <v>99</v>
      </c>
      <c r="G634" s="48">
        <v>46</v>
      </c>
      <c r="H634" s="48">
        <v>754</v>
      </c>
      <c r="I634" s="48">
        <v>104</v>
      </c>
      <c r="J634" s="48">
        <v>18</v>
      </c>
      <c r="K634" s="48">
        <v>358</v>
      </c>
      <c r="L634" s="48">
        <v>76</v>
      </c>
      <c r="M634" s="48">
        <v>54</v>
      </c>
      <c r="N634" s="48">
        <v>911</v>
      </c>
      <c r="O634" s="48">
        <v>81</v>
      </c>
      <c r="P634" s="48">
        <v>11</v>
      </c>
      <c r="Q634" s="48">
        <v>195</v>
      </c>
      <c r="R634" s="48">
        <v>73</v>
      </c>
      <c r="S634" s="48">
        <v>36</v>
      </c>
      <c r="T634" s="48">
        <v>717</v>
      </c>
      <c r="U634" s="48">
        <v>68</v>
      </c>
      <c r="V634" s="48">
        <v>19</v>
      </c>
      <c r="W634" s="48">
        <v>452</v>
      </c>
      <c r="X634" s="48">
        <v>501</v>
      </c>
      <c r="Y634" s="48">
        <v>29</v>
      </c>
      <c r="Z634" s="48">
        <v>630</v>
      </c>
    </row>
    <row r="635" spans="1:26" ht="15" hidden="1" customHeight="1">
      <c r="A635" s="48" t="s">
        <v>1358</v>
      </c>
      <c r="B635" s="48" t="s">
        <v>1358</v>
      </c>
      <c r="C635" s="48" t="s">
        <v>1359</v>
      </c>
      <c r="D635" s="48" t="s">
        <v>50</v>
      </c>
      <c r="E635" s="48" t="s">
        <v>106</v>
      </c>
      <c r="F635" s="48">
        <v>95</v>
      </c>
      <c r="G635" s="48">
        <v>52</v>
      </c>
      <c r="H635" s="48">
        <v>837</v>
      </c>
      <c r="I635" s="48">
        <v>113</v>
      </c>
      <c r="J635" s="48">
        <v>9</v>
      </c>
      <c r="K635" s="48">
        <v>224</v>
      </c>
      <c r="L635" s="48">
        <v>85.5</v>
      </c>
      <c r="M635" s="48">
        <v>50</v>
      </c>
      <c r="N635" s="48">
        <v>866</v>
      </c>
      <c r="O635" s="48">
        <v>59</v>
      </c>
      <c r="P635" s="48">
        <v>36</v>
      </c>
      <c r="Q635" s="48">
        <v>672</v>
      </c>
      <c r="R635" s="48">
        <v>88</v>
      </c>
      <c r="S635" s="48">
        <v>7</v>
      </c>
      <c r="T635" s="48">
        <v>240</v>
      </c>
      <c r="U635" s="48">
        <v>60</v>
      </c>
      <c r="V635" s="48">
        <v>32</v>
      </c>
      <c r="W635" s="48">
        <v>706</v>
      </c>
      <c r="X635" s="48">
        <v>500.5</v>
      </c>
      <c r="Y635" s="48">
        <v>30</v>
      </c>
      <c r="Z635" s="48">
        <v>632</v>
      </c>
    </row>
    <row r="636" spans="1:26" ht="15" hidden="1" customHeight="1">
      <c r="A636" s="48" t="s">
        <v>1360</v>
      </c>
      <c r="B636" s="48" t="s">
        <v>1360</v>
      </c>
      <c r="C636" s="48" t="s">
        <v>1361</v>
      </c>
      <c r="D636" s="48" t="s">
        <v>50</v>
      </c>
      <c r="E636" s="48" t="s">
        <v>150</v>
      </c>
      <c r="F636" s="48">
        <v>103</v>
      </c>
      <c r="G636" s="48">
        <v>30</v>
      </c>
      <c r="H636" s="48">
        <v>606</v>
      </c>
      <c r="I636" s="48">
        <v>60</v>
      </c>
      <c r="J636" s="48">
        <v>56</v>
      </c>
      <c r="K636" s="48">
        <v>884</v>
      </c>
      <c r="L636" s="48">
        <v>113.5</v>
      </c>
      <c r="M636" s="48">
        <v>19</v>
      </c>
      <c r="N636" s="48">
        <v>374</v>
      </c>
      <c r="O636" s="48">
        <v>66</v>
      </c>
      <c r="P636" s="48">
        <v>28</v>
      </c>
      <c r="Q636" s="48">
        <v>513</v>
      </c>
      <c r="R636" s="48">
        <v>81</v>
      </c>
      <c r="S636" s="48">
        <v>32</v>
      </c>
      <c r="T636" s="48">
        <v>474</v>
      </c>
      <c r="U636" s="48">
        <v>77</v>
      </c>
      <c r="V636" s="48">
        <v>16</v>
      </c>
      <c r="W636" s="48">
        <v>162</v>
      </c>
      <c r="X636" s="48">
        <v>500.5</v>
      </c>
      <c r="Y636" s="48">
        <v>44</v>
      </c>
      <c r="Z636" s="48">
        <v>632</v>
      </c>
    </row>
    <row r="637" spans="1:26" ht="15" hidden="1" customHeight="1">
      <c r="A637" s="48" t="s">
        <v>1362</v>
      </c>
      <c r="B637" s="48" t="s">
        <v>1362</v>
      </c>
      <c r="C637" s="48" t="s">
        <v>1363</v>
      </c>
      <c r="D637" s="48" t="s">
        <v>50</v>
      </c>
      <c r="E637" s="48" t="s">
        <v>92</v>
      </c>
      <c r="F637" s="48">
        <v>105</v>
      </c>
      <c r="G637" s="48">
        <v>21</v>
      </c>
      <c r="H637" s="48">
        <v>515</v>
      </c>
      <c r="I637" s="48">
        <v>77</v>
      </c>
      <c r="J637" s="48">
        <v>47</v>
      </c>
      <c r="K637" s="48">
        <v>741</v>
      </c>
      <c r="L637" s="48">
        <v>120.5</v>
      </c>
      <c r="M637" s="48">
        <v>8</v>
      </c>
      <c r="N637" s="48">
        <v>192</v>
      </c>
      <c r="O637" s="48">
        <v>57</v>
      </c>
      <c r="P637" s="48">
        <v>42</v>
      </c>
      <c r="Q637" s="48">
        <v>713</v>
      </c>
      <c r="R637" s="48">
        <v>71</v>
      </c>
      <c r="S637" s="48">
        <v>50</v>
      </c>
      <c r="T637" s="48">
        <v>773</v>
      </c>
      <c r="U637" s="48">
        <v>70</v>
      </c>
      <c r="V637" s="48">
        <v>28</v>
      </c>
      <c r="W637" s="48">
        <v>380</v>
      </c>
      <c r="X637" s="48">
        <v>500.5</v>
      </c>
      <c r="Y637" s="48">
        <v>38</v>
      </c>
      <c r="Z637" s="48">
        <v>632</v>
      </c>
    </row>
    <row r="638" spans="1:26" ht="15" hidden="1" customHeight="1">
      <c r="A638" s="48" t="s">
        <v>1364</v>
      </c>
      <c r="B638" s="48" t="s">
        <v>1364</v>
      </c>
      <c r="C638" s="48" t="s">
        <v>1365</v>
      </c>
      <c r="D638" s="48" t="s">
        <v>50</v>
      </c>
      <c r="E638" s="48" t="s">
        <v>249</v>
      </c>
      <c r="F638" s="48">
        <v>110</v>
      </c>
      <c r="G638" s="48">
        <v>27</v>
      </c>
      <c r="H638" s="48">
        <v>310</v>
      </c>
      <c r="I638" s="48">
        <v>66</v>
      </c>
      <c r="J638" s="48">
        <v>47</v>
      </c>
      <c r="K638" s="48">
        <v>847</v>
      </c>
      <c r="L638" s="48">
        <v>105</v>
      </c>
      <c r="M638" s="48">
        <v>27</v>
      </c>
      <c r="N638" s="48">
        <v>578</v>
      </c>
      <c r="O638" s="48">
        <v>90</v>
      </c>
      <c r="P638" s="48">
        <v>5</v>
      </c>
      <c r="Q638" s="48">
        <v>63</v>
      </c>
      <c r="R638" s="48">
        <v>79</v>
      </c>
      <c r="S638" s="48">
        <v>19</v>
      </c>
      <c r="T638" s="48">
        <v>539</v>
      </c>
      <c r="U638" s="48">
        <v>50</v>
      </c>
      <c r="V638" s="48">
        <v>51</v>
      </c>
      <c r="W638" s="48">
        <v>873</v>
      </c>
      <c r="X638" s="48">
        <v>500</v>
      </c>
      <c r="Y638" s="48">
        <v>31</v>
      </c>
      <c r="Z638" s="48">
        <v>635</v>
      </c>
    </row>
    <row r="639" spans="1:26" ht="15" hidden="1" customHeight="1">
      <c r="A639" s="48" t="s">
        <v>1366</v>
      </c>
      <c r="B639" s="48" t="s">
        <v>1366</v>
      </c>
      <c r="C639" s="48" t="s">
        <v>1367</v>
      </c>
      <c r="D639" s="48" t="s">
        <v>50</v>
      </c>
      <c r="E639" s="48" t="s">
        <v>217</v>
      </c>
      <c r="F639" s="48">
        <v>84</v>
      </c>
      <c r="G639" s="48">
        <v>57</v>
      </c>
      <c r="H639" s="48">
        <v>933</v>
      </c>
      <c r="I639" s="48">
        <v>109</v>
      </c>
      <c r="J639" s="48">
        <v>14</v>
      </c>
      <c r="K639" s="48">
        <v>278</v>
      </c>
      <c r="L639" s="48">
        <v>92</v>
      </c>
      <c r="M639" s="48">
        <v>47</v>
      </c>
      <c r="N639" s="48">
        <v>809</v>
      </c>
      <c r="O639" s="48">
        <v>62</v>
      </c>
      <c r="P639" s="48">
        <v>37</v>
      </c>
      <c r="Q639" s="48">
        <v>607</v>
      </c>
      <c r="R639" s="48">
        <v>81</v>
      </c>
      <c r="S639" s="48">
        <v>24</v>
      </c>
      <c r="T639" s="48">
        <v>474</v>
      </c>
      <c r="U639" s="48">
        <v>72</v>
      </c>
      <c r="V639" s="48">
        <v>16</v>
      </c>
      <c r="W639" s="48">
        <v>312</v>
      </c>
      <c r="X639" s="48">
        <v>500</v>
      </c>
      <c r="Y639" s="48">
        <v>30</v>
      </c>
      <c r="Z639" s="48">
        <v>635</v>
      </c>
    </row>
    <row r="640" spans="1:26" ht="15" hidden="1" customHeight="1">
      <c r="A640" s="48" t="s">
        <v>1368</v>
      </c>
      <c r="B640" s="48" t="s">
        <v>1368</v>
      </c>
      <c r="C640" s="48" t="s">
        <v>1369</v>
      </c>
      <c r="D640" s="48" t="s">
        <v>50</v>
      </c>
      <c r="E640" s="48" t="s">
        <v>122</v>
      </c>
      <c r="F640" s="48">
        <v>112</v>
      </c>
      <c r="G640" s="48">
        <v>23</v>
      </c>
      <c r="H640" s="48">
        <v>226</v>
      </c>
      <c r="I640" s="48">
        <v>81</v>
      </c>
      <c r="J640" s="48">
        <v>50</v>
      </c>
      <c r="K640" s="48">
        <v>688</v>
      </c>
      <c r="L640" s="48">
        <v>101</v>
      </c>
      <c r="M640" s="48">
        <v>49</v>
      </c>
      <c r="N640" s="48">
        <v>661</v>
      </c>
      <c r="O640" s="48">
        <v>55</v>
      </c>
      <c r="P640" s="48">
        <v>49</v>
      </c>
      <c r="Q640" s="48">
        <v>748</v>
      </c>
      <c r="R640" s="48">
        <v>91</v>
      </c>
      <c r="S640" s="48">
        <v>23</v>
      </c>
      <c r="T640" s="48">
        <v>151</v>
      </c>
      <c r="U640" s="48">
        <v>60</v>
      </c>
      <c r="V640" s="48">
        <v>48</v>
      </c>
      <c r="W640" s="48">
        <v>706</v>
      </c>
      <c r="X640" s="48">
        <v>500</v>
      </c>
      <c r="Y640" s="48">
        <v>51</v>
      </c>
      <c r="Z640" s="48">
        <v>635</v>
      </c>
    </row>
    <row r="641" spans="1:26" ht="15" hidden="1" customHeight="1">
      <c r="A641" s="48" t="s">
        <v>1370</v>
      </c>
      <c r="B641" s="48" t="s">
        <v>1370</v>
      </c>
      <c r="C641" s="48" t="s">
        <v>1371</v>
      </c>
      <c r="D641" s="48" t="s">
        <v>50</v>
      </c>
      <c r="E641" s="48" t="s">
        <v>84</v>
      </c>
      <c r="F641" s="48">
        <v>100</v>
      </c>
      <c r="G641" s="48">
        <v>40</v>
      </c>
      <c r="H641" s="48">
        <v>715</v>
      </c>
      <c r="I641" s="48">
        <v>89</v>
      </c>
      <c r="J641" s="48">
        <v>32</v>
      </c>
      <c r="K641" s="48">
        <v>587</v>
      </c>
      <c r="L641" s="48">
        <v>109</v>
      </c>
      <c r="M641" s="48">
        <v>33</v>
      </c>
      <c r="N641" s="48">
        <v>500</v>
      </c>
      <c r="O641" s="48">
        <v>63</v>
      </c>
      <c r="P641" s="48">
        <v>37</v>
      </c>
      <c r="Q641" s="48">
        <v>581</v>
      </c>
      <c r="R641" s="48">
        <v>75</v>
      </c>
      <c r="S641" s="48">
        <v>40</v>
      </c>
      <c r="T641" s="48">
        <v>671</v>
      </c>
      <c r="U641" s="48">
        <v>64</v>
      </c>
      <c r="V641" s="48">
        <v>39</v>
      </c>
      <c r="W641" s="48">
        <v>593</v>
      </c>
      <c r="X641" s="48">
        <v>500</v>
      </c>
      <c r="Y641" s="48">
        <v>38</v>
      </c>
      <c r="Z641" s="48">
        <v>635</v>
      </c>
    </row>
    <row r="642" spans="1:26" ht="15" hidden="1" customHeight="1">
      <c r="A642" s="48" t="s">
        <v>1372</v>
      </c>
      <c r="B642" s="48" t="s">
        <v>1372</v>
      </c>
      <c r="C642" s="48" t="s">
        <v>1373</v>
      </c>
      <c r="D642" s="48" t="s">
        <v>50</v>
      </c>
      <c r="E642" s="48" t="s">
        <v>84</v>
      </c>
      <c r="F642" s="48">
        <v>111</v>
      </c>
      <c r="G642" s="48">
        <v>15</v>
      </c>
      <c r="H642" s="48">
        <v>271</v>
      </c>
      <c r="I642" s="48">
        <v>81</v>
      </c>
      <c r="J642" s="48">
        <v>40</v>
      </c>
      <c r="K642" s="48">
        <v>688</v>
      </c>
      <c r="L642" s="48">
        <v>132</v>
      </c>
      <c r="M642" s="48">
        <v>3</v>
      </c>
      <c r="N642" s="48">
        <v>22</v>
      </c>
      <c r="O642" s="48">
        <v>55</v>
      </c>
      <c r="P642" s="48">
        <v>48</v>
      </c>
      <c r="Q642" s="48">
        <v>748</v>
      </c>
      <c r="R642" s="48">
        <v>70</v>
      </c>
      <c r="S642" s="48">
        <v>45</v>
      </c>
      <c r="T642" s="48">
        <v>787</v>
      </c>
      <c r="U642" s="48">
        <v>51</v>
      </c>
      <c r="V642" s="48">
        <v>53</v>
      </c>
      <c r="W642" s="48">
        <v>862</v>
      </c>
      <c r="X642" s="48">
        <v>500</v>
      </c>
      <c r="Y642" s="48">
        <v>38</v>
      </c>
      <c r="Z642" s="48">
        <v>635</v>
      </c>
    </row>
    <row r="643" spans="1:26" ht="15" hidden="1" customHeight="1">
      <c r="A643" s="48" t="s">
        <v>1374</v>
      </c>
      <c r="B643" s="48" t="s">
        <v>1374</v>
      </c>
      <c r="C643" s="48" t="s">
        <v>1375</v>
      </c>
      <c r="D643" s="48" t="s">
        <v>50</v>
      </c>
      <c r="E643" s="48" t="s">
        <v>84</v>
      </c>
      <c r="F643" s="48">
        <v>108</v>
      </c>
      <c r="G643" s="48">
        <v>21</v>
      </c>
      <c r="H643" s="48">
        <v>391</v>
      </c>
      <c r="I643" s="48">
        <v>77</v>
      </c>
      <c r="J643" s="48">
        <v>44</v>
      </c>
      <c r="K643" s="48">
        <v>741</v>
      </c>
      <c r="L643" s="48">
        <v>108.5</v>
      </c>
      <c r="M643" s="48">
        <v>34</v>
      </c>
      <c r="N643" s="48">
        <v>508</v>
      </c>
      <c r="O643" s="48">
        <v>59</v>
      </c>
      <c r="P643" s="48">
        <v>42</v>
      </c>
      <c r="Q643" s="48">
        <v>672</v>
      </c>
      <c r="R643" s="48">
        <v>82</v>
      </c>
      <c r="S643" s="48">
        <v>25</v>
      </c>
      <c r="T643" s="48">
        <v>452</v>
      </c>
      <c r="U643" s="48">
        <v>65</v>
      </c>
      <c r="V643" s="48">
        <v>35</v>
      </c>
      <c r="W643" s="48">
        <v>554</v>
      </c>
      <c r="X643" s="48">
        <v>499.5</v>
      </c>
      <c r="Y643" s="48">
        <v>40</v>
      </c>
      <c r="Z643" s="48">
        <v>640</v>
      </c>
    </row>
    <row r="644" spans="1:26" ht="15" hidden="1" customHeight="1">
      <c r="A644" s="48" t="s">
        <v>1376</v>
      </c>
      <c r="B644" s="48" t="s">
        <v>1376</v>
      </c>
      <c r="C644" s="48" t="s">
        <v>1377</v>
      </c>
      <c r="D644" s="48" t="s">
        <v>50</v>
      </c>
      <c r="E644" s="48" t="s">
        <v>210</v>
      </c>
      <c r="F644" s="48">
        <v>111</v>
      </c>
      <c r="G644" s="48">
        <v>15</v>
      </c>
      <c r="H644" s="48">
        <v>271</v>
      </c>
      <c r="I644" s="48">
        <v>82</v>
      </c>
      <c r="J644" s="48">
        <v>43</v>
      </c>
      <c r="K644" s="48">
        <v>676</v>
      </c>
      <c r="L644" s="48">
        <v>120.5</v>
      </c>
      <c r="M644" s="48">
        <v>9</v>
      </c>
      <c r="N644" s="48">
        <v>192</v>
      </c>
      <c r="O644" s="48">
        <v>61</v>
      </c>
      <c r="P644" s="48">
        <v>43</v>
      </c>
      <c r="Q644" s="48">
        <v>627</v>
      </c>
      <c r="R644" s="48">
        <v>73</v>
      </c>
      <c r="S644" s="48">
        <v>45</v>
      </c>
      <c r="T644" s="48">
        <v>717</v>
      </c>
      <c r="U644" s="48">
        <v>52</v>
      </c>
      <c r="V644" s="48">
        <v>50</v>
      </c>
      <c r="W644" s="48">
        <v>849</v>
      </c>
      <c r="X644" s="48">
        <v>499.5</v>
      </c>
      <c r="Y644" s="48">
        <v>40</v>
      </c>
      <c r="Z644" s="48">
        <v>640</v>
      </c>
    </row>
    <row r="645" spans="1:26" ht="15" hidden="1" customHeight="1">
      <c r="A645" s="48" t="s">
        <v>1378</v>
      </c>
      <c r="B645" s="48" t="s">
        <v>1378</v>
      </c>
      <c r="C645" s="48" t="s">
        <v>1379</v>
      </c>
      <c r="D645" s="48" t="s">
        <v>50</v>
      </c>
      <c r="E645" s="48" t="s">
        <v>172</v>
      </c>
      <c r="F645" s="48">
        <v>112</v>
      </c>
      <c r="G645" s="48">
        <v>11</v>
      </c>
      <c r="H645" s="48">
        <v>226</v>
      </c>
      <c r="I645" s="48">
        <v>86</v>
      </c>
      <c r="J645" s="48">
        <v>37</v>
      </c>
      <c r="K645" s="48">
        <v>626</v>
      </c>
      <c r="L645" s="48">
        <v>111.5</v>
      </c>
      <c r="M645" s="48">
        <v>20</v>
      </c>
      <c r="N645" s="48">
        <v>427</v>
      </c>
      <c r="O645" s="48">
        <v>55</v>
      </c>
      <c r="P645" s="48">
        <v>42</v>
      </c>
      <c r="Q645" s="48">
        <v>748</v>
      </c>
      <c r="R645" s="48">
        <v>77</v>
      </c>
      <c r="S645" s="48">
        <v>31</v>
      </c>
      <c r="T645" s="48">
        <v>608</v>
      </c>
      <c r="U645" s="48">
        <v>58</v>
      </c>
      <c r="V645" s="48">
        <v>46</v>
      </c>
      <c r="W645" s="48">
        <v>754</v>
      </c>
      <c r="X645" s="48">
        <v>499.5</v>
      </c>
      <c r="Y645" s="48">
        <v>39</v>
      </c>
      <c r="Z645" s="48">
        <v>640</v>
      </c>
    </row>
    <row r="646" spans="1:26" ht="15" hidden="1" customHeight="1">
      <c r="A646" s="48" t="s">
        <v>1380</v>
      </c>
      <c r="B646" s="48" t="s">
        <v>1380</v>
      </c>
      <c r="C646" s="48" t="s">
        <v>1381</v>
      </c>
      <c r="D646" s="48" t="s">
        <v>50</v>
      </c>
      <c r="E646" s="48" t="s">
        <v>172</v>
      </c>
      <c r="F646" s="48">
        <v>105</v>
      </c>
      <c r="G646" s="48">
        <v>27</v>
      </c>
      <c r="H646" s="48">
        <v>515</v>
      </c>
      <c r="I646" s="48">
        <v>79</v>
      </c>
      <c r="J646" s="48">
        <v>41</v>
      </c>
      <c r="K646" s="48">
        <v>713</v>
      </c>
      <c r="L646" s="48">
        <v>97.5</v>
      </c>
      <c r="M646" s="48">
        <v>41</v>
      </c>
      <c r="N646" s="48">
        <v>737</v>
      </c>
      <c r="O646" s="48">
        <v>80</v>
      </c>
      <c r="P646" s="48">
        <v>13</v>
      </c>
      <c r="Q646" s="48">
        <v>211</v>
      </c>
      <c r="R646" s="48">
        <v>69</v>
      </c>
      <c r="S646" s="48">
        <v>46</v>
      </c>
      <c r="T646" s="48">
        <v>810</v>
      </c>
      <c r="U646" s="48">
        <v>69</v>
      </c>
      <c r="V646" s="48">
        <v>25</v>
      </c>
      <c r="W646" s="48">
        <v>420</v>
      </c>
      <c r="X646" s="48">
        <v>499.5</v>
      </c>
      <c r="Y646" s="48">
        <v>39</v>
      </c>
      <c r="Z646" s="48">
        <v>640</v>
      </c>
    </row>
    <row r="647" spans="1:26" ht="15" hidden="1" customHeight="1">
      <c r="A647" s="48" t="s">
        <v>1382</v>
      </c>
      <c r="B647" s="48" t="s">
        <v>1382</v>
      </c>
      <c r="C647" s="48" t="s">
        <v>1383</v>
      </c>
      <c r="D647" s="48" t="s">
        <v>50</v>
      </c>
      <c r="E647" s="48" t="s">
        <v>249</v>
      </c>
      <c r="F647" s="48">
        <v>100</v>
      </c>
      <c r="G647" s="48">
        <v>51</v>
      </c>
      <c r="H647" s="48">
        <v>715</v>
      </c>
      <c r="I647" s="48">
        <v>106</v>
      </c>
      <c r="J647" s="48">
        <v>15</v>
      </c>
      <c r="K647" s="48">
        <v>322</v>
      </c>
      <c r="L647" s="48">
        <v>82.5</v>
      </c>
      <c r="M647" s="48">
        <v>53</v>
      </c>
      <c r="N647" s="48">
        <v>883</v>
      </c>
      <c r="O647" s="48">
        <v>79</v>
      </c>
      <c r="P647" s="48">
        <v>12</v>
      </c>
      <c r="Q647" s="48">
        <v>236</v>
      </c>
      <c r="R647" s="48">
        <v>56</v>
      </c>
      <c r="S647" s="48">
        <v>54</v>
      </c>
      <c r="T647" s="48">
        <v>928</v>
      </c>
      <c r="U647" s="48">
        <v>76</v>
      </c>
      <c r="V647" s="48">
        <v>7</v>
      </c>
      <c r="W647" s="48">
        <v>194</v>
      </c>
      <c r="X647" s="48">
        <v>499.5</v>
      </c>
      <c r="Y647" s="48">
        <v>32</v>
      </c>
      <c r="Z647" s="48">
        <v>640</v>
      </c>
    </row>
    <row r="648" spans="1:26" ht="15" hidden="1" customHeight="1">
      <c r="A648" s="48" t="s">
        <v>1384</v>
      </c>
      <c r="B648" s="48" t="s">
        <v>1384</v>
      </c>
      <c r="C648" s="48" t="s">
        <v>1385</v>
      </c>
      <c r="D648" s="48" t="s">
        <v>50</v>
      </c>
      <c r="E648" s="48" t="s">
        <v>249</v>
      </c>
      <c r="F648" s="48">
        <v>107</v>
      </c>
      <c r="G648" s="48">
        <v>35</v>
      </c>
      <c r="H648" s="48">
        <v>429</v>
      </c>
      <c r="I648" s="48">
        <v>99</v>
      </c>
      <c r="J648" s="48">
        <v>23</v>
      </c>
      <c r="K648" s="48">
        <v>436</v>
      </c>
      <c r="L648" s="48">
        <v>90</v>
      </c>
      <c r="M648" s="48">
        <v>48</v>
      </c>
      <c r="N648" s="48">
        <v>829</v>
      </c>
      <c r="O648" s="48">
        <v>64</v>
      </c>
      <c r="P648" s="48">
        <v>33</v>
      </c>
      <c r="Q648" s="48">
        <v>559</v>
      </c>
      <c r="R648" s="48">
        <v>76</v>
      </c>
      <c r="S648" s="48">
        <v>25</v>
      </c>
      <c r="T648" s="48">
        <v>642</v>
      </c>
      <c r="U648" s="48">
        <v>63</v>
      </c>
      <c r="V648" s="48">
        <v>27</v>
      </c>
      <c r="W648" s="48">
        <v>625</v>
      </c>
      <c r="X648" s="48">
        <v>499</v>
      </c>
      <c r="Y648" s="48">
        <v>33</v>
      </c>
      <c r="Z648" s="48">
        <v>645</v>
      </c>
    </row>
    <row r="649" spans="1:26" ht="15" hidden="1" customHeight="1">
      <c r="A649" s="48" t="s">
        <v>1386</v>
      </c>
      <c r="B649" s="48" t="s">
        <v>1386</v>
      </c>
      <c r="C649" s="48" t="s">
        <v>1387</v>
      </c>
      <c r="D649" s="48" t="s">
        <v>50</v>
      </c>
      <c r="E649" s="48" t="s">
        <v>249</v>
      </c>
      <c r="F649" s="48">
        <v>112</v>
      </c>
      <c r="G649" s="48">
        <v>19</v>
      </c>
      <c r="H649" s="48">
        <v>226</v>
      </c>
      <c r="I649" s="48">
        <v>83</v>
      </c>
      <c r="J649" s="48">
        <v>37</v>
      </c>
      <c r="K649" s="48">
        <v>667</v>
      </c>
      <c r="L649" s="48">
        <v>109</v>
      </c>
      <c r="M649" s="48">
        <v>24</v>
      </c>
      <c r="N649" s="48">
        <v>500</v>
      </c>
      <c r="O649" s="48">
        <v>63</v>
      </c>
      <c r="P649" s="48">
        <v>34</v>
      </c>
      <c r="Q649" s="48">
        <v>581</v>
      </c>
      <c r="R649" s="48">
        <v>70</v>
      </c>
      <c r="S649" s="48">
        <v>36</v>
      </c>
      <c r="T649" s="48">
        <v>787</v>
      </c>
      <c r="U649" s="48">
        <v>62</v>
      </c>
      <c r="V649" s="48">
        <v>33</v>
      </c>
      <c r="W649" s="48">
        <v>657</v>
      </c>
      <c r="X649" s="48">
        <v>499</v>
      </c>
      <c r="Y649" s="48">
        <v>33</v>
      </c>
      <c r="Z649" s="48">
        <v>645</v>
      </c>
    </row>
    <row r="650" spans="1:26" ht="15" hidden="1" customHeight="1">
      <c r="A650" s="48" t="s">
        <v>1388</v>
      </c>
      <c r="B650" s="48" t="s">
        <v>1388</v>
      </c>
      <c r="C650" s="48" t="s">
        <v>1389</v>
      </c>
      <c r="D650" s="48" t="s">
        <v>50</v>
      </c>
      <c r="E650" s="48" t="s">
        <v>217</v>
      </c>
      <c r="F650" s="48">
        <v>91</v>
      </c>
      <c r="G650" s="48">
        <v>50</v>
      </c>
      <c r="H650" s="48">
        <v>890</v>
      </c>
      <c r="I650" s="48">
        <v>77</v>
      </c>
      <c r="J650" s="48">
        <v>46</v>
      </c>
      <c r="K650" s="48">
        <v>741</v>
      </c>
      <c r="L650" s="48">
        <v>120</v>
      </c>
      <c r="M650" s="48">
        <v>7</v>
      </c>
      <c r="N650" s="48">
        <v>211</v>
      </c>
      <c r="O650" s="48">
        <v>65</v>
      </c>
      <c r="P650" s="48">
        <v>29</v>
      </c>
      <c r="Q650" s="48">
        <v>539</v>
      </c>
      <c r="R650" s="48">
        <v>73</v>
      </c>
      <c r="S650" s="48">
        <v>43</v>
      </c>
      <c r="T650" s="48">
        <v>717</v>
      </c>
      <c r="U650" s="48">
        <v>73</v>
      </c>
      <c r="V650" s="48">
        <v>13</v>
      </c>
      <c r="W650" s="48">
        <v>275</v>
      </c>
      <c r="X650" s="48">
        <v>499</v>
      </c>
      <c r="Y650" s="48">
        <v>31</v>
      </c>
      <c r="Z650" s="48">
        <v>645</v>
      </c>
    </row>
    <row r="651" spans="1:26" ht="15" hidden="1" customHeight="1">
      <c r="A651" s="48" t="s">
        <v>1390</v>
      </c>
      <c r="B651" s="48" t="s">
        <v>1390</v>
      </c>
      <c r="C651" s="48" t="s">
        <v>1391</v>
      </c>
      <c r="D651" s="48" t="s">
        <v>50</v>
      </c>
      <c r="E651" s="48" t="s">
        <v>172</v>
      </c>
      <c r="F651" s="48">
        <v>102</v>
      </c>
      <c r="G651" s="48">
        <v>39</v>
      </c>
      <c r="H651" s="48">
        <v>655</v>
      </c>
      <c r="I651" s="48">
        <v>77</v>
      </c>
      <c r="J651" s="48">
        <v>43</v>
      </c>
      <c r="K651" s="48">
        <v>741</v>
      </c>
      <c r="L651" s="48">
        <v>113.5</v>
      </c>
      <c r="M651" s="48">
        <v>17</v>
      </c>
      <c r="N651" s="48">
        <v>374</v>
      </c>
      <c r="O651" s="48">
        <v>71</v>
      </c>
      <c r="P651" s="48">
        <v>26</v>
      </c>
      <c r="Q651" s="48">
        <v>411</v>
      </c>
      <c r="R651" s="48">
        <v>68</v>
      </c>
      <c r="S651" s="48">
        <v>48</v>
      </c>
      <c r="T651" s="48">
        <v>824</v>
      </c>
      <c r="U651" s="48">
        <v>67</v>
      </c>
      <c r="V651" s="48">
        <v>32</v>
      </c>
      <c r="W651" s="48">
        <v>489</v>
      </c>
      <c r="X651" s="48">
        <v>498.5</v>
      </c>
      <c r="Y651" s="48">
        <v>41</v>
      </c>
      <c r="Z651" s="48">
        <v>648</v>
      </c>
    </row>
    <row r="652" spans="1:26" ht="15" hidden="1" customHeight="1">
      <c r="A652" s="48" t="s">
        <v>1392</v>
      </c>
      <c r="B652" s="48" t="s">
        <v>1392</v>
      </c>
      <c r="C652" s="48" t="s">
        <v>1393</v>
      </c>
      <c r="D652" s="48" t="s">
        <v>50</v>
      </c>
      <c r="E652" s="48" t="s">
        <v>203</v>
      </c>
      <c r="F652" s="48">
        <v>107</v>
      </c>
      <c r="G652" s="48">
        <v>26</v>
      </c>
      <c r="H652" s="48">
        <v>429</v>
      </c>
      <c r="I652" s="48">
        <v>81</v>
      </c>
      <c r="J652" s="48">
        <v>34</v>
      </c>
      <c r="K652" s="48">
        <v>688</v>
      </c>
      <c r="L652" s="48">
        <v>112.5</v>
      </c>
      <c r="M652" s="48">
        <v>21</v>
      </c>
      <c r="N652" s="48">
        <v>401</v>
      </c>
      <c r="O652" s="48">
        <v>55</v>
      </c>
      <c r="P652" s="48">
        <v>43</v>
      </c>
      <c r="Q652" s="48">
        <v>748</v>
      </c>
      <c r="R652" s="48">
        <v>83</v>
      </c>
      <c r="S652" s="48">
        <v>24</v>
      </c>
      <c r="T652" s="48">
        <v>407</v>
      </c>
      <c r="U652" s="48">
        <v>60</v>
      </c>
      <c r="V652" s="48">
        <v>36</v>
      </c>
      <c r="W652" s="48">
        <v>706</v>
      </c>
      <c r="X652" s="48">
        <v>498.5</v>
      </c>
      <c r="Y652" s="48">
        <v>32</v>
      </c>
      <c r="Z652" s="48">
        <v>648</v>
      </c>
    </row>
    <row r="653" spans="1:26" ht="15" hidden="1" customHeight="1">
      <c r="A653" s="48" t="s">
        <v>1394</v>
      </c>
      <c r="B653" s="48" t="s">
        <v>1394</v>
      </c>
      <c r="C653" s="48" t="s">
        <v>1395</v>
      </c>
      <c r="D653" s="48" t="s">
        <v>50</v>
      </c>
      <c r="E653" s="48" t="s">
        <v>203</v>
      </c>
      <c r="F653" s="48">
        <v>115</v>
      </c>
      <c r="G653" s="48">
        <v>10</v>
      </c>
      <c r="H653" s="48">
        <v>140</v>
      </c>
      <c r="I653" s="48">
        <v>79</v>
      </c>
      <c r="J653" s="48">
        <v>37</v>
      </c>
      <c r="K653" s="48">
        <v>713</v>
      </c>
      <c r="L653" s="48">
        <v>110</v>
      </c>
      <c r="M653" s="48">
        <v>27</v>
      </c>
      <c r="N653" s="48">
        <v>478</v>
      </c>
      <c r="O653" s="48">
        <v>58</v>
      </c>
      <c r="P653" s="48">
        <v>41</v>
      </c>
      <c r="Q653" s="48">
        <v>698</v>
      </c>
      <c r="R653" s="48">
        <v>80</v>
      </c>
      <c r="S653" s="48">
        <v>27</v>
      </c>
      <c r="T653" s="48">
        <v>511</v>
      </c>
      <c r="U653" s="48">
        <v>56</v>
      </c>
      <c r="V653" s="48">
        <v>42</v>
      </c>
      <c r="W653" s="48">
        <v>789</v>
      </c>
      <c r="X653" s="48">
        <v>498</v>
      </c>
      <c r="Y653" s="48">
        <v>33</v>
      </c>
      <c r="Z653" s="48">
        <v>650</v>
      </c>
    </row>
    <row r="654" spans="1:26" ht="15" hidden="1" customHeight="1">
      <c r="A654" s="48" t="s">
        <v>1396</v>
      </c>
      <c r="B654" s="48" t="s">
        <v>1396</v>
      </c>
      <c r="C654" s="48" t="s">
        <v>1397</v>
      </c>
      <c r="D654" s="48" t="s">
        <v>50</v>
      </c>
      <c r="E654" s="48" t="s">
        <v>210</v>
      </c>
      <c r="F654" s="48">
        <v>111</v>
      </c>
      <c r="G654" s="48">
        <v>15</v>
      </c>
      <c r="H654" s="48">
        <v>271</v>
      </c>
      <c r="I654" s="48">
        <v>75</v>
      </c>
      <c r="J654" s="48">
        <v>47</v>
      </c>
      <c r="K654" s="48">
        <v>766</v>
      </c>
      <c r="L654" s="48">
        <v>120</v>
      </c>
      <c r="M654" s="48">
        <v>11</v>
      </c>
      <c r="N654" s="48">
        <v>211</v>
      </c>
      <c r="O654" s="48">
        <v>56</v>
      </c>
      <c r="P654" s="48">
        <v>49</v>
      </c>
      <c r="Q654" s="48">
        <v>731</v>
      </c>
      <c r="R654" s="48">
        <v>78</v>
      </c>
      <c r="S654" s="48">
        <v>37</v>
      </c>
      <c r="T654" s="48">
        <v>577</v>
      </c>
      <c r="U654" s="48">
        <v>58</v>
      </c>
      <c r="V654" s="48">
        <v>43</v>
      </c>
      <c r="W654" s="48">
        <v>754</v>
      </c>
      <c r="X654" s="48">
        <v>498</v>
      </c>
      <c r="Y654" s="48">
        <v>41</v>
      </c>
      <c r="Z654" s="48">
        <v>650</v>
      </c>
    </row>
    <row r="655" spans="1:26" ht="15" hidden="1" customHeight="1">
      <c r="A655" s="48" t="s">
        <v>1398</v>
      </c>
      <c r="B655" s="48" t="s">
        <v>1398</v>
      </c>
      <c r="C655" s="48" t="s">
        <v>1399</v>
      </c>
      <c r="D655" s="48" t="s">
        <v>50</v>
      </c>
      <c r="E655" s="48" t="s">
        <v>97</v>
      </c>
      <c r="F655" s="48">
        <v>114</v>
      </c>
      <c r="G655" s="48">
        <v>8</v>
      </c>
      <c r="H655" s="48">
        <v>170</v>
      </c>
      <c r="I655" s="48">
        <v>76</v>
      </c>
      <c r="J655" s="48">
        <v>44</v>
      </c>
      <c r="K655" s="48">
        <v>754</v>
      </c>
      <c r="L655" s="48">
        <v>113</v>
      </c>
      <c r="M655" s="48">
        <v>20</v>
      </c>
      <c r="N655" s="48">
        <v>396</v>
      </c>
      <c r="O655" s="48">
        <v>74</v>
      </c>
      <c r="P655" s="48">
        <v>14</v>
      </c>
      <c r="Q655" s="48">
        <v>345</v>
      </c>
      <c r="R655" s="48">
        <v>67</v>
      </c>
      <c r="S655" s="48">
        <v>51</v>
      </c>
      <c r="T655" s="48">
        <v>837</v>
      </c>
      <c r="U655" s="48">
        <v>54</v>
      </c>
      <c r="V655" s="48">
        <v>51</v>
      </c>
      <c r="W655" s="48">
        <v>817</v>
      </c>
      <c r="X655" s="48">
        <v>498</v>
      </c>
      <c r="Y655" s="48">
        <v>39</v>
      </c>
      <c r="Z655" s="48">
        <v>650</v>
      </c>
    </row>
    <row r="656" spans="1:26" ht="15" hidden="1" customHeight="1">
      <c r="A656" s="48" t="s">
        <v>1400</v>
      </c>
      <c r="B656" s="48" t="s">
        <v>1400</v>
      </c>
      <c r="C656" s="48" t="s">
        <v>1401</v>
      </c>
      <c r="D656" s="48" t="s">
        <v>50</v>
      </c>
      <c r="E656" s="48" t="s">
        <v>217</v>
      </c>
      <c r="F656" s="48">
        <v>97</v>
      </c>
      <c r="G656" s="48">
        <v>46</v>
      </c>
      <c r="H656" s="48">
        <v>795</v>
      </c>
      <c r="I656" s="48">
        <v>87</v>
      </c>
      <c r="J656" s="48">
        <v>40</v>
      </c>
      <c r="K656" s="48">
        <v>614</v>
      </c>
      <c r="L656" s="48">
        <v>76.5</v>
      </c>
      <c r="M656" s="48">
        <v>52</v>
      </c>
      <c r="N656" s="48">
        <v>907</v>
      </c>
      <c r="O656" s="48">
        <v>72</v>
      </c>
      <c r="P656" s="48">
        <v>23</v>
      </c>
      <c r="Q656" s="48">
        <v>392</v>
      </c>
      <c r="R656" s="48">
        <v>95</v>
      </c>
      <c r="S656" s="48">
        <v>1</v>
      </c>
      <c r="T656" s="48">
        <v>60</v>
      </c>
      <c r="U656" s="48">
        <v>70</v>
      </c>
      <c r="V656" s="48">
        <v>20</v>
      </c>
      <c r="W656" s="48">
        <v>380</v>
      </c>
      <c r="X656" s="48">
        <v>497.5</v>
      </c>
      <c r="Y656" s="48">
        <v>32</v>
      </c>
      <c r="Z656" s="48">
        <v>653</v>
      </c>
    </row>
    <row r="657" spans="1:26" ht="15" hidden="1" customHeight="1">
      <c r="A657" s="48" t="s">
        <v>1402</v>
      </c>
      <c r="B657" s="48" t="s">
        <v>1402</v>
      </c>
      <c r="C657" s="48" t="s">
        <v>1403</v>
      </c>
      <c r="D657" s="48" t="s">
        <v>50</v>
      </c>
      <c r="E657" s="48" t="s">
        <v>210</v>
      </c>
      <c r="F657" s="48">
        <v>103</v>
      </c>
      <c r="G657" s="48">
        <v>39</v>
      </c>
      <c r="H657" s="48">
        <v>606</v>
      </c>
      <c r="I657" s="48">
        <v>86</v>
      </c>
      <c r="J657" s="48">
        <v>39</v>
      </c>
      <c r="K657" s="48">
        <v>626</v>
      </c>
      <c r="L657" s="48">
        <v>115.5</v>
      </c>
      <c r="M657" s="48">
        <v>22</v>
      </c>
      <c r="N657" s="48">
        <v>325</v>
      </c>
      <c r="O657" s="48">
        <v>64</v>
      </c>
      <c r="P657" s="48">
        <v>39</v>
      </c>
      <c r="Q657" s="48">
        <v>559</v>
      </c>
      <c r="R657" s="48">
        <v>74</v>
      </c>
      <c r="S657" s="48">
        <v>44</v>
      </c>
      <c r="T657" s="48">
        <v>702</v>
      </c>
      <c r="U657" s="48">
        <v>55</v>
      </c>
      <c r="V657" s="48">
        <v>48</v>
      </c>
      <c r="W657" s="48">
        <v>802</v>
      </c>
      <c r="X657" s="48">
        <v>497.5</v>
      </c>
      <c r="Y657" s="48">
        <v>42</v>
      </c>
      <c r="Z657" s="48">
        <v>653</v>
      </c>
    </row>
    <row r="658" spans="1:26" ht="15" hidden="1" customHeight="1">
      <c r="A658" s="48" t="s">
        <v>1404</v>
      </c>
      <c r="B658" s="48" t="s">
        <v>1404</v>
      </c>
      <c r="C658" s="48" t="s">
        <v>1405</v>
      </c>
      <c r="D658" s="48" t="s">
        <v>50</v>
      </c>
      <c r="E658" s="48" t="s">
        <v>169</v>
      </c>
      <c r="F658" s="48">
        <v>102</v>
      </c>
      <c r="G658" s="48">
        <v>41</v>
      </c>
      <c r="H658" s="48">
        <v>655</v>
      </c>
      <c r="I658" s="48">
        <v>73</v>
      </c>
      <c r="J658" s="48">
        <v>48</v>
      </c>
      <c r="K658" s="48">
        <v>788</v>
      </c>
      <c r="L658" s="48">
        <v>119</v>
      </c>
      <c r="M658" s="48">
        <v>13</v>
      </c>
      <c r="N658" s="48">
        <v>237</v>
      </c>
      <c r="O658" s="48">
        <v>62</v>
      </c>
      <c r="P658" s="48">
        <v>33</v>
      </c>
      <c r="Q658" s="48">
        <v>607</v>
      </c>
      <c r="R658" s="48">
        <v>77</v>
      </c>
      <c r="S658" s="48">
        <v>33</v>
      </c>
      <c r="T658" s="48">
        <v>608</v>
      </c>
      <c r="U658" s="48">
        <v>64</v>
      </c>
      <c r="V658" s="48">
        <v>35</v>
      </c>
      <c r="W658" s="48">
        <v>593</v>
      </c>
      <c r="X658" s="48">
        <v>497</v>
      </c>
      <c r="Y658" s="48">
        <v>37</v>
      </c>
      <c r="Z658" s="48">
        <v>655</v>
      </c>
    </row>
    <row r="659" spans="1:26" ht="15" hidden="1" customHeight="1">
      <c r="A659" s="48" t="s">
        <v>1406</v>
      </c>
      <c r="B659" s="48" t="s">
        <v>1406</v>
      </c>
      <c r="C659" s="48" t="s">
        <v>1407</v>
      </c>
      <c r="D659" s="48" t="s">
        <v>50</v>
      </c>
      <c r="E659" s="48" t="s">
        <v>296</v>
      </c>
      <c r="F659" s="48">
        <v>100</v>
      </c>
      <c r="G659" s="48">
        <v>33</v>
      </c>
      <c r="H659" s="48">
        <v>715</v>
      </c>
      <c r="I659" s="48">
        <v>99</v>
      </c>
      <c r="J659" s="48">
        <v>25</v>
      </c>
      <c r="K659" s="48">
        <v>436</v>
      </c>
      <c r="L659" s="48">
        <v>100</v>
      </c>
      <c r="M659" s="48">
        <v>39</v>
      </c>
      <c r="N659" s="48">
        <v>680</v>
      </c>
      <c r="O659" s="48">
        <v>73</v>
      </c>
      <c r="P659" s="48">
        <v>23</v>
      </c>
      <c r="Q659" s="48">
        <v>370</v>
      </c>
      <c r="R659" s="48">
        <v>77</v>
      </c>
      <c r="S659" s="48">
        <v>34</v>
      </c>
      <c r="T659" s="48">
        <v>608</v>
      </c>
      <c r="U659" s="48">
        <v>48</v>
      </c>
      <c r="V659" s="48">
        <v>49</v>
      </c>
      <c r="W659" s="48">
        <v>893</v>
      </c>
      <c r="X659" s="48">
        <v>497</v>
      </c>
      <c r="Y659" s="48">
        <v>33</v>
      </c>
      <c r="Z659" s="48">
        <v>655</v>
      </c>
    </row>
    <row r="660" spans="1:26" ht="15" hidden="1" customHeight="1">
      <c r="A660" s="48" t="s">
        <v>1408</v>
      </c>
      <c r="B660" s="48" t="s">
        <v>1408</v>
      </c>
      <c r="C660" s="48" t="s">
        <v>1409</v>
      </c>
      <c r="D660" s="48" t="s">
        <v>50</v>
      </c>
      <c r="E660" s="48" t="s">
        <v>217</v>
      </c>
      <c r="F660" s="48">
        <v>88</v>
      </c>
      <c r="G660" s="48">
        <v>54</v>
      </c>
      <c r="H660" s="48">
        <v>918</v>
      </c>
      <c r="I660" s="48">
        <v>111</v>
      </c>
      <c r="J660" s="48">
        <v>11</v>
      </c>
      <c r="K660" s="48">
        <v>247</v>
      </c>
      <c r="L660" s="48">
        <v>81</v>
      </c>
      <c r="M660" s="48">
        <v>51</v>
      </c>
      <c r="N660" s="48">
        <v>889</v>
      </c>
      <c r="O660" s="48">
        <v>72</v>
      </c>
      <c r="P660" s="48">
        <v>23</v>
      </c>
      <c r="Q660" s="48">
        <v>392</v>
      </c>
      <c r="R660" s="48">
        <v>80</v>
      </c>
      <c r="S660" s="48">
        <v>27</v>
      </c>
      <c r="T660" s="48">
        <v>511</v>
      </c>
      <c r="U660" s="48">
        <v>65</v>
      </c>
      <c r="V660" s="48">
        <v>29</v>
      </c>
      <c r="W660" s="48">
        <v>554</v>
      </c>
      <c r="X660" s="48">
        <v>497</v>
      </c>
      <c r="Y660" s="48">
        <v>33</v>
      </c>
      <c r="Z660" s="48">
        <v>655</v>
      </c>
    </row>
    <row r="661" spans="1:26" ht="15" hidden="1" customHeight="1">
      <c r="A661" s="48" t="s">
        <v>1410</v>
      </c>
      <c r="B661" s="48" t="s">
        <v>1410</v>
      </c>
      <c r="C661" s="48" t="s">
        <v>1411</v>
      </c>
      <c r="D661" s="48" t="s">
        <v>50</v>
      </c>
      <c r="E661" s="48" t="s">
        <v>133</v>
      </c>
      <c r="F661" s="48">
        <v>94</v>
      </c>
      <c r="G661" s="48">
        <v>51</v>
      </c>
      <c r="H661" s="48">
        <v>856</v>
      </c>
      <c r="I661" s="48">
        <v>96</v>
      </c>
      <c r="J661" s="48">
        <v>33</v>
      </c>
      <c r="K661" s="48">
        <v>483</v>
      </c>
      <c r="L661" s="48">
        <v>123</v>
      </c>
      <c r="M661" s="48">
        <v>8</v>
      </c>
      <c r="N661" s="48">
        <v>132</v>
      </c>
      <c r="O661" s="48">
        <v>50</v>
      </c>
      <c r="P661" s="48">
        <v>47</v>
      </c>
      <c r="Q661" s="48">
        <v>826</v>
      </c>
      <c r="R661" s="48">
        <v>78</v>
      </c>
      <c r="S661" s="48">
        <v>41</v>
      </c>
      <c r="T661" s="48">
        <v>577</v>
      </c>
      <c r="U661" s="48">
        <v>56</v>
      </c>
      <c r="V661" s="48">
        <v>52</v>
      </c>
      <c r="W661" s="48">
        <v>789</v>
      </c>
      <c r="X661" s="48">
        <v>497</v>
      </c>
      <c r="Y661" s="48">
        <v>42</v>
      </c>
      <c r="Z661" s="48">
        <v>655</v>
      </c>
    </row>
    <row r="662" spans="1:26" ht="15" hidden="1" customHeight="1">
      <c r="A662" s="48" t="s">
        <v>1412</v>
      </c>
      <c r="B662" s="48" t="s">
        <v>1412</v>
      </c>
      <c r="C662" s="48" t="s">
        <v>1413</v>
      </c>
      <c r="D662" s="48" t="s">
        <v>50</v>
      </c>
      <c r="E662" s="48" t="s">
        <v>97</v>
      </c>
      <c r="F662" s="48">
        <v>96</v>
      </c>
      <c r="G662" s="48">
        <v>50</v>
      </c>
      <c r="H662" s="48">
        <v>814</v>
      </c>
      <c r="I662" s="48">
        <v>85</v>
      </c>
      <c r="J662" s="48">
        <v>36</v>
      </c>
      <c r="K662" s="48">
        <v>643</v>
      </c>
      <c r="L662" s="48">
        <v>107.5</v>
      </c>
      <c r="M662" s="48">
        <v>31</v>
      </c>
      <c r="N662" s="48">
        <v>532</v>
      </c>
      <c r="O662" s="48">
        <v>60</v>
      </c>
      <c r="P662" s="48">
        <v>34</v>
      </c>
      <c r="Q662" s="48">
        <v>647</v>
      </c>
      <c r="R662" s="48">
        <v>66</v>
      </c>
      <c r="S662" s="48">
        <v>52</v>
      </c>
      <c r="T662" s="48">
        <v>849</v>
      </c>
      <c r="U662" s="48">
        <v>82</v>
      </c>
      <c r="V662" s="48">
        <v>7</v>
      </c>
      <c r="W662" s="48">
        <v>46</v>
      </c>
      <c r="X662" s="48">
        <v>496.5</v>
      </c>
      <c r="Y662" s="48">
        <v>40</v>
      </c>
      <c r="Z662" s="48">
        <v>659</v>
      </c>
    </row>
    <row r="663" spans="1:26" ht="15" hidden="1" customHeight="1">
      <c r="A663" s="48" t="s">
        <v>1414</v>
      </c>
      <c r="B663" s="48" t="s">
        <v>1414</v>
      </c>
      <c r="C663" s="48" t="s">
        <v>1415</v>
      </c>
      <c r="D663" s="48" t="s">
        <v>50</v>
      </c>
      <c r="E663" s="48" t="s">
        <v>203</v>
      </c>
      <c r="F663" s="48">
        <v>117</v>
      </c>
      <c r="G663" s="48">
        <v>7</v>
      </c>
      <c r="H663" s="48">
        <v>86</v>
      </c>
      <c r="I663" s="48">
        <v>104</v>
      </c>
      <c r="J663" s="48">
        <v>17</v>
      </c>
      <c r="K663" s="48">
        <v>358</v>
      </c>
      <c r="L663" s="48">
        <v>114</v>
      </c>
      <c r="M663" s="48">
        <v>18</v>
      </c>
      <c r="N663" s="48">
        <v>356</v>
      </c>
      <c r="O663" s="48">
        <v>64</v>
      </c>
      <c r="P663" s="48">
        <v>34</v>
      </c>
      <c r="Q663" s="48">
        <v>559</v>
      </c>
      <c r="R663" s="48">
        <v>66</v>
      </c>
      <c r="S663" s="48">
        <v>48</v>
      </c>
      <c r="T663" s="48">
        <v>849</v>
      </c>
      <c r="U663" s="48">
        <v>31</v>
      </c>
      <c r="V663" s="48">
        <v>56</v>
      </c>
      <c r="W663" s="48">
        <v>950</v>
      </c>
      <c r="X663" s="48">
        <v>496</v>
      </c>
      <c r="Y663" s="48">
        <v>34</v>
      </c>
      <c r="Z663" s="48">
        <v>660</v>
      </c>
    </row>
    <row r="664" spans="1:26" ht="15" hidden="1" customHeight="1">
      <c r="A664" s="48" t="s">
        <v>1416</v>
      </c>
      <c r="B664" s="48" t="s">
        <v>1416</v>
      </c>
      <c r="C664" s="48" t="s">
        <v>1417</v>
      </c>
      <c r="D664" s="48" t="s">
        <v>50</v>
      </c>
      <c r="E664" s="48" t="s">
        <v>169</v>
      </c>
      <c r="F664" s="48">
        <v>102</v>
      </c>
      <c r="G664" s="48">
        <v>41</v>
      </c>
      <c r="H664" s="48">
        <v>655</v>
      </c>
      <c r="I664" s="48">
        <v>95</v>
      </c>
      <c r="J664" s="48">
        <v>26</v>
      </c>
      <c r="K664" s="48">
        <v>501</v>
      </c>
      <c r="L664" s="48">
        <v>112</v>
      </c>
      <c r="M664" s="48">
        <v>22</v>
      </c>
      <c r="N664" s="48">
        <v>413</v>
      </c>
      <c r="O664" s="48">
        <v>52</v>
      </c>
      <c r="P664" s="48">
        <v>47</v>
      </c>
      <c r="Q664" s="48">
        <v>798</v>
      </c>
      <c r="R664" s="48">
        <v>75</v>
      </c>
      <c r="S664" s="48">
        <v>36</v>
      </c>
      <c r="T664" s="48">
        <v>671</v>
      </c>
      <c r="U664" s="48">
        <v>60</v>
      </c>
      <c r="V664" s="48">
        <v>39</v>
      </c>
      <c r="W664" s="48">
        <v>706</v>
      </c>
      <c r="X664" s="48">
        <v>496</v>
      </c>
      <c r="Y664" s="48">
        <v>38</v>
      </c>
      <c r="Z664" s="48">
        <v>660</v>
      </c>
    </row>
    <row r="665" spans="1:26" ht="15" hidden="1" customHeight="1">
      <c r="A665" s="48" t="s">
        <v>1418</v>
      </c>
      <c r="B665" s="48" t="s">
        <v>1418</v>
      </c>
      <c r="C665" s="48" t="s">
        <v>1419</v>
      </c>
      <c r="D665" s="48" t="s">
        <v>50</v>
      </c>
      <c r="E665" s="48" t="s">
        <v>296</v>
      </c>
      <c r="F665" s="48">
        <v>103</v>
      </c>
      <c r="G665" s="48">
        <v>26</v>
      </c>
      <c r="H665" s="48">
        <v>606</v>
      </c>
      <c r="I665" s="48">
        <v>81</v>
      </c>
      <c r="J665" s="48">
        <v>37</v>
      </c>
      <c r="K665" s="48">
        <v>688</v>
      </c>
      <c r="L665" s="48">
        <v>91</v>
      </c>
      <c r="M665" s="48">
        <v>53</v>
      </c>
      <c r="N665" s="48">
        <v>817</v>
      </c>
      <c r="O665" s="48">
        <v>72</v>
      </c>
      <c r="P665" s="48">
        <v>26</v>
      </c>
      <c r="Q665" s="48">
        <v>392</v>
      </c>
      <c r="R665" s="48">
        <v>83</v>
      </c>
      <c r="S665" s="48">
        <v>20</v>
      </c>
      <c r="T665" s="48">
        <v>407</v>
      </c>
      <c r="U665" s="48">
        <v>66</v>
      </c>
      <c r="V665" s="48">
        <v>22</v>
      </c>
      <c r="W665" s="48">
        <v>519</v>
      </c>
      <c r="X665" s="48">
        <v>496</v>
      </c>
      <c r="Y665" s="48">
        <v>34</v>
      </c>
      <c r="Z665" s="48">
        <v>660</v>
      </c>
    </row>
    <row r="666" spans="1:26" ht="15" hidden="1" customHeight="1">
      <c r="A666" s="48" t="s">
        <v>1420</v>
      </c>
      <c r="B666" s="48" t="s">
        <v>1420</v>
      </c>
      <c r="C666" s="48" t="s">
        <v>1421</v>
      </c>
      <c r="D666" s="48" t="s">
        <v>50</v>
      </c>
      <c r="E666" s="48" t="s">
        <v>84</v>
      </c>
      <c r="F666" s="48">
        <v>96</v>
      </c>
      <c r="G666" s="48">
        <v>46</v>
      </c>
      <c r="H666" s="48">
        <v>814</v>
      </c>
      <c r="I666" s="48">
        <v>86</v>
      </c>
      <c r="J666" s="48">
        <v>36</v>
      </c>
      <c r="K666" s="48">
        <v>626</v>
      </c>
      <c r="L666" s="48">
        <v>130</v>
      </c>
      <c r="M666" s="48">
        <v>4</v>
      </c>
      <c r="N666" s="48">
        <v>34</v>
      </c>
      <c r="O666" s="48">
        <v>59</v>
      </c>
      <c r="P666" s="48">
        <v>42</v>
      </c>
      <c r="Q666" s="48">
        <v>672</v>
      </c>
      <c r="R666" s="48">
        <v>73</v>
      </c>
      <c r="S666" s="48">
        <v>43</v>
      </c>
      <c r="T666" s="48">
        <v>717</v>
      </c>
      <c r="U666" s="48">
        <v>52</v>
      </c>
      <c r="V666" s="48">
        <v>52</v>
      </c>
      <c r="W666" s="48">
        <v>849</v>
      </c>
      <c r="X666" s="48">
        <v>496</v>
      </c>
      <c r="Y666" s="48">
        <v>41</v>
      </c>
      <c r="Z666" s="48">
        <v>660</v>
      </c>
    </row>
    <row r="667" spans="1:26" ht="15" hidden="1" customHeight="1">
      <c r="A667" s="48" t="s">
        <v>1422</v>
      </c>
      <c r="B667" s="48" t="s">
        <v>1422</v>
      </c>
      <c r="C667" s="48" t="s">
        <v>1423</v>
      </c>
      <c r="D667" s="48" t="s">
        <v>50</v>
      </c>
      <c r="E667" s="48" t="s">
        <v>210</v>
      </c>
      <c r="F667" s="48">
        <v>106</v>
      </c>
      <c r="G667" s="48">
        <v>31</v>
      </c>
      <c r="H667" s="48">
        <v>477</v>
      </c>
      <c r="I667" s="48">
        <v>95</v>
      </c>
      <c r="J667" s="48">
        <v>28</v>
      </c>
      <c r="K667" s="48">
        <v>501</v>
      </c>
      <c r="L667" s="48">
        <v>118.5</v>
      </c>
      <c r="M667" s="48">
        <v>16</v>
      </c>
      <c r="N667" s="48">
        <v>247</v>
      </c>
      <c r="O667" s="48">
        <v>50</v>
      </c>
      <c r="P667" s="48">
        <v>53</v>
      </c>
      <c r="Q667" s="48">
        <v>826</v>
      </c>
      <c r="R667" s="48">
        <v>86</v>
      </c>
      <c r="S667" s="48">
        <v>20</v>
      </c>
      <c r="T667" s="48">
        <v>304</v>
      </c>
      <c r="U667" s="48">
        <v>40</v>
      </c>
      <c r="V667" s="48">
        <v>55</v>
      </c>
      <c r="W667" s="48">
        <v>935</v>
      </c>
      <c r="X667" s="48">
        <v>495.5</v>
      </c>
      <c r="Y667" s="48">
        <v>43</v>
      </c>
      <c r="Z667" s="48">
        <v>664</v>
      </c>
    </row>
    <row r="668" spans="1:26" ht="15" hidden="1" customHeight="1">
      <c r="A668" s="48" t="s">
        <v>1424</v>
      </c>
      <c r="B668" s="48" t="s">
        <v>1424</v>
      </c>
      <c r="C668" s="48" t="s">
        <v>1425</v>
      </c>
      <c r="D668" s="48" t="s">
        <v>50</v>
      </c>
      <c r="E668" s="48" t="s">
        <v>111</v>
      </c>
      <c r="F668" s="48">
        <v>107</v>
      </c>
      <c r="G668" s="48">
        <v>23</v>
      </c>
      <c r="H668" s="48">
        <v>429</v>
      </c>
      <c r="I668" s="48">
        <v>68</v>
      </c>
      <c r="J668" s="48">
        <v>47</v>
      </c>
      <c r="K668" s="48">
        <v>835</v>
      </c>
      <c r="L668" s="48">
        <v>108.5</v>
      </c>
      <c r="M668" s="48">
        <v>29</v>
      </c>
      <c r="N668" s="48">
        <v>508</v>
      </c>
      <c r="O668" s="48">
        <v>60</v>
      </c>
      <c r="P668" s="48">
        <v>34</v>
      </c>
      <c r="Q668" s="48">
        <v>647</v>
      </c>
      <c r="R668" s="48">
        <v>77</v>
      </c>
      <c r="S668" s="48">
        <v>31</v>
      </c>
      <c r="T668" s="48">
        <v>608</v>
      </c>
      <c r="U668" s="48">
        <v>75</v>
      </c>
      <c r="V668" s="48">
        <v>9</v>
      </c>
      <c r="W668" s="48">
        <v>219</v>
      </c>
      <c r="X668" s="48">
        <v>495.5</v>
      </c>
      <c r="Y668" s="48">
        <v>34</v>
      </c>
      <c r="Z668" s="48">
        <v>664</v>
      </c>
    </row>
    <row r="669" spans="1:26" ht="15" hidden="1" customHeight="1">
      <c r="A669" s="48" t="s">
        <v>1426</v>
      </c>
      <c r="B669" s="48" t="s">
        <v>1426</v>
      </c>
      <c r="C669" s="48" t="s">
        <v>1427</v>
      </c>
      <c r="D669" s="48" t="s">
        <v>50</v>
      </c>
      <c r="E669" s="48" t="s">
        <v>203</v>
      </c>
      <c r="F669" s="48">
        <v>89</v>
      </c>
      <c r="G669" s="48">
        <v>57</v>
      </c>
      <c r="H669" s="48">
        <v>909</v>
      </c>
      <c r="I669" s="48">
        <v>89</v>
      </c>
      <c r="J669" s="48">
        <v>25</v>
      </c>
      <c r="K669" s="48">
        <v>587</v>
      </c>
      <c r="L669" s="48">
        <v>91.5</v>
      </c>
      <c r="M669" s="48">
        <v>51</v>
      </c>
      <c r="N669" s="48">
        <v>816</v>
      </c>
      <c r="O669" s="48">
        <v>75</v>
      </c>
      <c r="P669" s="48">
        <v>18</v>
      </c>
      <c r="Q669" s="48">
        <v>324</v>
      </c>
      <c r="R669" s="48">
        <v>92</v>
      </c>
      <c r="S669" s="48">
        <v>8</v>
      </c>
      <c r="T669" s="48">
        <v>116</v>
      </c>
      <c r="U669" s="48">
        <v>59</v>
      </c>
      <c r="V669" s="48">
        <v>37</v>
      </c>
      <c r="W669" s="48">
        <v>729</v>
      </c>
      <c r="X669" s="48">
        <v>495.5</v>
      </c>
      <c r="Y669" s="48">
        <v>35</v>
      </c>
      <c r="Z669" s="48">
        <v>664</v>
      </c>
    </row>
    <row r="670" spans="1:26" ht="15" hidden="1" customHeight="1">
      <c r="A670" s="48" t="s">
        <v>1428</v>
      </c>
      <c r="B670" s="48" t="s">
        <v>1428</v>
      </c>
      <c r="C670" s="48" t="s">
        <v>1429</v>
      </c>
      <c r="D670" s="48" t="s">
        <v>50</v>
      </c>
      <c r="E670" s="48" t="s">
        <v>296</v>
      </c>
      <c r="F670" s="48">
        <v>109</v>
      </c>
      <c r="G670" s="48">
        <v>11</v>
      </c>
      <c r="H670" s="48">
        <v>353</v>
      </c>
      <c r="I670" s="48">
        <v>82</v>
      </c>
      <c r="J670" s="48">
        <v>36</v>
      </c>
      <c r="K670" s="48">
        <v>676</v>
      </c>
      <c r="L670" s="48">
        <v>126.5</v>
      </c>
      <c r="M670" s="48">
        <v>4</v>
      </c>
      <c r="N670" s="48">
        <v>76</v>
      </c>
      <c r="O670" s="48">
        <v>63</v>
      </c>
      <c r="P670" s="48">
        <v>34</v>
      </c>
      <c r="Q670" s="48">
        <v>581</v>
      </c>
      <c r="R670" s="48">
        <v>62</v>
      </c>
      <c r="S670" s="48">
        <v>54</v>
      </c>
      <c r="T670" s="48">
        <v>895</v>
      </c>
      <c r="U670" s="48">
        <v>53</v>
      </c>
      <c r="V670" s="48">
        <v>41</v>
      </c>
      <c r="W670" s="48">
        <v>832</v>
      </c>
      <c r="X670" s="48">
        <v>495.5</v>
      </c>
      <c r="Y670" s="48">
        <v>35</v>
      </c>
      <c r="Z670" s="48">
        <v>664</v>
      </c>
    </row>
    <row r="671" spans="1:26" ht="15" hidden="1" customHeight="1">
      <c r="A671" s="48" t="s">
        <v>1430</v>
      </c>
      <c r="B671" s="48" t="s">
        <v>1430</v>
      </c>
      <c r="C671" s="48" t="s">
        <v>1431</v>
      </c>
      <c r="D671" s="48" t="s">
        <v>50</v>
      </c>
      <c r="E671" s="48" t="s">
        <v>97</v>
      </c>
      <c r="F671" s="48">
        <v>90</v>
      </c>
      <c r="G671" s="48">
        <v>54</v>
      </c>
      <c r="H671" s="48">
        <v>905</v>
      </c>
      <c r="I671" s="48">
        <v>89</v>
      </c>
      <c r="J671" s="48">
        <v>33</v>
      </c>
      <c r="K671" s="48">
        <v>587</v>
      </c>
      <c r="L671" s="48">
        <v>84</v>
      </c>
      <c r="M671" s="48">
        <v>52</v>
      </c>
      <c r="N671" s="48">
        <v>875</v>
      </c>
      <c r="O671" s="48">
        <v>72</v>
      </c>
      <c r="P671" s="48">
        <v>19</v>
      </c>
      <c r="Q671" s="48">
        <v>392</v>
      </c>
      <c r="R671" s="48">
        <v>81</v>
      </c>
      <c r="S671" s="48">
        <v>34</v>
      </c>
      <c r="T671" s="48">
        <v>474</v>
      </c>
      <c r="U671" s="48">
        <v>79</v>
      </c>
      <c r="V671" s="48">
        <v>10</v>
      </c>
      <c r="W671" s="48">
        <v>103</v>
      </c>
      <c r="X671" s="48">
        <v>495</v>
      </c>
      <c r="Y671" s="48">
        <v>41</v>
      </c>
      <c r="Z671" s="48">
        <v>668</v>
      </c>
    </row>
    <row r="672" spans="1:26" ht="15" hidden="1" customHeight="1">
      <c r="A672" s="48" t="s">
        <v>1432</v>
      </c>
      <c r="B672" s="48" t="s">
        <v>1432</v>
      </c>
      <c r="C672" s="48" t="s">
        <v>1433</v>
      </c>
      <c r="D672" s="48" t="s">
        <v>50</v>
      </c>
      <c r="E672" s="48" t="s">
        <v>217</v>
      </c>
      <c r="F672" s="48">
        <v>112</v>
      </c>
      <c r="G672" s="48">
        <v>16</v>
      </c>
      <c r="H672" s="48">
        <v>226</v>
      </c>
      <c r="I672" s="48">
        <v>71</v>
      </c>
      <c r="J672" s="48">
        <v>50</v>
      </c>
      <c r="K672" s="48">
        <v>808</v>
      </c>
      <c r="L672" s="48">
        <v>110</v>
      </c>
      <c r="M672" s="48">
        <v>24</v>
      </c>
      <c r="N672" s="48">
        <v>478</v>
      </c>
      <c r="O672" s="48">
        <v>57</v>
      </c>
      <c r="P672" s="48">
        <v>44</v>
      </c>
      <c r="Q672" s="48">
        <v>713</v>
      </c>
      <c r="R672" s="48">
        <v>75</v>
      </c>
      <c r="S672" s="48">
        <v>41</v>
      </c>
      <c r="T672" s="48">
        <v>671</v>
      </c>
      <c r="U672" s="48">
        <v>69</v>
      </c>
      <c r="V672" s="48">
        <v>23</v>
      </c>
      <c r="W672" s="48">
        <v>420</v>
      </c>
      <c r="X672" s="48">
        <v>494</v>
      </c>
      <c r="Y672" s="48">
        <v>34</v>
      </c>
      <c r="Z672" s="48">
        <v>669</v>
      </c>
    </row>
    <row r="673" spans="1:26" ht="15" hidden="1" customHeight="1">
      <c r="A673" s="48" t="s">
        <v>1434</v>
      </c>
      <c r="B673" s="48" t="s">
        <v>1434</v>
      </c>
      <c r="C673" s="48" t="s">
        <v>1435</v>
      </c>
      <c r="D673" s="48" t="s">
        <v>50</v>
      </c>
      <c r="E673" s="48" t="s">
        <v>217</v>
      </c>
      <c r="F673" s="48">
        <v>102</v>
      </c>
      <c r="G673" s="48">
        <v>35</v>
      </c>
      <c r="H673" s="48">
        <v>655</v>
      </c>
      <c r="I673" s="48">
        <v>83</v>
      </c>
      <c r="J673" s="48">
        <v>43</v>
      </c>
      <c r="K673" s="48">
        <v>667</v>
      </c>
      <c r="L673" s="48">
        <v>107</v>
      </c>
      <c r="M673" s="48">
        <v>26</v>
      </c>
      <c r="N673" s="48">
        <v>546</v>
      </c>
      <c r="O673" s="48">
        <v>74</v>
      </c>
      <c r="P673" s="48">
        <v>21</v>
      </c>
      <c r="Q673" s="48">
        <v>345</v>
      </c>
      <c r="R673" s="48">
        <v>66</v>
      </c>
      <c r="S673" s="48">
        <v>53</v>
      </c>
      <c r="T673" s="48">
        <v>849</v>
      </c>
      <c r="U673" s="48">
        <v>62</v>
      </c>
      <c r="V673" s="48">
        <v>37</v>
      </c>
      <c r="W673" s="48">
        <v>657</v>
      </c>
      <c r="X673" s="48">
        <v>494</v>
      </c>
      <c r="Y673" s="48">
        <v>34</v>
      </c>
      <c r="Z673" s="48">
        <v>669</v>
      </c>
    </row>
    <row r="674" spans="1:26" ht="15" hidden="1" customHeight="1">
      <c r="A674" s="48" t="s">
        <v>1436</v>
      </c>
      <c r="B674" s="48" t="s">
        <v>1436</v>
      </c>
      <c r="C674" s="48" t="s">
        <v>1437</v>
      </c>
      <c r="D674" s="48" t="s">
        <v>50</v>
      </c>
      <c r="E674" s="48" t="s">
        <v>210</v>
      </c>
      <c r="F674" s="48">
        <v>103</v>
      </c>
      <c r="G674" s="48">
        <v>39</v>
      </c>
      <c r="H674" s="48">
        <v>606</v>
      </c>
      <c r="I674" s="48">
        <v>96</v>
      </c>
      <c r="J674" s="48">
        <v>26</v>
      </c>
      <c r="K674" s="48">
        <v>483</v>
      </c>
      <c r="L674" s="48">
        <v>95</v>
      </c>
      <c r="M674" s="48">
        <v>47</v>
      </c>
      <c r="N674" s="48">
        <v>775</v>
      </c>
      <c r="O674" s="48">
        <v>67</v>
      </c>
      <c r="P674" s="48">
        <v>30</v>
      </c>
      <c r="Q674" s="48">
        <v>497</v>
      </c>
      <c r="R674" s="48">
        <v>72</v>
      </c>
      <c r="S674" s="48">
        <v>47</v>
      </c>
      <c r="T674" s="48">
        <v>751</v>
      </c>
      <c r="U674" s="48">
        <v>61</v>
      </c>
      <c r="V674" s="48">
        <v>38</v>
      </c>
      <c r="W674" s="48">
        <v>686</v>
      </c>
      <c r="X674" s="48">
        <v>494</v>
      </c>
      <c r="Y674" s="48">
        <v>44</v>
      </c>
      <c r="Z674" s="48">
        <v>669</v>
      </c>
    </row>
    <row r="675" spans="1:26" ht="15" hidden="1" customHeight="1">
      <c r="A675" s="48" t="s">
        <v>1438</v>
      </c>
      <c r="B675" s="48" t="s">
        <v>1438</v>
      </c>
      <c r="C675" s="48" t="s">
        <v>1439</v>
      </c>
      <c r="D675" s="48" t="s">
        <v>50</v>
      </c>
      <c r="E675" s="48" t="s">
        <v>217</v>
      </c>
      <c r="F675" s="48">
        <v>109</v>
      </c>
      <c r="G675" s="48">
        <v>22</v>
      </c>
      <c r="H675" s="48">
        <v>353</v>
      </c>
      <c r="I675" s="48">
        <v>101</v>
      </c>
      <c r="J675" s="48">
        <v>23</v>
      </c>
      <c r="K675" s="48">
        <v>403</v>
      </c>
      <c r="L675" s="48">
        <v>76.5</v>
      </c>
      <c r="M675" s="48">
        <v>52</v>
      </c>
      <c r="N675" s="48">
        <v>907</v>
      </c>
      <c r="O675" s="48">
        <v>63</v>
      </c>
      <c r="P675" s="48">
        <v>32</v>
      </c>
      <c r="Q675" s="48">
        <v>581</v>
      </c>
      <c r="R675" s="48">
        <v>81</v>
      </c>
      <c r="S675" s="48">
        <v>24</v>
      </c>
      <c r="T675" s="48">
        <v>474</v>
      </c>
      <c r="U675" s="48">
        <v>63</v>
      </c>
      <c r="V675" s="48">
        <v>35</v>
      </c>
      <c r="W675" s="48">
        <v>625</v>
      </c>
      <c r="X675" s="48">
        <v>493.5</v>
      </c>
      <c r="Y675" s="48">
        <v>36</v>
      </c>
      <c r="Z675" s="48">
        <v>672</v>
      </c>
    </row>
    <row r="676" spans="1:26" ht="15" hidden="1" customHeight="1">
      <c r="A676" s="48" t="s">
        <v>1440</v>
      </c>
      <c r="B676" s="48" t="s">
        <v>1440</v>
      </c>
      <c r="C676" s="48" t="s">
        <v>1441</v>
      </c>
      <c r="D676" s="48" t="s">
        <v>50</v>
      </c>
      <c r="E676" s="48" t="s">
        <v>217</v>
      </c>
      <c r="F676" s="48">
        <v>86</v>
      </c>
      <c r="G676" s="48">
        <v>55</v>
      </c>
      <c r="H676" s="48">
        <v>928</v>
      </c>
      <c r="I676" s="48">
        <v>102</v>
      </c>
      <c r="J676" s="48">
        <v>20</v>
      </c>
      <c r="K676" s="48">
        <v>386</v>
      </c>
      <c r="L676" s="48">
        <v>103.5</v>
      </c>
      <c r="M676" s="48">
        <v>29</v>
      </c>
      <c r="N676" s="48">
        <v>612</v>
      </c>
      <c r="O676" s="48">
        <v>62</v>
      </c>
      <c r="P676" s="48">
        <v>37</v>
      </c>
      <c r="Q676" s="48">
        <v>607</v>
      </c>
      <c r="R676" s="48">
        <v>76</v>
      </c>
      <c r="S676" s="48">
        <v>37</v>
      </c>
      <c r="T676" s="48">
        <v>642</v>
      </c>
      <c r="U676" s="48">
        <v>64</v>
      </c>
      <c r="V676" s="48">
        <v>32</v>
      </c>
      <c r="W676" s="48">
        <v>593</v>
      </c>
      <c r="X676" s="48">
        <v>493.5</v>
      </c>
      <c r="Y676" s="48">
        <v>36</v>
      </c>
      <c r="Z676" s="48">
        <v>672</v>
      </c>
    </row>
    <row r="677" spans="1:26" ht="15" hidden="1" customHeight="1">
      <c r="A677" s="48" t="s">
        <v>1442</v>
      </c>
      <c r="B677" s="48" t="s">
        <v>1442</v>
      </c>
      <c r="C677" s="48" t="s">
        <v>1443</v>
      </c>
      <c r="D677" s="48" t="s">
        <v>50</v>
      </c>
      <c r="E677" s="48" t="s">
        <v>217</v>
      </c>
      <c r="F677" s="48">
        <v>98</v>
      </c>
      <c r="G677" s="48">
        <v>42</v>
      </c>
      <c r="H677" s="48">
        <v>774</v>
      </c>
      <c r="I677" s="48">
        <v>93</v>
      </c>
      <c r="J677" s="48">
        <v>35</v>
      </c>
      <c r="K677" s="48">
        <v>540</v>
      </c>
      <c r="L677" s="48">
        <v>112.5</v>
      </c>
      <c r="M677" s="48">
        <v>18</v>
      </c>
      <c r="N677" s="48">
        <v>401</v>
      </c>
      <c r="O677" s="48">
        <v>66</v>
      </c>
      <c r="P677" s="48">
        <v>28</v>
      </c>
      <c r="Q677" s="48">
        <v>513</v>
      </c>
      <c r="R677" s="48">
        <v>71</v>
      </c>
      <c r="S677" s="48">
        <v>48</v>
      </c>
      <c r="T677" s="48">
        <v>773</v>
      </c>
      <c r="U677" s="48">
        <v>53</v>
      </c>
      <c r="V677" s="48">
        <v>50</v>
      </c>
      <c r="W677" s="48">
        <v>832</v>
      </c>
      <c r="X677" s="48">
        <v>493.5</v>
      </c>
      <c r="Y677" s="48">
        <v>36</v>
      </c>
      <c r="Z677" s="48">
        <v>672</v>
      </c>
    </row>
    <row r="678" spans="1:26" ht="15" hidden="1" customHeight="1">
      <c r="A678" s="48" t="s">
        <v>1444</v>
      </c>
      <c r="B678" s="48" t="s">
        <v>1444</v>
      </c>
      <c r="C678" s="48" t="s">
        <v>1445</v>
      </c>
      <c r="D678" s="48" t="s">
        <v>50</v>
      </c>
      <c r="E678" s="48" t="s">
        <v>133</v>
      </c>
      <c r="F678" s="48">
        <v>106</v>
      </c>
      <c r="G678" s="48">
        <v>33</v>
      </c>
      <c r="H678" s="48">
        <v>477</v>
      </c>
      <c r="I678" s="48">
        <v>89</v>
      </c>
      <c r="J678" s="48">
        <v>40</v>
      </c>
      <c r="K678" s="48">
        <v>587</v>
      </c>
      <c r="L678" s="48">
        <v>109.5</v>
      </c>
      <c r="M678" s="48">
        <v>29</v>
      </c>
      <c r="N678" s="48">
        <v>490</v>
      </c>
      <c r="O678" s="48">
        <v>48</v>
      </c>
      <c r="P678" s="48">
        <v>51</v>
      </c>
      <c r="Q678" s="48">
        <v>854</v>
      </c>
      <c r="R678" s="48">
        <v>80</v>
      </c>
      <c r="S678" s="48">
        <v>37</v>
      </c>
      <c r="T678" s="48">
        <v>511</v>
      </c>
      <c r="U678" s="48">
        <v>61</v>
      </c>
      <c r="V678" s="48">
        <v>48</v>
      </c>
      <c r="W678" s="48">
        <v>686</v>
      </c>
      <c r="X678" s="48">
        <v>493.5</v>
      </c>
      <c r="Y678" s="48">
        <v>43</v>
      </c>
      <c r="Z678" s="48">
        <v>672</v>
      </c>
    </row>
    <row r="679" spans="1:26" ht="15" hidden="1" customHeight="1">
      <c r="A679" s="48" t="s">
        <v>1446</v>
      </c>
      <c r="B679" s="48" t="s">
        <v>1446</v>
      </c>
      <c r="C679" s="48" t="s">
        <v>1447</v>
      </c>
      <c r="D679" s="48" t="s">
        <v>50</v>
      </c>
      <c r="E679" s="48" t="s">
        <v>133</v>
      </c>
      <c r="F679" s="48">
        <v>112</v>
      </c>
      <c r="G679" s="48">
        <v>16</v>
      </c>
      <c r="H679" s="48">
        <v>226</v>
      </c>
      <c r="I679" s="48">
        <v>61</v>
      </c>
      <c r="J679" s="48">
        <v>55</v>
      </c>
      <c r="K679" s="48">
        <v>873</v>
      </c>
      <c r="L679" s="48">
        <v>111</v>
      </c>
      <c r="M679" s="48">
        <v>25</v>
      </c>
      <c r="N679" s="48">
        <v>445</v>
      </c>
      <c r="O679" s="48">
        <v>60</v>
      </c>
      <c r="P679" s="48">
        <v>37</v>
      </c>
      <c r="Q679" s="48">
        <v>647</v>
      </c>
      <c r="R679" s="48">
        <v>81</v>
      </c>
      <c r="S679" s="48">
        <v>34</v>
      </c>
      <c r="T679" s="48">
        <v>474</v>
      </c>
      <c r="U679" s="48">
        <v>68</v>
      </c>
      <c r="V679" s="48">
        <v>31</v>
      </c>
      <c r="W679" s="48">
        <v>452</v>
      </c>
      <c r="X679" s="48">
        <v>493</v>
      </c>
      <c r="Y679" s="48">
        <v>44</v>
      </c>
      <c r="Z679" s="48">
        <v>676</v>
      </c>
    </row>
    <row r="680" spans="1:26" ht="15" hidden="1" customHeight="1">
      <c r="A680" s="48" t="s">
        <v>1448</v>
      </c>
      <c r="B680" s="48" t="s">
        <v>1448</v>
      </c>
      <c r="C680" s="48" t="s">
        <v>1449</v>
      </c>
      <c r="D680" s="48" t="s">
        <v>50</v>
      </c>
      <c r="E680" s="48" t="s">
        <v>210</v>
      </c>
      <c r="F680" s="48">
        <v>103</v>
      </c>
      <c r="G680" s="48">
        <v>39</v>
      </c>
      <c r="H680" s="48">
        <v>606</v>
      </c>
      <c r="I680" s="48">
        <v>73</v>
      </c>
      <c r="J680" s="48">
        <v>48</v>
      </c>
      <c r="K680" s="48">
        <v>788</v>
      </c>
      <c r="L680" s="48">
        <v>120</v>
      </c>
      <c r="M680" s="48">
        <v>11</v>
      </c>
      <c r="N680" s="48">
        <v>211</v>
      </c>
      <c r="O680" s="48">
        <v>69</v>
      </c>
      <c r="P680" s="48">
        <v>22</v>
      </c>
      <c r="Q680" s="48">
        <v>452</v>
      </c>
      <c r="R680" s="48">
        <v>80</v>
      </c>
      <c r="S680" s="48">
        <v>35</v>
      </c>
      <c r="T680" s="48">
        <v>511</v>
      </c>
      <c r="U680" s="48">
        <v>48</v>
      </c>
      <c r="V680" s="48">
        <v>52</v>
      </c>
      <c r="W680" s="48">
        <v>893</v>
      </c>
      <c r="X680" s="48">
        <v>493</v>
      </c>
      <c r="Y680" s="48">
        <v>45</v>
      </c>
      <c r="Z680" s="48">
        <v>676</v>
      </c>
    </row>
    <row r="681" spans="1:26" ht="15" hidden="1" customHeight="1">
      <c r="A681" s="48" t="s">
        <v>1450</v>
      </c>
      <c r="B681" s="48" t="s">
        <v>1450</v>
      </c>
      <c r="C681" s="48" t="s">
        <v>1451</v>
      </c>
      <c r="D681" s="48" t="s">
        <v>50</v>
      </c>
      <c r="E681" s="48" t="s">
        <v>84</v>
      </c>
      <c r="F681" s="48">
        <v>66</v>
      </c>
      <c r="G681" s="48">
        <v>56</v>
      </c>
      <c r="H681" s="48">
        <v>948</v>
      </c>
      <c r="I681" s="48">
        <v>99</v>
      </c>
      <c r="J681" s="48">
        <v>20</v>
      </c>
      <c r="K681" s="48">
        <v>436</v>
      </c>
      <c r="L681" s="48">
        <v>116</v>
      </c>
      <c r="M681" s="48">
        <v>19</v>
      </c>
      <c r="N681" s="48">
        <v>309</v>
      </c>
      <c r="O681" s="48">
        <v>89</v>
      </c>
      <c r="P681" s="48">
        <v>3</v>
      </c>
      <c r="Q681" s="48">
        <v>79</v>
      </c>
      <c r="R681" s="48">
        <v>74</v>
      </c>
      <c r="S681" s="48">
        <v>42</v>
      </c>
      <c r="T681" s="48">
        <v>702</v>
      </c>
      <c r="U681" s="48">
        <v>49</v>
      </c>
      <c r="V681" s="48">
        <v>54</v>
      </c>
      <c r="W681" s="48">
        <v>883</v>
      </c>
      <c r="X681" s="48">
        <v>493</v>
      </c>
      <c r="Y681" s="48">
        <v>42</v>
      </c>
      <c r="Z681" s="48">
        <v>676</v>
      </c>
    </row>
    <row r="682" spans="1:26" ht="15" hidden="1" customHeight="1">
      <c r="A682" s="48" t="s">
        <v>1452</v>
      </c>
      <c r="B682" s="48" t="s">
        <v>1452</v>
      </c>
      <c r="C682" s="48" t="s">
        <v>1453</v>
      </c>
      <c r="D682" s="48" t="s">
        <v>50</v>
      </c>
      <c r="E682" s="48" t="s">
        <v>240</v>
      </c>
      <c r="F682" s="48">
        <v>115</v>
      </c>
      <c r="G682" s="48">
        <v>4</v>
      </c>
      <c r="H682" s="48">
        <v>140</v>
      </c>
      <c r="I682" s="48">
        <v>79</v>
      </c>
      <c r="J682" s="48">
        <v>41</v>
      </c>
      <c r="K682" s="48">
        <v>713</v>
      </c>
      <c r="L682" s="48">
        <v>100</v>
      </c>
      <c r="M682" s="48">
        <v>45</v>
      </c>
      <c r="N682" s="48">
        <v>680</v>
      </c>
      <c r="O682" s="48">
        <v>70</v>
      </c>
      <c r="P682" s="48">
        <v>27</v>
      </c>
      <c r="Q682" s="48">
        <v>429</v>
      </c>
      <c r="R682" s="48">
        <v>68</v>
      </c>
      <c r="S682" s="48">
        <v>48</v>
      </c>
      <c r="T682" s="48">
        <v>824</v>
      </c>
      <c r="U682" s="48">
        <v>61</v>
      </c>
      <c r="V682" s="48">
        <v>43</v>
      </c>
      <c r="W682" s="48">
        <v>686</v>
      </c>
      <c r="X682" s="48">
        <v>493</v>
      </c>
      <c r="Y682" s="48">
        <v>39</v>
      </c>
      <c r="Z682" s="48">
        <v>676</v>
      </c>
    </row>
    <row r="683" spans="1:26" ht="15" hidden="1" customHeight="1">
      <c r="A683" s="48" t="s">
        <v>1454</v>
      </c>
      <c r="B683" s="48" t="s">
        <v>1454</v>
      </c>
      <c r="C683" s="48" t="s">
        <v>1455</v>
      </c>
      <c r="D683" s="48" t="s">
        <v>50</v>
      </c>
      <c r="E683" s="48" t="s">
        <v>84</v>
      </c>
      <c r="F683" s="48">
        <v>96</v>
      </c>
      <c r="G683" s="48">
        <v>46</v>
      </c>
      <c r="H683" s="48">
        <v>814</v>
      </c>
      <c r="I683" s="48">
        <v>68</v>
      </c>
      <c r="J683" s="48">
        <v>50</v>
      </c>
      <c r="K683" s="48">
        <v>835</v>
      </c>
      <c r="L683" s="48">
        <v>114.5</v>
      </c>
      <c r="M683" s="48">
        <v>21</v>
      </c>
      <c r="N683" s="48">
        <v>340</v>
      </c>
      <c r="O683" s="48">
        <v>56</v>
      </c>
      <c r="P683" s="48">
        <v>47</v>
      </c>
      <c r="Q683" s="48">
        <v>731</v>
      </c>
      <c r="R683" s="48">
        <v>88</v>
      </c>
      <c r="S683" s="48">
        <v>11</v>
      </c>
      <c r="T683" s="48">
        <v>240</v>
      </c>
      <c r="U683" s="48">
        <v>70</v>
      </c>
      <c r="V683" s="48">
        <v>19</v>
      </c>
      <c r="W683" s="48">
        <v>380</v>
      </c>
      <c r="X683" s="48">
        <v>492.5</v>
      </c>
      <c r="Y683" s="48">
        <v>43</v>
      </c>
      <c r="Z683" s="48">
        <v>680</v>
      </c>
    </row>
    <row r="684" spans="1:26" ht="15" hidden="1" customHeight="1">
      <c r="A684" s="48" t="s">
        <v>1456</v>
      </c>
      <c r="B684" s="48" t="s">
        <v>1456</v>
      </c>
      <c r="C684" s="48" t="s">
        <v>1457</v>
      </c>
      <c r="D684" s="48" t="s">
        <v>50</v>
      </c>
      <c r="E684" s="48" t="s">
        <v>203</v>
      </c>
      <c r="F684" s="48">
        <v>112</v>
      </c>
      <c r="G684" s="48">
        <v>15</v>
      </c>
      <c r="H684" s="48">
        <v>226</v>
      </c>
      <c r="I684" s="48">
        <v>64</v>
      </c>
      <c r="J684" s="48">
        <v>51</v>
      </c>
      <c r="K684" s="48">
        <v>858</v>
      </c>
      <c r="L684" s="48">
        <v>94.5</v>
      </c>
      <c r="M684" s="48">
        <v>45</v>
      </c>
      <c r="N684" s="48">
        <v>779</v>
      </c>
      <c r="O684" s="48">
        <v>79</v>
      </c>
      <c r="P684" s="48">
        <v>11</v>
      </c>
      <c r="Q684" s="48">
        <v>236</v>
      </c>
      <c r="R684" s="48">
        <v>72</v>
      </c>
      <c r="S684" s="48">
        <v>42</v>
      </c>
      <c r="T684" s="48">
        <v>751</v>
      </c>
      <c r="U684" s="48">
        <v>71</v>
      </c>
      <c r="V684" s="48">
        <v>16</v>
      </c>
      <c r="W684" s="48">
        <v>342</v>
      </c>
      <c r="X684" s="48">
        <v>492.5</v>
      </c>
      <c r="Y684" s="48">
        <v>36</v>
      </c>
      <c r="Z684" s="48">
        <v>680</v>
      </c>
    </row>
    <row r="685" spans="1:26" ht="15" hidden="1" customHeight="1">
      <c r="A685" s="48" t="s">
        <v>1458</v>
      </c>
      <c r="B685" s="48" t="s">
        <v>1458</v>
      </c>
      <c r="C685" s="48" t="s">
        <v>1459</v>
      </c>
      <c r="D685" s="48" t="s">
        <v>50</v>
      </c>
      <c r="E685" s="48" t="s">
        <v>203</v>
      </c>
      <c r="F685" s="48">
        <v>103</v>
      </c>
      <c r="G685" s="48">
        <v>40</v>
      </c>
      <c r="H685" s="48">
        <v>606</v>
      </c>
      <c r="I685" s="48">
        <v>83</v>
      </c>
      <c r="J685" s="48">
        <v>32</v>
      </c>
      <c r="K685" s="48">
        <v>667</v>
      </c>
      <c r="L685" s="48">
        <v>107.5</v>
      </c>
      <c r="M685" s="48">
        <v>29</v>
      </c>
      <c r="N685" s="48">
        <v>532</v>
      </c>
      <c r="O685" s="48">
        <v>50</v>
      </c>
      <c r="P685" s="48">
        <v>47</v>
      </c>
      <c r="Q685" s="48">
        <v>826</v>
      </c>
      <c r="R685" s="48">
        <v>76</v>
      </c>
      <c r="S685" s="48">
        <v>35</v>
      </c>
      <c r="T685" s="48">
        <v>642</v>
      </c>
      <c r="U685" s="48">
        <v>73</v>
      </c>
      <c r="V685" s="48">
        <v>13</v>
      </c>
      <c r="W685" s="48">
        <v>275</v>
      </c>
      <c r="X685" s="48">
        <v>492.5</v>
      </c>
      <c r="Y685" s="48">
        <v>36</v>
      </c>
      <c r="Z685" s="48">
        <v>680</v>
      </c>
    </row>
    <row r="686" spans="1:26" ht="15" hidden="1" customHeight="1">
      <c r="A686" s="48" t="s">
        <v>1460</v>
      </c>
      <c r="B686" s="48" t="s">
        <v>1460</v>
      </c>
      <c r="C686" s="48" t="s">
        <v>1461</v>
      </c>
      <c r="D686" s="48" t="s">
        <v>50</v>
      </c>
      <c r="E686" s="48" t="s">
        <v>296</v>
      </c>
      <c r="F686" s="48">
        <v>103</v>
      </c>
      <c r="G686" s="48">
        <v>26</v>
      </c>
      <c r="H686" s="48">
        <v>606</v>
      </c>
      <c r="I686" s="48">
        <v>81</v>
      </c>
      <c r="J686" s="48">
        <v>37</v>
      </c>
      <c r="K686" s="48">
        <v>688</v>
      </c>
      <c r="L686" s="48">
        <v>99</v>
      </c>
      <c r="M686" s="48">
        <v>44</v>
      </c>
      <c r="N686" s="48">
        <v>707</v>
      </c>
      <c r="O686" s="48">
        <v>69</v>
      </c>
      <c r="P686" s="48">
        <v>29</v>
      </c>
      <c r="Q686" s="48">
        <v>452</v>
      </c>
      <c r="R686" s="48">
        <v>67</v>
      </c>
      <c r="S686" s="48">
        <v>50</v>
      </c>
      <c r="T686" s="48">
        <v>837</v>
      </c>
      <c r="U686" s="48">
        <v>73</v>
      </c>
      <c r="V686" s="48">
        <v>9</v>
      </c>
      <c r="W686" s="48">
        <v>275</v>
      </c>
      <c r="X686" s="48">
        <v>492</v>
      </c>
      <c r="Y686" s="48">
        <v>36</v>
      </c>
      <c r="Z686" s="48">
        <v>683</v>
      </c>
    </row>
    <row r="687" spans="1:26" ht="15" hidden="1" customHeight="1">
      <c r="A687" s="48" t="s">
        <v>1462</v>
      </c>
      <c r="B687" s="48" t="s">
        <v>1462</v>
      </c>
      <c r="C687" s="48" t="s">
        <v>1463</v>
      </c>
      <c r="D687" s="48" t="s">
        <v>50</v>
      </c>
      <c r="E687" s="48" t="s">
        <v>84</v>
      </c>
      <c r="F687" s="48">
        <v>96</v>
      </c>
      <c r="G687" s="48">
        <v>46</v>
      </c>
      <c r="H687" s="48">
        <v>814</v>
      </c>
      <c r="I687" s="48">
        <v>110</v>
      </c>
      <c r="J687" s="48">
        <v>16</v>
      </c>
      <c r="K687" s="48">
        <v>264</v>
      </c>
      <c r="L687" s="48">
        <v>85</v>
      </c>
      <c r="M687" s="48">
        <v>52</v>
      </c>
      <c r="N687" s="48">
        <v>870</v>
      </c>
      <c r="O687" s="48">
        <v>64</v>
      </c>
      <c r="P687" s="48">
        <v>35</v>
      </c>
      <c r="Q687" s="48">
        <v>559</v>
      </c>
      <c r="R687" s="48">
        <v>83</v>
      </c>
      <c r="S687" s="48">
        <v>20</v>
      </c>
      <c r="T687" s="48">
        <v>407</v>
      </c>
      <c r="U687" s="48">
        <v>54</v>
      </c>
      <c r="V687" s="48">
        <v>50</v>
      </c>
      <c r="W687" s="48">
        <v>817</v>
      </c>
      <c r="X687" s="48">
        <v>492</v>
      </c>
      <c r="Y687" s="48">
        <v>44</v>
      </c>
      <c r="Z687" s="48">
        <v>683</v>
      </c>
    </row>
    <row r="688" spans="1:26" ht="15" hidden="1" customHeight="1">
      <c r="A688" s="48" t="s">
        <v>1464</v>
      </c>
      <c r="B688" s="48" t="s">
        <v>1464</v>
      </c>
      <c r="C688" s="48" t="s">
        <v>1465</v>
      </c>
      <c r="D688" s="48" t="s">
        <v>50</v>
      </c>
      <c r="E688" s="48" t="s">
        <v>92</v>
      </c>
      <c r="F688" s="48">
        <v>90</v>
      </c>
      <c r="G688" s="48">
        <v>50</v>
      </c>
      <c r="H688" s="48">
        <v>905</v>
      </c>
      <c r="I688" s="48">
        <v>91</v>
      </c>
      <c r="J688" s="48">
        <v>32</v>
      </c>
      <c r="K688" s="48">
        <v>566</v>
      </c>
      <c r="L688" s="48">
        <v>119</v>
      </c>
      <c r="M688" s="48">
        <v>12</v>
      </c>
      <c r="N688" s="48">
        <v>237</v>
      </c>
      <c r="O688" s="48">
        <v>61</v>
      </c>
      <c r="P688" s="48">
        <v>38</v>
      </c>
      <c r="Q688" s="48">
        <v>627</v>
      </c>
      <c r="R688" s="48">
        <v>76</v>
      </c>
      <c r="S688" s="48">
        <v>43</v>
      </c>
      <c r="T688" s="48">
        <v>642</v>
      </c>
      <c r="U688" s="48">
        <v>55</v>
      </c>
      <c r="V688" s="48">
        <v>52</v>
      </c>
      <c r="W688" s="48">
        <v>802</v>
      </c>
      <c r="X688" s="48">
        <v>492</v>
      </c>
      <c r="Y688" s="48">
        <v>39</v>
      </c>
      <c r="Z688" s="48">
        <v>683</v>
      </c>
    </row>
    <row r="689" spans="1:26" ht="15" hidden="1" customHeight="1">
      <c r="A689" s="48" t="s">
        <v>1466</v>
      </c>
      <c r="B689" s="48" t="s">
        <v>1466</v>
      </c>
      <c r="C689" s="48" t="s">
        <v>1467</v>
      </c>
      <c r="D689" s="48" t="s">
        <v>50</v>
      </c>
      <c r="E689" s="48" t="s">
        <v>217</v>
      </c>
      <c r="F689" s="48">
        <v>123</v>
      </c>
      <c r="G689" s="48">
        <v>2</v>
      </c>
      <c r="H689" s="48">
        <v>20</v>
      </c>
      <c r="I689" s="48">
        <v>92</v>
      </c>
      <c r="J689" s="48">
        <v>36</v>
      </c>
      <c r="K689" s="48">
        <v>557</v>
      </c>
      <c r="L689" s="48">
        <v>115</v>
      </c>
      <c r="M689" s="48">
        <v>12</v>
      </c>
      <c r="N689" s="48">
        <v>330</v>
      </c>
      <c r="O689" s="48">
        <v>36</v>
      </c>
      <c r="P689" s="48">
        <v>55</v>
      </c>
      <c r="Q689" s="48">
        <v>925</v>
      </c>
      <c r="R689" s="48">
        <v>69</v>
      </c>
      <c r="S689" s="48">
        <v>50</v>
      </c>
      <c r="T689" s="48">
        <v>810</v>
      </c>
      <c r="U689" s="48">
        <v>57</v>
      </c>
      <c r="V689" s="48">
        <v>47</v>
      </c>
      <c r="W689" s="48">
        <v>770</v>
      </c>
      <c r="X689" s="48">
        <v>492</v>
      </c>
      <c r="Y689" s="48">
        <v>39</v>
      </c>
      <c r="Z689" s="48">
        <v>683</v>
      </c>
    </row>
    <row r="690" spans="1:26" ht="15" hidden="1" customHeight="1">
      <c r="A690" s="48" t="s">
        <v>1468</v>
      </c>
      <c r="B690" s="48" t="s">
        <v>1468</v>
      </c>
      <c r="C690" s="48" t="s">
        <v>1469</v>
      </c>
      <c r="D690" s="48" t="s">
        <v>50</v>
      </c>
      <c r="E690" s="48" t="s">
        <v>217</v>
      </c>
      <c r="F690" s="48">
        <v>103</v>
      </c>
      <c r="G690" s="48">
        <v>32</v>
      </c>
      <c r="H690" s="48">
        <v>606</v>
      </c>
      <c r="I690" s="48">
        <v>89</v>
      </c>
      <c r="J690" s="48">
        <v>39</v>
      </c>
      <c r="K690" s="48">
        <v>587</v>
      </c>
      <c r="L690" s="48">
        <v>96.5</v>
      </c>
      <c r="M690" s="48">
        <v>39</v>
      </c>
      <c r="N690" s="48">
        <v>750</v>
      </c>
      <c r="O690" s="48">
        <v>53</v>
      </c>
      <c r="P690" s="48">
        <v>49</v>
      </c>
      <c r="Q690" s="48">
        <v>786</v>
      </c>
      <c r="R690" s="48">
        <v>92</v>
      </c>
      <c r="S690" s="48">
        <v>4</v>
      </c>
      <c r="T690" s="48">
        <v>116</v>
      </c>
      <c r="U690" s="48">
        <v>58</v>
      </c>
      <c r="V690" s="48">
        <v>45</v>
      </c>
      <c r="W690" s="48">
        <v>754</v>
      </c>
      <c r="X690" s="48">
        <v>491.5</v>
      </c>
      <c r="Y690" s="48">
        <v>40</v>
      </c>
      <c r="Z690" s="48">
        <v>687</v>
      </c>
    </row>
    <row r="691" spans="1:26" ht="15" hidden="1" customHeight="1">
      <c r="A691" s="48" t="s">
        <v>1470</v>
      </c>
      <c r="B691" s="48" t="s">
        <v>1470</v>
      </c>
      <c r="C691" s="48" t="s">
        <v>1471</v>
      </c>
      <c r="D691" s="48" t="s">
        <v>50</v>
      </c>
      <c r="E691" s="48" t="s">
        <v>249</v>
      </c>
      <c r="F691" s="48">
        <v>109</v>
      </c>
      <c r="G691" s="48">
        <v>29</v>
      </c>
      <c r="H691" s="48">
        <v>353</v>
      </c>
      <c r="I691" s="48">
        <v>97</v>
      </c>
      <c r="J691" s="48">
        <v>24</v>
      </c>
      <c r="K691" s="48">
        <v>474</v>
      </c>
      <c r="L691" s="48">
        <v>116.5</v>
      </c>
      <c r="M691" s="48">
        <v>14</v>
      </c>
      <c r="N691" s="48">
        <v>298</v>
      </c>
      <c r="O691" s="48">
        <v>53</v>
      </c>
      <c r="P691" s="48">
        <v>44</v>
      </c>
      <c r="Q691" s="48">
        <v>786</v>
      </c>
      <c r="R691" s="48">
        <v>60</v>
      </c>
      <c r="S691" s="48">
        <v>47</v>
      </c>
      <c r="T691" s="48">
        <v>908</v>
      </c>
      <c r="U691" s="48">
        <v>56</v>
      </c>
      <c r="V691" s="48">
        <v>44</v>
      </c>
      <c r="W691" s="48">
        <v>789</v>
      </c>
      <c r="X691" s="48">
        <v>491.5</v>
      </c>
      <c r="Y691" s="48">
        <v>35</v>
      </c>
      <c r="Z691" s="48">
        <v>687</v>
      </c>
    </row>
    <row r="692" spans="1:26" ht="15" hidden="1" customHeight="1">
      <c r="A692" s="48" t="s">
        <v>1472</v>
      </c>
      <c r="B692" s="48" t="s">
        <v>1472</v>
      </c>
      <c r="C692" s="48" t="s">
        <v>1473</v>
      </c>
      <c r="D692" s="48" t="s">
        <v>50</v>
      </c>
      <c r="E692" s="48" t="s">
        <v>249</v>
      </c>
      <c r="F692" s="48">
        <v>116</v>
      </c>
      <c r="G692" s="48">
        <v>8</v>
      </c>
      <c r="H692" s="48">
        <v>117</v>
      </c>
      <c r="I692" s="48">
        <v>85</v>
      </c>
      <c r="J692" s="48">
        <v>36</v>
      </c>
      <c r="K692" s="48">
        <v>643</v>
      </c>
      <c r="L692" s="48">
        <v>90</v>
      </c>
      <c r="M692" s="48">
        <v>48</v>
      </c>
      <c r="N692" s="48">
        <v>829</v>
      </c>
      <c r="O692" s="48">
        <v>66</v>
      </c>
      <c r="P692" s="48">
        <v>29</v>
      </c>
      <c r="Q692" s="48">
        <v>513</v>
      </c>
      <c r="R692" s="48">
        <v>66</v>
      </c>
      <c r="S692" s="48">
        <v>42</v>
      </c>
      <c r="T692" s="48">
        <v>849</v>
      </c>
      <c r="U692" s="48">
        <v>68</v>
      </c>
      <c r="V692" s="48">
        <v>17</v>
      </c>
      <c r="W692" s="48">
        <v>452</v>
      </c>
      <c r="X692" s="48">
        <v>491</v>
      </c>
      <c r="Y692" s="48">
        <v>36</v>
      </c>
      <c r="Z692" s="48">
        <v>689</v>
      </c>
    </row>
    <row r="693" spans="1:26" ht="15" hidden="1" customHeight="1">
      <c r="A693" s="48" t="s">
        <v>1474</v>
      </c>
      <c r="B693" s="48" t="s">
        <v>1474</v>
      </c>
      <c r="C693" s="48" t="s">
        <v>1475</v>
      </c>
      <c r="D693" s="48" t="s">
        <v>50</v>
      </c>
      <c r="E693" s="48" t="s">
        <v>106</v>
      </c>
      <c r="F693" s="48">
        <v>113</v>
      </c>
      <c r="G693" s="48">
        <v>16</v>
      </c>
      <c r="H693" s="48">
        <v>196</v>
      </c>
      <c r="I693" s="48">
        <v>68</v>
      </c>
      <c r="J693" s="48">
        <v>43</v>
      </c>
      <c r="K693" s="48">
        <v>835</v>
      </c>
      <c r="L693" s="48">
        <v>121</v>
      </c>
      <c r="M693" s="48">
        <v>11</v>
      </c>
      <c r="N693" s="48">
        <v>173</v>
      </c>
      <c r="O693" s="48">
        <v>62</v>
      </c>
      <c r="P693" s="48">
        <v>30</v>
      </c>
      <c r="Q693" s="48">
        <v>607</v>
      </c>
      <c r="R693" s="48">
        <v>80</v>
      </c>
      <c r="S693" s="48">
        <v>17</v>
      </c>
      <c r="T693" s="48">
        <v>511</v>
      </c>
      <c r="U693" s="48">
        <v>47</v>
      </c>
      <c r="V693" s="48">
        <v>51</v>
      </c>
      <c r="W693" s="48">
        <v>901</v>
      </c>
      <c r="X693" s="48">
        <v>491</v>
      </c>
      <c r="Y693" s="48">
        <v>31</v>
      </c>
      <c r="Z693" s="48">
        <v>689</v>
      </c>
    </row>
    <row r="694" spans="1:26" ht="15" hidden="1" customHeight="1">
      <c r="A694" s="48" t="s">
        <v>1476</v>
      </c>
      <c r="B694" s="48" t="s">
        <v>1476</v>
      </c>
      <c r="C694" s="48" t="s">
        <v>1477</v>
      </c>
      <c r="D694" s="48" t="s">
        <v>50</v>
      </c>
      <c r="E694" s="48" t="s">
        <v>217</v>
      </c>
      <c r="F694" s="48">
        <v>89</v>
      </c>
      <c r="G694" s="48">
        <v>52</v>
      </c>
      <c r="H694" s="48">
        <v>909</v>
      </c>
      <c r="I694" s="48">
        <v>101</v>
      </c>
      <c r="J694" s="48">
        <v>23</v>
      </c>
      <c r="K694" s="48">
        <v>403</v>
      </c>
      <c r="L694" s="48">
        <v>100</v>
      </c>
      <c r="M694" s="48">
        <v>36</v>
      </c>
      <c r="N694" s="48">
        <v>680</v>
      </c>
      <c r="O694" s="48">
        <v>64</v>
      </c>
      <c r="P694" s="48">
        <v>31</v>
      </c>
      <c r="Q694" s="48">
        <v>559</v>
      </c>
      <c r="R694" s="48">
        <v>73</v>
      </c>
      <c r="S694" s="48">
        <v>43</v>
      </c>
      <c r="T694" s="48">
        <v>717</v>
      </c>
      <c r="U694" s="48">
        <v>63</v>
      </c>
      <c r="V694" s="48">
        <v>35</v>
      </c>
      <c r="W694" s="48">
        <v>625</v>
      </c>
      <c r="X694" s="48">
        <v>490</v>
      </c>
      <c r="Y694" s="48">
        <v>41</v>
      </c>
      <c r="Z694" s="48">
        <v>691</v>
      </c>
    </row>
    <row r="695" spans="1:26" ht="15" hidden="1" customHeight="1">
      <c r="A695" s="48" t="s">
        <v>1478</v>
      </c>
      <c r="B695" s="48" t="s">
        <v>1478</v>
      </c>
      <c r="C695" s="48" t="s">
        <v>1479</v>
      </c>
      <c r="D695" s="48" t="s">
        <v>50</v>
      </c>
      <c r="E695" s="48" t="s">
        <v>92</v>
      </c>
      <c r="F695" s="48">
        <v>103</v>
      </c>
      <c r="G695" s="48">
        <v>26</v>
      </c>
      <c r="H695" s="48">
        <v>606</v>
      </c>
      <c r="I695" s="48">
        <v>89</v>
      </c>
      <c r="J695" s="48">
        <v>36</v>
      </c>
      <c r="K695" s="48">
        <v>587</v>
      </c>
      <c r="L695" s="48">
        <v>111.5</v>
      </c>
      <c r="M695" s="48">
        <v>21</v>
      </c>
      <c r="N695" s="48">
        <v>427</v>
      </c>
      <c r="O695" s="48">
        <v>45</v>
      </c>
      <c r="P695" s="48">
        <v>52</v>
      </c>
      <c r="Q695" s="48">
        <v>878</v>
      </c>
      <c r="R695" s="48">
        <v>73</v>
      </c>
      <c r="S695" s="48">
        <v>47</v>
      </c>
      <c r="T695" s="48">
        <v>717</v>
      </c>
      <c r="U695" s="48">
        <v>68</v>
      </c>
      <c r="V695" s="48">
        <v>31</v>
      </c>
      <c r="W695" s="48">
        <v>452</v>
      </c>
      <c r="X695" s="48">
        <v>489.5</v>
      </c>
      <c r="Y695" s="48">
        <v>40</v>
      </c>
      <c r="Z695" s="48">
        <v>692</v>
      </c>
    </row>
    <row r="696" spans="1:26" ht="15" hidden="1" customHeight="1">
      <c r="A696" s="48" t="s">
        <v>1480</v>
      </c>
      <c r="B696" s="48" t="s">
        <v>1480</v>
      </c>
      <c r="C696" s="48" t="s">
        <v>1481</v>
      </c>
      <c r="D696" s="48" t="s">
        <v>50</v>
      </c>
      <c r="E696" s="48" t="s">
        <v>133</v>
      </c>
      <c r="F696" s="48">
        <v>107</v>
      </c>
      <c r="G696" s="48">
        <v>30</v>
      </c>
      <c r="H696" s="48">
        <v>429</v>
      </c>
      <c r="I696" s="48">
        <v>73</v>
      </c>
      <c r="J696" s="48">
        <v>50</v>
      </c>
      <c r="K696" s="48">
        <v>788</v>
      </c>
      <c r="L696" s="48">
        <v>122.5</v>
      </c>
      <c r="M696" s="48">
        <v>10</v>
      </c>
      <c r="N696" s="48">
        <v>146</v>
      </c>
      <c r="O696" s="48">
        <v>51</v>
      </c>
      <c r="P696" s="48">
        <v>46</v>
      </c>
      <c r="Q696" s="48">
        <v>812</v>
      </c>
      <c r="R696" s="48">
        <v>72</v>
      </c>
      <c r="S696" s="48">
        <v>52</v>
      </c>
      <c r="T696" s="48">
        <v>751</v>
      </c>
      <c r="U696" s="48">
        <v>64</v>
      </c>
      <c r="V696" s="48">
        <v>40</v>
      </c>
      <c r="W696" s="48">
        <v>593</v>
      </c>
      <c r="X696" s="48">
        <v>489.5</v>
      </c>
      <c r="Y696" s="48">
        <v>45</v>
      </c>
      <c r="Z696" s="48">
        <v>692</v>
      </c>
    </row>
    <row r="697" spans="1:26" ht="15" hidden="1" customHeight="1">
      <c r="A697" s="48" t="s">
        <v>1482</v>
      </c>
      <c r="B697" s="48" t="s">
        <v>1482</v>
      </c>
      <c r="C697" s="48" t="s">
        <v>1483</v>
      </c>
      <c r="D697" s="48" t="s">
        <v>50</v>
      </c>
      <c r="E697" s="48" t="s">
        <v>84</v>
      </c>
      <c r="F697" s="48">
        <v>108</v>
      </c>
      <c r="G697" s="48">
        <v>21</v>
      </c>
      <c r="H697" s="48">
        <v>391</v>
      </c>
      <c r="I697" s="48">
        <v>98</v>
      </c>
      <c r="J697" s="48">
        <v>23</v>
      </c>
      <c r="K697" s="48">
        <v>458</v>
      </c>
      <c r="L697" s="48">
        <v>41.5</v>
      </c>
      <c r="M697" s="48">
        <v>56</v>
      </c>
      <c r="N697" s="48">
        <v>950</v>
      </c>
      <c r="O697" s="48">
        <v>74</v>
      </c>
      <c r="P697" s="48">
        <v>20</v>
      </c>
      <c r="Q697" s="48">
        <v>345</v>
      </c>
      <c r="R697" s="48">
        <v>91</v>
      </c>
      <c r="S697" s="48">
        <v>5</v>
      </c>
      <c r="T697" s="48">
        <v>151</v>
      </c>
      <c r="U697" s="48">
        <v>77</v>
      </c>
      <c r="V697" s="48">
        <v>7</v>
      </c>
      <c r="W697" s="48">
        <v>162</v>
      </c>
      <c r="X697" s="48">
        <v>489.5</v>
      </c>
      <c r="Y697" s="48">
        <v>45</v>
      </c>
      <c r="Z697" s="48">
        <v>692</v>
      </c>
    </row>
    <row r="698" spans="1:26" ht="15" hidden="1" customHeight="1">
      <c r="A698" s="48" t="s">
        <v>1484</v>
      </c>
      <c r="B698" s="48" t="s">
        <v>1484</v>
      </c>
      <c r="C698" s="48" t="s">
        <v>1485</v>
      </c>
      <c r="D698" s="48" t="s">
        <v>50</v>
      </c>
      <c r="E698" s="48" t="s">
        <v>111</v>
      </c>
      <c r="F698" s="48">
        <v>101</v>
      </c>
      <c r="G698" s="48">
        <v>40</v>
      </c>
      <c r="H698" s="48">
        <v>688</v>
      </c>
      <c r="I698" s="48">
        <v>70</v>
      </c>
      <c r="J698" s="48">
        <v>43</v>
      </c>
      <c r="K698" s="48">
        <v>815</v>
      </c>
      <c r="L698" s="48">
        <v>124.5</v>
      </c>
      <c r="M698" s="48">
        <v>8</v>
      </c>
      <c r="N698" s="48">
        <v>103</v>
      </c>
      <c r="O698" s="48">
        <v>53</v>
      </c>
      <c r="P698" s="48">
        <v>44</v>
      </c>
      <c r="Q698" s="48">
        <v>786</v>
      </c>
      <c r="R698" s="48">
        <v>86</v>
      </c>
      <c r="S698" s="48">
        <v>13</v>
      </c>
      <c r="T698" s="48">
        <v>304</v>
      </c>
      <c r="U698" s="48">
        <v>55</v>
      </c>
      <c r="V698" s="48">
        <v>44</v>
      </c>
      <c r="W698" s="48">
        <v>802</v>
      </c>
      <c r="X698" s="48">
        <v>489.5</v>
      </c>
      <c r="Y698" s="48">
        <v>35</v>
      </c>
      <c r="Z698" s="48">
        <v>692</v>
      </c>
    </row>
    <row r="699" spans="1:26" ht="15" hidden="1" customHeight="1">
      <c r="A699" s="48" t="s">
        <v>1486</v>
      </c>
      <c r="B699" s="48" t="s">
        <v>1486</v>
      </c>
      <c r="C699" s="48" t="s">
        <v>1487</v>
      </c>
      <c r="D699" s="48" t="s">
        <v>50</v>
      </c>
      <c r="E699" s="48" t="s">
        <v>296</v>
      </c>
      <c r="F699" s="48">
        <v>95</v>
      </c>
      <c r="G699" s="48">
        <v>41</v>
      </c>
      <c r="H699" s="48">
        <v>837</v>
      </c>
      <c r="I699" s="48">
        <v>105</v>
      </c>
      <c r="J699" s="48">
        <v>18</v>
      </c>
      <c r="K699" s="48">
        <v>340</v>
      </c>
      <c r="L699" s="48">
        <v>97</v>
      </c>
      <c r="M699" s="48">
        <v>48</v>
      </c>
      <c r="N699" s="48">
        <v>743</v>
      </c>
      <c r="O699" s="48">
        <v>82</v>
      </c>
      <c r="P699" s="48">
        <v>6</v>
      </c>
      <c r="Q699" s="48">
        <v>171</v>
      </c>
      <c r="R699" s="48">
        <v>68</v>
      </c>
      <c r="S699" s="48">
        <v>48</v>
      </c>
      <c r="T699" s="48">
        <v>824</v>
      </c>
      <c r="U699" s="48">
        <v>42</v>
      </c>
      <c r="V699" s="48">
        <v>53</v>
      </c>
      <c r="W699" s="48">
        <v>925</v>
      </c>
      <c r="X699" s="48">
        <v>489</v>
      </c>
      <c r="Y699" s="48">
        <v>37</v>
      </c>
      <c r="Z699" s="48">
        <v>696</v>
      </c>
    </row>
    <row r="700" spans="1:26" ht="15" hidden="1" customHeight="1">
      <c r="A700" s="48" t="s">
        <v>1488</v>
      </c>
      <c r="B700" s="48" t="s">
        <v>1488</v>
      </c>
      <c r="C700" s="48" t="s">
        <v>1489</v>
      </c>
      <c r="D700" s="48" t="s">
        <v>50</v>
      </c>
      <c r="E700" s="48" t="s">
        <v>106</v>
      </c>
      <c r="F700" s="48">
        <v>111</v>
      </c>
      <c r="G700" s="48">
        <v>21</v>
      </c>
      <c r="H700" s="48">
        <v>271</v>
      </c>
      <c r="I700" s="48">
        <v>51</v>
      </c>
      <c r="J700" s="48">
        <v>51</v>
      </c>
      <c r="K700" s="48">
        <v>921</v>
      </c>
      <c r="L700" s="48">
        <v>130</v>
      </c>
      <c r="M700" s="48">
        <v>1</v>
      </c>
      <c r="N700" s="48">
        <v>34</v>
      </c>
      <c r="O700" s="48">
        <v>62</v>
      </c>
      <c r="P700" s="48">
        <v>30</v>
      </c>
      <c r="Q700" s="48">
        <v>607</v>
      </c>
      <c r="R700" s="48">
        <v>76</v>
      </c>
      <c r="S700" s="48">
        <v>30</v>
      </c>
      <c r="T700" s="48">
        <v>642</v>
      </c>
      <c r="U700" s="48">
        <v>59</v>
      </c>
      <c r="V700" s="48">
        <v>34</v>
      </c>
      <c r="W700" s="48">
        <v>729</v>
      </c>
      <c r="X700" s="48">
        <v>489</v>
      </c>
      <c r="Y700" s="48">
        <v>32</v>
      </c>
      <c r="Z700" s="48">
        <v>696</v>
      </c>
    </row>
    <row r="701" spans="1:26" ht="15" hidden="1" customHeight="1">
      <c r="A701" s="48" t="s">
        <v>1490</v>
      </c>
      <c r="B701" s="48" t="s">
        <v>1490</v>
      </c>
      <c r="C701" s="48" t="s">
        <v>1491</v>
      </c>
      <c r="D701" s="48" t="s">
        <v>50</v>
      </c>
      <c r="E701" s="48" t="s">
        <v>150</v>
      </c>
      <c r="F701" s="48">
        <v>100</v>
      </c>
      <c r="G701" s="48">
        <v>35</v>
      </c>
      <c r="H701" s="48">
        <v>715</v>
      </c>
      <c r="I701" s="48">
        <v>76</v>
      </c>
      <c r="J701" s="48">
        <v>49</v>
      </c>
      <c r="K701" s="48">
        <v>754</v>
      </c>
      <c r="L701" s="48">
        <v>128</v>
      </c>
      <c r="M701" s="48">
        <v>2</v>
      </c>
      <c r="N701" s="48">
        <v>58</v>
      </c>
      <c r="O701" s="48">
        <v>39</v>
      </c>
      <c r="P701" s="48">
        <v>54</v>
      </c>
      <c r="Q701" s="48">
        <v>912</v>
      </c>
      <c r="R701" s="48">
        <v>75</v>
      </c>
      <c r="S701" s="48">
        <v>46</v>
      </c>
      <c r="T701" s="48">
        <v>671</v>
      </c>
      <c r="U701" s="48">
        <v>71</v>
      </c>
      <c r="V701" s="48">
        <v>36</v>
      </c>
      <c r="W701" s="48">
        <v>342</v>
      </c>
      <c r="X701" s="48">
        <v>489</v>
      </c>
      <c r="Y701" s="48">
        <v>45</v>
      </c>
      <c r="Z701" s="48">
        <v>696</v>
      </c>
    </row>
    <row r="702" spans="1:26" ht="15" hidden="1" customHeight="1">
      <c r="A702" s="48" t="s">
        <v>1492</v>
      </c>
      <c r="B702" s="48" t="s">
        <v>1492</v>
      </c>
      <c r="C702" s="48" t="s">
        <v>1493</v>
      </c>
      <c r="D702" s="48" t="s">
        <v>50</v>
      </c>
      <c r="E702" s="48" t="s">
        <v>106</v>
      </c>
      <c r="F702" s="48">
        <v>109</v>
      </c>
      <c r="G702" s="48">
        <v>27</v>
      </c>
      <c r="H702" s="48">
        <v>353</v>
      </c>
      <c r="I702" s="48">
        <v>78</v>
      </c>
      <c r="J702" s="48">
        <v>41</v>
      </c>
      <c r="K702" s="48">
        <v>729</v>
      </c>
      <c r="L702" s="48">
        <v>97</v>
      </c>
      <c r="M702" s="48">
        <v>38</v>
      </c>
      <c r="N702" s="48">
        <v>743</v>
      </c>
      <c r="O702" s="48">
        <v>63</v>
      </c>
      <c r="P702" s="48">
        <v>27</v>
      </c>
      <c r="Q702" s="48">
        <v>581</v>
      </c>
      <c r="R702" s="48">
        <v>78</v>
      </c>
      <c r="S702" s="48">
        <v>24</v>
      </c>
      <c r="T702" s="48">
        <v>577</v>
      </c>
      <c r="U702" s="48">
        <v>64</v>
      </c>
      <c r="V702" s="48">
        <v>27</v>
      </c>
      <c r="W702" s="48">
        <v>593</v>
      </c>
      <c r="X702" s="48">
        <v>489</v>
      </c>
      <c r="Y702" s="48">
        <v>32</v>
      </c>
      <c r="Z702" s="48">
        <v>696</v>
      </c>
    </row>
    <row r="703" spans="1:26" ht="15" hidden="1" customHeight="1">
      <c r="A703" s="48" t="s">
        <v>1494</v>
      </c>
      <c r="B703" s="48" t="s">
        <v>1494</v>
      </c>
      <c r="C703" s="48" t="s">
        <v>1495</v>
      </c>
      <c r="D703" s="48" t="s">
        <v>50</v>
      </c>
      <c r="E703" s="48" t="s">
        <v>169</v>
      </c>
      <c r="F703" s="48">
        <v>109</v>
      </c>
      <c r="G703" s="48">
        <v>20</v>
      </c>
      <c r="H703" s="48">
        <v>353</v>
      </c>
      <c r="I703" s="48">
        <v>71</v>
      </c>
      <c r="J703" s="48">
        <v>49</v>
      </c>
      <c r="K703" s="48">
        <v>808</v>
      </c>
      <c r="L703" s="48">
        <v>111.5</v>
      </c>
      <c r="M703" s="48">
        <v>23</v>
      </c>
      <c r="N703" s="48">
        <v>427</v>
      </c>
      <c r="O703" s="48">
        <v>62</v>
      </c>
      <c r="P703" s="48">
        <v>33</v>
      </c>
      <c r="Q703" s="48">
        <v>607</v>
      </c>
      <c r="R703" s="48">
        <v>77</v>
      </c>
      <c r="S703" s="48">
        <v>33</v>
      </c>
      <c r="T703" s="48">
        <v>608</v>
      </c>
      <c r="U703" s="48">
        <v>58</v>
      </c>
      <c r="V703" s="48">
        <v>43</v>
      </c>
      <c r="W703" s="48">
        <v>754</v>
      </c>
      <c r="X703" s="48">
        <v>488.5</v>
      </c>
      <c r="Y703" s="48">
        <v>39</v>
      </c>
      <c r="Z703" s="48">
        <v>700</v>
      </c>
    </row>
    <row r="704" spans="1:26" ht="15" hidden="1" customHeight="1">
      <c r="A704" s="48" t="s">
        <v>1496</v>
      </c>
      <c r="B704" s="48" t="s">
        <v>1496</v>
      </c>
      <c r="C704" s="48" t="s">
        <v>1497</v>
      </c>
      <c r="D704" s="48" t="s">
        <v>50</v>
      </c>
      <c r="E704" s="48" t="s">
        <v>106</v>
      </c>
      <c r="F704" s="48">
        <v>123</v>
      </c>
      <c r="G704" s="48">
        <v>2</v>
      </c>
      <c r="H704" s="48">
        <v>20</v>
      </c>
      <c r="I704" s="48">
        <v>88</v>
      </c>
      <c r="J704" s="48">
        <v>30</v>
      </c>
      <c r="K704" s="48">
        <v>601</v>
      </c>
      <c r="L704" s="48">
        <v>121</v>
      </c>
      <c r="M704" s="48">
        <v>11</v>
      </c>
      <c r="N704" s="48">
        <v>173</v>
      </c>
      <c r="O704" s="48">
        <v>38</v>
      </c>
      <c r="P704" s="48">
        <v>55</v>
      </c>
      <c r="Q704" s="48">
        <v>917</v>
      </c>
      <c r="R704" s="48">
        <v>66</v>
      </c>
      <c r="S704" s="48">
        <v>49</v>
      </c>
      <c r="T704" s="48">
        <v>849</v>
      </c>
      <c r="U704" s="48">
        <v>52</v>
      </c>
      <c r="V704" s="48">
        <v>46</v>
      </c>
      <c r="W704" s="48">
        <v>849</v>
      </c>
      <c r="X704" s="48">
        <v>488</v>
      </c>
      <c r="Y704" s="48">
        <v>34</v>
      </c>
      <c r="Z704" s="48">
        <v>701</v>
      </c>
    </row>
    <row r="705" spans="1:26" ht="15" hidden="1" customHeight="1">
      <c r="A705" s="48" t="s">
        <v>1498</v>
      </c>
      <c r="B705" s="48" t="s">
        <v>1498</v>
      </c>
      <c r="C705" s="48" t="s">
        <v>1499</v>
      </c>
      <c r="D705" s="48" t="s">
        <v>50</v>
      </c>
      <c r="E705" s="48" t="s">
        <v>106</v>
      </c>
      <c r="F705" s="48">
        <v>124</v>
      </c>
      <c r="G705" s="48">
        <v>1</v>
      </c>
      <c r="H705" s="48">
        <v>17</v>
      </c>
      <c r="I705" s="48">
        <v>61</v>
      </c>
      <c r="J705" s="48">
        <v>45</v>
      </c>
      <c r="K705" s="48">
        <v>873</v>
      </c>
      <c r="L705" s="48">
        <v>118</v>
      </c>
      <c r="M705" s="48">
        <v>17</v>
      </c>
      <c r="N705" s="48">
        <v>263</v>
      </c>
      <c r="O705" s="48">
        <v>57</v>
      </c>
      <c r="P705" s="48">
        <v>39</v>
      </c>
      <c r="Q705" s="48">
        <v>713</v>
      </c>
      <c r="R705" s="48">
        <v>77</v>
      </c>
      <c r="S705" s="48">
        <v>27</v>
      </c>
      <c r="T705" s="48">
        <v>608</v>
      </c>
      <c r="U705" s="48">
        <v>51</v>
      </c>
      <c r="V705" s="48">
        <v>49</v>
      </c>
      <c r="W705" s="48">
        <v>862</v>
      </c>
      <c r="X705" s="48">
        <v>488</v>
      </c>
      <c r="Y705" s="48">
        <v>34</v>
      </c>
      <c r="Z705" s="48">
        <v>701</v>
      </c>
    </row>
    <row r="706" spans="1:26" ht="15" hidden="1" customHeight="1">
      <c r="A706" s="48" t="s">
        <v>1500</v>
      </c>
      <c r="B706" s="48" t="s">
        <v>1500</v>
      </c>
      <c r="C706" s="48" t="s">
        <v>1501</v>
      </c>
      <c r="D706" s="48" t="s">
        <v>50</v>
      </c>
      <c r="E706" s="48" t="s">
        <v>249</v>
      </c>
      <c r="F706" s="48">
        <v>100</v>
      </c>
      <c r="G706" s="48">
        <v>51</v>
      </c>
      <c r="H706" s="48">
        <v>715</v>
      </c>
      <c r="I706" s="48">
        <v>94</v>
      </c>
      <c r="J706" s="48">
        <v>28</v>
      </c>
      <c r="K706" s="48">
        <v>523</v>
      </c>
      <c r="L706" s="48">
        <v>97.5</v>
      </c>
      <c r="M706" s="48">
        <v>38</v>
      </c>
      <c r="N706" s="48">
        <v>737</v>
      </c>
      <c r="O706" s="48">
        <v>73</v>
      </c>
      <c r="P706" s="48">
        <v>21</v>
      </c>
      <c r="Q706" s="48">
        <v>370</v>
      </c>
      <c r="R706" s="48">
        <v>73</v>
      </c>
      <c r="S706" s="48">
        <v>33</v>
      </c>
      <c r="T706" s="48">
        <v>717</v>
      </c>
      <c r="U706" s="48">
        <v>50</v>
      </c>
      <c r="V706" s="48">
        <v>51</v>
      </c>
      <c r="W706" s="48">
        <v>873</v>
      </c>
      <c r="X706" s="48">
        <v>487.5</v>
      </c>
      <c r="Y706" s="48">
        <v>37</v>
      </c>
      <c r="Z706" s="48">
        <v>703</v>
      </c>
    </row>
    <row r="707" spans="1:26" ht="15" hidden="1" customHeight="1">
      <c r="A707" s="48" t="s">
        <v>1502</v>
      </c>
      <c r="B707" s="48" t="s">
        <v>1502</v>
      </c>
      <c r="C707" s="48" t="s">
        <v>1503</v>
      </c>
      <c r="D707" s="48" t="s">
        <v>50</v>
      </c>
      <c r="E707" s="48" t="s">
        <v>217</v>
      </c>
      <c r="F707" s="48">
        <v>114</v>
      </c>
      <c r="G707" s="48">
        <v>11</v>
      </c>
      <c r="H707" s="48">
        <v>170</v>
      </c>
      <c r="I707" s="48">
        <v>74</v>
      </c>
      <c r="J707" s="48">
        <v>47</v>
      </c>
      <c r="K707" s="48">
        <v>778</v>
      </c>
      <c r="L707" s="48">
        <v>112</v>
      </c>
      <c r="M707" s="48">
        <v>19</v>
      </c>
      <c r="N707" s="48">
        <v>413</v>
      </c>
      <c r="O707" s="48">
        <v>59</v>
      </c>
      <c r="P707" s="48">
        <v>42</v>
      </c>
      <c r="Q707" s="48">
        <v>672</v>
      </c>
      <c r="R707" s="48">
        <v>76</v>
      </c>
      <c r="S707" s="48">
        <v>37</v>
      </c>
      <c r="T707" s="48">
        <v>642</v>
      </c>
      <c r="U707" s="48">
        <v>52</v>
      </c>
      <c r="V707" s="48">
        <v>53</v>
      </c>
      <c r="W707" s="48">
        <v>849</v>
      </c>
      <c r="X707" s="48">
        <v>487</v>
      </c>
      <c r="Y707" s="48">
        <v>42</v>
      </c>
      <c r="Z707" s="48">
        <v>704</v>
      </c>
    </row>
    <row r="708" spans="1:26" ht="15" hidden="1" customHeight="1">
      <c r="A708" s="48" t="s">
        <v>1504</v>
      </c>
      <c r="B708" s="48" t="s">
        <v>1504</v>
      </c>
      <c r="C708" s="48" t="s">
        <v>1505</v>
      </c>
      <c r="D708" s="48" t="s">
        <v>50</v>
      </c>
      <c r="E708" s="48" t="s">
        <v>296</v>
      </c>
      <c r="F708" s="48">
        <v>111</v>
      </c>
      <c r="G708" s="48">
        <v>6</v>
      </c>
      <c r="H708" s="48">
        <v>271</v>
      </c>
      <c r="I708" s="48">
        <v>92</v>
      </c>
      <c r="J708" s="48">
        <v>32</v>
      </c>
      <c r="K708" s="48">
        <v>557</v>
      </c>
      <c r="L708" s="48">
        <v>104</v>
      </c>
      <c r="M708" s="48">
        <v>33</v>
      </c>
      <c r="N708" s="48">
        <v>600</v>
      </c>
      <c r="O708" s="48">
        <v>60</v>
      </c>
      <c r="P708" s="48">
        <v>39</v>
      </c>
      <c r="Q708" s="48">
        <v>647</v>
      </c>
      <c r="R708" s="48">
        <v>75</v>
      </c>
      <c r="S708" s="48">
        <v>39</v>
      </c>
      <c r="T708" s="48">
        <v>671</v>
      </c>
      <c r="U708" s="48">
        <v>45</v>
      </c>
      <c r="V708" s="48">
        <v>52</v>
      </c>
      <c r="W708" s="48">
        <v>916</v>
      </c>
      <c r="X708" s="48">
        <v>487</v>
      </c>
      <c r="Y708" s="48">
        <v>38</v>
      </c>
      <c r="Z708" s="48">
        <v>704</v>
      </c>
    </row>
    <row r="709" spans="1:26" ht="15" hidden="1" customHeight="1">
      <c r="A709" s="48" t="s">
        <v>1506</v>
      </c>
      <c r="B709" s="48" t="s">
        <v>1506</v>
      </c>
      <c r="C709" s="48" t="s">
        <v>1507</v>
      </c>
      <c r="D709" s="48" t="s">
        <v>50</v>
      </c>
      <c r="E709" s="48" t="s">
        <v>296</v>
      </c>
      <c r="F709" s="48">
        <v>103</v>
      </c>
      <c r="G709" s="48">
        <v>26</v>
      </c>
      <c r="H709" s="48">
        <v>606</v>
      </c>
      <c r="I709" s="48">
        <v>62</v>
      </c>
      <c r="J709" s="48">
        <v>48</v>
      </c>
      <c r="K709" s="48">
        <v>869</v>
      </c>
      <c r="L709" s="48">
        <v>113.5</v>
      </c>
      <c r="M709" s="48">
        <v>21</v>
      </c>
      <c r="N709" s="48">
        <v>374</v>
      </c>
      <c r="O709" s="48">
        <v>66</v>
      </c>
      <c r="P709" s="48">
        <v>31</v>
      </c>
      <c r="Q709" s="48">
        <v>513</v>
      </c>
      <c r="R709" s="48">
        <v>86</v>
      </c>
      <c r="S709" s="48">
        <v>16</v>
      </c>
      <c r="T709" s="48">
        <v>304</v>
      </c>
      <c r="U709" s="48">
        <v>56</v>
      </c>
      <c r="V709" s="48">
        <v>36</v>
      </c>
      <c r="W709" s="48">
        <v>789</v>
      </c>
      <c r="X709" s="48">
        <v>486.5</v>
      </c>
      <c r="Y709" s="48">
        <v>39</v>
      </c>
      <c r="Z709" s="48">
        <v>706</v>
      </c>
    </row>
    <row r="710" spans="1:26" ht="15" hidden="1" customHeight="1">
      <c r="A710" s="48" t="s">
        <v>1508</v>
      </c>
      <c r="B710" s="48" t="s">
        <v>1508</v>
      </c>
      <c r="C710" s="48" t="s">
        <v>1509</v>
      </c>
      <c r="D710" s="48" t="s">
        <v>50</v>
      </c>
      <c r="E710" s="48" t="s">
        <v>210</v>
      </c>
      <c r="F710" s="48">
        <v>105</v>
      </c>
      <c r="G710" s="48">
        <v>33</v>
      </c>
      <c r="H710" s="48">
        <v>515</v>
      </c>
      <c r="I710" s="48">
        <v>63</v>
      </c>
      <c r="J710" s="48">
        <v>53</v>
      </c>
      <c r="K710" s="48">
        <v>861</v>
      </c>
      <c r="L710" s="48">
        <v>105</v>
      </c>
      <c r="M710" s="48">
        <v>36</v>
      </c>
      <c r="N710" s="48">
        <v>578</v>
      </c>
      <c r="O710" s="48">
        <v>61</v>
      </c>
      <c r="P710" s="48">
        <v>43</v>
      </c>
      <c r="Q710" s="48">
        <v>627</v>
      </c>
      <c r="R710" s="48">
        <v>89</v>
      </c>
      <c r="S710" s="48">
        <v>13</v>
      </c>
      <c r="T710" s="48">
        <v>200</v>
      </c>
      <c r="U710" s="48">
        <v>63</v>
      </c>
      <c r="V710" s="48">
        <v>35</v>
      </c>
      <c r="W710" s="48">
        <v>625</v>
      </c>
      <c r="X710" s="48">
        <v>486</v>
      </c>
      <c r="Y710" s="48">
        <v>46</v>
      </c>
      <c r="Z710" s="48">
        <v>707</v>
      </c>
    </row>
    <row r="711" spans="1:26" ht="15" hidden="1" customHeight="1">
      <c r="A711" s="48" t="s">
        <v>1510</v>
      </c>
      <c r="B711" s="48" t="s">
        <v>1510</v>
      </c>
      <c r="C711" s="48" t="s">
        <v>1511</v>
      </c>
      <c r="D711" s="48" t="s">
        <v>50</v>
      </c>
      <c r="E711" s="48" t="s">
        <v>122</v>
      </c>
      <c r="F711" s="48">
        <v>94</v>
      </c>
      <c r="G711" s="48">
        <v>52</v>
      </c>
      <c r="H711" s="48">
        <v>856</v>
      </c>
      <c r="I711" s="48">
        <v>90</v>
      </c>
      <c r="J711" s="48">
        <v>46</v>
      </c>
      <c r="K711" s="48">
        <v>578</v>
      </c>
      <c r="L711" s="48">
        <v>99</v>
      </c>
      <c r="M711" s="48">
        <v>52</v>
      </c>
      <c r="N711" s="48">
        <v>707</v>
      </c>
      <c r="O711" s="48">
        <v>62</v>
      </c>
      <c r="P711" s="48">
        <v>46</v>
      </c>
      <c r="Q711" s="48">
        <v>607</v>
      </c>
      <c r="R711" s="48">
        <v>86</v>
      </c>
      <c r="S711" s="48">
        <v>41</v>
      </c>
      <c r="T711" s="48">
        <v>304</v>
      </c>
      <c r="U711" s="48">
        <v>55</v>
      </c>
      <c r="V711" s="48">
        <v>51</v>
      </c>
      <c r="W711" s="48">
        <v>802</v>
      </c>
      <c r="X711" s="48">
        <v>486</v>
      </c>
      <c r="Y711" s="48">
        <v>52</v>
      </c>
      <c r="Z711" s="48">
        <v>707</v>
      </c>
    </row>
    <row r="712" spans="1:26" ht="15" hidden="1" customHeight="1">
      <c r="A712" s="48" t="s">
        <v>1512</v>
      </c>
      <c r="B712" s="48" t="s">
        <v>1512</v>
      </c>
      <c r="C712" s="48" t="s">
        <v>1513</v>
      </c>
      <c r="D712" s="48" t="s">
        <v>50</v>
      </c>
      <c r="E712" s="48" t="s">
        <v>84</v>
      </c>
      <c r="F712" s="48">
        <v>87</v>
      </c>
      <c r="G712" s="48">
        <v>54</v>
      </c>
      <c r="H712" s="48">
        <v>922</v>
      </c>
      <c r="I712" s="48">
        <v>96</v>
      </c>
      <c r="J712" s="48">
        <v>25</v>
      </c>
      <c r="K712" s="48">
        <v>483</v>
      </c>
      <c r="L712" s="48">
        <v>74.5</v>
      </c>
      <c r="M712" s="48">
        <v>55</v>
      </c>
      <c r="N712" s="48">
        <v>917</v>
      </c>
      <c r="O712" s="48">
        <v>67</v>
      </c>
      <c r="P712" s="48">
        <v>30</v>
      </c>
      <c r="Q712" s="48">
        <v>497</v>
      </c>
      <c r="R712" s="48">
        <v>85</v>
      </c>
      <c r="S712" s="48">
        <v>17</v>
      </c>
      <c r="T712" s="48">
        <v>339</v>
      </c>
      <c r="U712" s="48">
        <v>76</v>
      </c>
      <c r="V712" s="48">
        <v>10</v>
      </c>
      <c r="W712" s="48">
        <v>194</v>
      </c>
      <c r="X712" s="48">
        <v>485.5</v>
      </c>
      <c r="Y712" s="48">
        <v>46</v>
      </c>
      <c r="Z712" s="48">
        <v>709</v>
      </c>
    </row>
    <row r="713" spans="1:26" ht="15" hidden="1" customHeight="1">
      <c r="A713" s="48" t="s">
        <v>1514</v>
      </c>
      <c r="B713" s="48" t="s">
        <v>1514</v>
      </c>
      <c r="C713" s="48" t="s">
        <v>1515</v>
      </c>
      <c r="D713" s="48" t="s">
        <v>50</v>
      </c>
      <c r="E713" s="48" t="s">
        <v>210</v>
      </c>
      <c r="F713" s="48">
        <v>112</v>
      </c>
      <c r="G713" s="48">
        <v>12</v>
      </c>
      <c r="H713" s="48">
        <v>226</v>
      </c>
      <c r="I713" s="48">
        <v>81</v>
      </c>
      <c r="J713" s="48">
        <v>44</v>
      </c>
      <c r="K713" s="48">
        <v>688</v>
      </c>
      <c r="L713" s="48">
        <v>102</v>
      </c>
      <c r="M713" s="48">
        <v>37</v>
      </c>
      <c r="N713" s="48">
        <v>642</v>
      </c>
      <c r="O713" s="48">
        <v>65</v>
      </c>
      <c r="P713" s="48">
        <v>37</v>
      </c>
      <c r="Q713" s="48">
        <v>539</v>
      </c>
      <c r="R713" s="48">
        <v>84</v>
      </c>
      <c r="S713" s="48">
        <v>28</v>
      </c>
      <c r="T713" s="48">
        <v>379</v>
      </c>
      <c r="U713" s="48">
        <v>41</v>
      </c>
      <c r="V713" s="48">
        <v>54</v>
      </c>
      <c r="W713" s="48">
        <v>931</v>
      </c>
      <c r="X713" s="48">
        <v>485</v>
      </c>
      <c r="Y713" s="48">
        <v>47</v>
      </c>
      <c r="Z713" s="48">
        <v>710</v>
      </c>
    </row>
    <row r="714" spans="1:26" ht="15" hidden="1" customHeight="1">
      <c r="A714" s="48" t="s">
        <v>1516</v>
      </c>
      <c r="B714" s="48" t="s">
        <v>1516</v>
      </c>
      <c r="C714" s="48" t="s">
        <v>1517</v>
      </c>
      <c r="D714" s="48" t="s">
        <v>50</v>
      </c>
      <c r="E714" s="48" t="s">
        <v>210</v>
      </c>
      <c r="F714" s="48">
        <v>105</v>
      </c>
      <c r="G714" s="48">
        <v>33</v>
      </c>
      <c r="H714" s="48">
        <v>515</v>
      </c>
      <c r="I714" s="48">
        <v>107</v>
      </c>
      <c r="J714" s="48">
        <v>20</v>
      </c>
      <c r="K714" s="48">
        <v>313</v>
      </c>
      <c r="L714" s="48">
        <v>77</v>
      </c>
      <c r="M714" s="48">
        <v>55</v>
      </c>
      <c r="N714" s="48">
        <v>905</v>
      </c>
      <c r="O714" s="48">
        <v>67</v>
      </c>
      <c r="P714" s="48">
        <v>30</v>
      </c>
      <c r="Q714" s="48">
        <v>497</v>
      </c>
      <c r="R714" s="48">
        <v>70</v>
      </c>
      <c r="S714" s="48">
        <v>51</v>
      </c>
      <c r="T714" s="48">
        <v>787</v>
      </c>
      <c r="U714" s="48">
        <v>59</v>
      </c>
      <c r="V714" s="48">
        <v>41</v>
      </c>
      <c r="W714" s="48">
        <v>729</v>
      </c>
      <c r="X714" s="48">
        <v>485</v>
      </c>
      <c r="Y714" s="48">
        <v>47</v>
      </c>
      <c r="Z714" s="48">
        <v>710</v>
      </c>
    </row>
    <row r="715" spans="1:26" ht="15" hidden="1" customHeight="1">
      <c r="A715" s="48" t="s">
        <v>1518</v>
      </c>
      <c r="B715" s="48" t="s">
        <v>1518</v>
      </c>
      <c r="C715" s="48" t="s">
        <v>1519</v>
      </c>
      <c r="D715" s="48" t="s">
        <v>50</v>
      </c>
      <c r="E715" s="48" t="s">
        <v>203</v>
      </c>
      <c r="F715" s="48">
        <v>101</v>
      </c>
      <c r="G715" s="48">
        <v>41</v>
      </c>
      <c r="H715" s="48">
        <v>688</v>
      </c>
      <c r="I715" s="48">
        <v>88</v>
      </c>
      <c r="J715" s="48">
        <v>27</v>
      </c>
      <c r="K715" s="48">
        <v>601</v>
      </c>
      <c r="L715" s="48">
        <v>122</v>
      </c>
      <c r="M715" s="48">
        <v>6</v>
      </c>
      <c r="N715" s="48">
        <v>154</v>
      </c>
      <c r="O715" s="48">
        <v>51</v>
      </c>
      <c r="P715" s="48">
        <v>46</v>
      </c>
      <c r="Q715" s="48">
        <v>812</v>
      </c>
      <c r="R715" s="48">
        <v>69</v>
      </c>
      <c r="S715" s="48">
        <v>45</v>
      </c>
      <c r="T715" s="48">
        <v>810</v>
      </c>
      <c r="U715" s="48">
        <v>54</v>
      </c>
      <c r="V715" s="48">
        <v>44</v>
      </c>
      <c r="W715" s="48">
        <v>817</v>
      </c>
      <c r="X715" s="48">
        <v>485</v>
      </c>
      <c r="Y715" s="48">
        <v>38</v>
      </c>
      <c r="Z715" s="48">
        <v>710</v>
      </c>
    </row>
    <row r="716" spans="1:26" ht="15" hidden="1" customHeight="1">
      <c r="A716" s="48" t="s">
        <v>1520</v>
      </c>
      <c r="B716" s="48" t="s">
        <v>1520</v>
      </c>
      <c r="C716" s="48" t="s">
        <v>1521</v>
      </c>
      <c r="D716" s="48" t="s">
        <v>50</v>
      </c>
      <c r="E716" s="48" t="s">
        <v>97</v>
      </c>
      <c r="F716" s="48">
        <v>105</v>
      </c>
      <c r="G716" s="48">
        <v>30</v>
      </c>
      <c r="H716" s="48">
        <v>515</v>
      </c>
      <c r="I716" s="48">
        <v>84</v>
      </c>
      <c r="J716" s="48">
        <v>38</v>
      </c>
      <c r="K716" s="48">
        <v>658</v>
      </c>
      <c r="L716" s="48">
        <v>105</v>
      </c>
      <c r="M716" s="48">
        <v>33</v>
      </c>
      <c r="N716" s="48">
        <v>578</v>
      </c>
      <c r="O716" s="48">
        <v>41</v>
      </c>
      <c r="P716" s="48">
        <v>52</v>
      </c>
      <c r="Q716" s="48">
        <v>902</v>
      </c>
      <c r="R716" s="48">
        <v>78</v>
      </c>
      <c r="S716" s="48">
        <v>37</v>
      </c>
      <c r="T716" s="48">
        <v>577</v>
      </c>
      <c r="U716" s="48">
        <v>72</v>
      </c>
      <c r="V716" s="48">
        <v>24</v>
      </c>
      <c r="W716" s="48">
        <v>312</v>
      </c>
      <c r="X716" s="48">
        <v>485</v>
      </c>
      <c r="Y716" s="48">
        <v>42</v>
      </c>
      <c r="Z716" s="48">
        <v>710</v>
      </c>
    </row>
    <row r="717" spans="1:26" ht="15" hidden="1" customHeight="1">
      <c r="A717" s="48" t="s">
        <v>1522</v>
      </c>
      <c r="B717" s="48" t="s">
        <v>1522</v>
      </c>
      <c r="C717" s="48" t="s">
        <v>1523</v>
      </c>
      <c r="D717" s="48" t="s">
        <v>50</v>
      </c>
      <c r="E717" s="48" t="s">
        <v>296</v>
      </c>
      <c r="F717" s="48">
        <v>107</v>
      </c>
      <c r="G717" s="48">
        <v>17</v>
      </c>
      <c r="H717" s="48">
        <v>429</v>
      </c>
      <c r="I717" s="48">
        <v>61</v>
      </c>
      <c r="J717" s="48">
        <v>49</v>
      </c>
      <c r="K717" s="48">
        <v>873</v>
      </c>
      <c r="L717" s="48">
        <v>113.5</v>
      </c>
      <c r="M717" s="48">
        <v>21</v>
      </c>
      <c r="N717" s="48">
        <v>374</v>
      </c>
      <c r="O717" s="48">
        <v>63</v>
      </c>
      <c r="P717" s="48">
        <v>34</v>
      </c>
      <c r="Q717" s="48">
        <v>581</v>
      </c>
      <c r="R717" s="48">
        <v>76</v>
      </c>
      <c r="S717" s="48">
        <v>38</v>
      </c>
      <c r="T717" s="48">
        <v>642</v>
      </c>
      <c r="U717" s="48">
        <v>64</v>
      </c>
      <c r="V717" s="48">
        <v>25</v>
      </c>
      <c r="W717" s="48">
        <v>593</v>
      </c>
      <c r="X717" s="48">
        <v>484.5</v>
      </c>
      <c r="Y717" s="48">
        <v>40</v>
      </c>
      <c r="Z717" s="48">
        <v>714</v>
      </c>
    </row>
    <row r="718" spans="1:26" ht="15" hidden="1" customHeight="1">
      <c r="A718" s="48" t="s">
        <v>1524</v>
      </c>
      <c r="B718" s="48" t="s">
        <v>1524</v>
      </c>
      <c r="C718" s="48" t="s">
        <v>1525</v>
      </c>
      <c r="D718" s="48" t="s">
        <v>50</v>
      </c>
      <c r="E718" s="48" t="s">
        <v>84</v>
      </c>
      <c r="F718" s="48">
        <v>114</v>
      </c>
      <c r="G718" s="48">
        <v>9</v>
      </c>
      <c r="H718" s="48">
        <v>170</v>
      </c>
      <c r="I718" s="48">
        <v>67</v>
      </c>
      <c r="J718" s="48">
        <v>51</v>
      </c>
      <c r="K718" s="48">
        <v>839</v>
      </c>
      <c r="L718" s="48">
        <v>112.5</v>
      </c>
      <c r="M718" s="48">
        <v>23</v>
      </c>
      <c r="N718" s="48">
        <v>401</v>
      </c>
      <c r="O718" s="48">
        <v>50</v>
      </c>
      <c r="P718" s="48">
        <v>52</v>
      </c>
      <c r="Q718" s="48">
        <v>826</v>
      </c>
      <c r="R718" s="48">
        <v>76</v>
      </c>
      <c r="S718" s="48">
        <v>37</v>
      </c>
      <c r="T718" s="48">
        <v>642</v>
      </c>
      <c r="U718" s="48">
        <v>65</v>
      </c>
      <c r="V718" s="48">
        <v>35</v>
      </c>
      <c r="W718" s="48">
        <v>554</v>
      </c>
      <c r="X718" s="48">
        <v>484.5</v>
      </c>
      <c r="Y718" s="48">
        <v>47</v>
      </c>
      <c r="Z718" s="48">
        <v>714</v>
      </c>
    </row>
    <row r="719" spans="1:26" ht="15" hidden="1" customHeight="1">
      <c r="A719" s="48" t="s">
        <v>1526</v>
      </c>
      <c r="B719" s="48" t="s">
        <v>1526</v>
      </c>
      <c r="C719" s="48" t="s">
        <v>1527</v>
      </c>
      <c r="D719" s="48" t="s">
        <v>50</v>
      </c>
      <c r="E719" s="48" t="s">
        <v>240</v>
      </c>
      <c r="F719" s="48">
        <v>100</v>
      </c>
      <c r="G719" s="48">
        <v>41</v>
      </c>
      <c r="H719" s="48">
        <v>715</v>
      </c>
      <c r="I719" s="48">
        <v>98</v>
      </c>
      <c r="J719" s="48">
        <v>25</v>
      </c>
      <c r="K719" s="48">
        <v>458</v>
      </c>
      <c r="L719" s="48">
        <v>92.5</v>
      </c>
      <c r="M719" s="48">
        <v>52</v>
      </c>
      <c r="N719" s="48">
        <v>801</v>
      </c>
      <c r="O719" s="48">
        <v>45</v>
      </c>
      <c r="P719" s="48">
        <v>52</v>
      </c>
      <c r="Q719" s="48">
        <v>878</v>
      </c>
      <c r="R719" s="48">
        <v>84</v>
      </c>
      <c r="S719" s="48">
        <v>17</v>
      </c>
      <c r="T719" s="48">
        <v>379</v>
      </c>
      <c r="U719" s="48">
        <v>65</v>
      </c>
      <c r="V719" s="48">
        <v>33</v>
      </c>
      <c r="W719" s="48">
        <v>554</v>
      </c>
      <c r="X719" s="48">
        <v>484.5</v>
      </c>
      <c r="Y719" s="48">
        <v>40</v>
      </c>
      <c r="Z719" s="48">
        <v>714</v>
      </c>
    </row>
    <row r="720" spans="1:26" ht="15" hidden="1" customHeight="1">
      <c r="A720" s="48" t="s">
        <v>1528</v>
      </c>
      <c r="B720" s="48" t="s">
        <v>1528</v>
      </c>
      <c r="C720" s="48" t="s">
        <v>1529</v>
      </c>
      <c r="D720" s="48" t="s">
        <v>50</v>
      </c>
      <c r="E720" s="48" t="s">
        <v>111</v>
      </c>
      <c r="F720" s="48">
        <v>99</v>
      </c>
      <c r="G720" s="48">
        <v>43</v>
      </c>
      <c r="H720" s="48">
        <v>754</v>
      </c>
      <c r="I720" s="48">
        <v>77</v>
      </c>
      <c r="J720" s="48">
        <v>37</v>
      </c>
      <c r="K720" s="48">
        <v>741</v>
      </c>
      <c r="L720" s="48">
        <v>98</v>
      </c>
      <c r="M720" s="48">
        <v>44</v>
      </c>
      <c r="N720" s="48">
        <v>728</v>
      </c>
      <c r="O720" s="48">
        <v>66</v>
      </c>
      <c r="P720" s="48">
        <v>25</v>
      </c>
      <c r="Q720" s="48">
        <v>513</v>
      </c>
      <c r="R720" s="48">
        <v>81</v>
      </c>
      <c r="S720" s="48">
        <v>25</v>
      </c>
      <c r="T720" s="48">
        <v>474</v>
      </c>
      <c r="U720" s="48">
        <v>63</v>
      </c>
      <c r="V720" s="48">
        <v>30</v>
      </c>
      <c r="W720" s="48">
        <v>625</v>
      </c>
      <c r="X720" s="48">
        <v>484</v>
      </c>
      <c r="Y720" s="48">
        <v>36</v>
      </c>
      <c r="Z720" s="48">
        <v>717</v>
      </c>
    </row>
    <row r="721" spans="1:26" ht="15" hidden="1" customHeight="1">
      <c r="A721" s="48" t="s">
        <v>1530</v>
      </c>
      <c r="B721" s="48" t="s">
        <v>1530</v>
      </c>
      <c r="C721" s="48" t="s">
        <v>1531</v>
      </c>
      <c r="D721" s="48" t="s">
        <v>50</v>
      </c>
      <c r="E721" s="48" t="s">
        <v>92</v>
      </c>
      <c r="F721" s="48">
        <v>85</v>
      </c>
      <c r="G721" s="48">
        <v>54</v>
      </c>
      <c r="H721" s="48">
        <v>930</v>
      </c>
      <c r="I721" s="48">
        <v>103</v>
      </c>
      <c r="J721" s="48">
        <v>13</v>
      </c>
      <c r="K721" s="48">
        <v>374</v>
      </c>
      <c r="L721" s="48">
        <v>81</v>
      </c>
      <c r="M721" s="48">
        <v>52</v>
      </c>
      <c r="N721" s="48">
        <v>889</v>
      </c>
      <c r="O721" s="48">
        <v>66</v>
      </c>
      <c r="P721" s="48">
        <v>25</v>
      </c>
      <c r="Q721" s="48">
        <v>513</v>
      </c>
      <c r="R721" s="48">
        <v>79</v>
      </c>
      <c r="S721" s="48">
        <v>31</v>
      </c>
      <c r="T721" s="48">
        <v>539</v>
      </c>
      <c r="U721" s="48">
        <v>70</v>
      </c>
      <c r="V721" s="48">
        <v>28</v>
      </c>
      <c r="W721" s="48">
        <v>380</v>
      </c>
      <c r="X721" s="48">
        <v>484</v>
      </c>
      <c r="Y721" s="48">
        <v>41</v>
      </c>
      <c r="Z721" s="48">
        <v>717</v>
      </c>
    </row>
    <row r="722" spans="1:26" ht="15" hidden="1" customHeight="1">
      <c r="A722" s="48" t="s">
        <v>1532</v>
      </c>
      <c r="B722" s="48" t="s">
        <v>1532</v>
      </c>
      <c r="C722" s="48" t="s">
        <v>1533</v>
      </c>
      <c r="D722" s="48" t="s">
        <v>50</v>
      </c>
      <c r="E722" s="48" t="s">
        <v>133</v>
      </c>
      <c r="F722" s="48">
        <v>91</v>
      </c>
      <c r="G722" s="48">
        <v>54</v>
      </c>
      <c r="H722" s="48">
        <v>890</v>
      </c>
      <c r="I722" s="48">
        <v>113</v>
      </c>
      <c r="J722" s="48">
        <v>14</v>
      </c>
      <c r="K722" s="48">
        <v>224</v>
      </c>
      <c r="L722" s="48">
        <v>79</v>
      </c>
      <c r="M722" s="48">
        <v>54</v>
      </c>
      <c r="N722" s="48">
        <v>900</v>
      </c>
      <c r="O722" s="48">
        <v>64</v>
      </c>
      <c r="P722" s="48">
        <v>33</v>
      </c>
      <c r="Q722" s="48">
        <v>559</v>
      </c>
      <c r="R722" s="48">
        <v>83</v>
      </c>
      <c r="S722" s="48">
        <v>28</v>
      </c>
      <c r="T722" s="48">
        <v>407</v>
      </c>
      <c r="U722" s="48">
        <v>54</v>
      </c>
      <c r="V722" s="48">
        <v>54</v>
      </c>
      <c r="W722" s="48">
        <v>817</v>
      </c>
      <c r="X722" s="48">
        <v>484</v>
      </c>
      <c r="Y722" s="48">
        <v>46</v>
      </c>
      <c r="Z722" s="48">
        <v>717</v>
      </c>
    </row>
    <row r="723" spans="1:26" ht="15" hidden="1" customHeight="1">
      <c r="A723" s="48" t="s">
        <v>1534</v>
      </c>
      <c r="B723" s="48" t="s">
        <v>1534</v>
      </c>
      <c r="C723" s="48" t="s">
        <v>1535</v>
      </c>
      <c r="D723" s="48" t="s">
        <v>50</v>
      </c>
      <c r="E723" s="48" t="s">
        <v>172</v>
      </c>
      <c r="F723" s="48">
        <v>99</v>
      </c>
      <c r="G723" s="48">
        <v>44</v>
      </c>
      <c r="H723" s="48">
        <v>754</v>
      </c>
      <c r="I723" s="48">
        <v>95</v>
      </c>
      <c r="J723" s="48">
        <v>26</v>
      </c>
      <c r="K723" s="48">
        <v>501</v>
      </c>
      <c r="L723" s="48">
        <v>89</v>
      </c>
      <c r="M723" s="48">
        <v>45</v>
      </c>
      <c r="N723" s="48">
        <v>841</v>
      </c>
      <c r="O723" s="48">
        <v>51</v>
      </c>
      <c r="P723" s="48">
        <v>49</v>
      </c>
      <c r="Q723" s="48">
        <v>812</v>
      </c>
      <c r="R723" s="48">
        <v>77</v>
      </c>
      <c r="S723" s="48">
        <v>31</v>
      </c>
      <c r="T723" s="48">
        <v>608</v>
      </c>
      <c r="U723" s="48">
        <v>73</v>
      </c>
      <c r="V723" s="48">
        <v>14</v>
      </c>
      <c r="W723" s="48">
        <v>275</v>
      </c>
      <c r="X723" s="48">
        <v>484</v>
      </c>
      <c r="Y723" s="48">
        <v>42</v>
      </c>
      <c r="Z723" s="48">
        <v>717</v>
      </c>
    </row>
    <row r="724" spans="1:26" ht="15" hidden="1" customHeight="1">
      <c r="A724" s="48" t="s">
        <v>1536</v>
      </c>
      <c r="B724" s="48" t="s">
        <v>1536</v>
      </c>
      <c r="C724" s="48" t="s">
        <v>1537</v>
      </c>
      <c r="D724" s="48" t="s">
        <v>50</v>
      </c>
      <c r="E724" s="48" t="s">
        <v>249</v>
      </c>
      <c r="F724" s="48">
        <v>121</v>
      </c>
      <c r="G724" s="48">
        <v>1</v>
      </c>
      <c r="H724" s="48">
        <v>30</v>
      </c>
      <c r="I724" s="48">
        <v>75</v>
      </c>
      <c r="J724" s="48">
        <v>44</v>
      </c>
      <c r="K724" s="48">
        <v>766</v>
      </c>
      <c r="L724" s="48">
        <v>99.5</v>
      </c>
      <c r="M724" s="48">
        <v>34</v>
      </c>
      <c r="N724" s="48">
        <v>694</v>
      </c>
      <c r="O724" s="48">
        <v>54</v>
      </c>
      <c r="P724" s="48">
        <v>42</v>
      </c>
      <c r="Q724" s="48">
        <v>766</v>
      </c>
      <c r="R724" s="48">
        <v>70</v>
      </c>
      <c r="S724" s="48">
        <v>36</v>
      </c>
      <c r="T724" s="48">
        <v>787</v>
      </c>
      <c r="U724" s="48">
        <v>64</v>
      </c>
      <c r="V724" s="48">
        <v>26</v>
      </c>
      <c r="W724" s="48">
        <v>593</v>
      </c>
      <c r="X724" s="48">
        <v>483.5</v>
      </c>
      <c r="Y724" s="48">
        <v>38</v>
      </c>
      <c r="Z724" s="48">
        <v>721</v>
      </c>
    </row>
    <row r="725" spans="1:26" ht="15" hidden="1" customHeight="1">
      <c r="A725" s="48" t="s">
        <v>1538</v>
      </c>
      <c r="B725" s="48" t="s">
        <v>1538</v>
      </c>
      <c r="C725" s="48" t="s">
        <v>1539</v>
      </c>
      <c r="D725" s="48" t="s">
        <v>50</v>
      </c>
      <c r="E725" s="48" t="s">
        <v>106</v>
      </c>
      <c r="F725" s="48">
        <v>100</v>
      </c>
      <c r="G725" s="48">
        <v>43</v>
      </c>
      <c r="H725" s="48">
        <v>715</v>
      </c>
      <c r="I725" s="48">
        <v>79</v>
      </c>
      <c r="J725" s="48">
        <v>39</v>
      </c>
      <c r="K725" s="48">
        <v>713</v>
      </c>
      <c r="L725" s="48">
        <v>121.5</v>
      </c>
      <c r="M725" s="48">
        <v>10</v>
      </c>
      <c r="N725" s="48">
        <v>160</v>
      </c>
      <c r="O725" s="48">
        <v>70</v>
      </c>
      <c r="P725" s="48">
        <v>16</v>
      </c>
      <c r="Q725" s="48">
        <v>429</v>
      </c>
      <c r="R725" s="48">
        <v>65</v>
      </c>
      <c r="S725" s="48">
        <v>50</v>
      </c>
      <c r="T725" s="48">
        <v>866</v>
      </c>
      <c r="U725" s="48">
        <v>48</v>
      </c>
      <c r="V725" s="48">
        <v>50</v>
      </c>
      <c r="W725" s="48">
        <v>893</v>
      </c>
      <c r="X725" s="48">
        <v>483.5</v>
      </c>
      <c r="Y725" s="48">
        <v>36</v>
      </c>
      <c r="Z725" s="48">
        <v>721</v>
      </c>
    </row>
    <row r="726" spans="1:26" ht="15" hidden="1" customHeight="1">
      <c r="A726" s="48" t="s">
        <v>1540</v>
      </c>
      <c r="B726" s="48" t="s">
        <v>1540</v>
      </c>
      <c r="C726" s="48" t="s">
        <v>1541</v>
      </c>
      <c r="D726" s="48" t="s">
        <v>50</v>
      </c>
      <c r="E726" s="48" t="s">
        <v>203</v>
      </c>
      <c r="F726" s="48">
        <v>104</v>
      </c>
      <c r="G726" s="48">
        <v>38</v>
      </c>
      <c r="H726" s="48">
        <v>573</v>
      </c>
      <c r="I726" s="48">
        <v>70</v>
      </c>
      <c r="J726" s="48">
        <v>45</v>
      </c>
      <c r="K726" s="48">
        <v>815</v>
      </c>
      <c r="L726" s="48">
        <v>99</v>
      </c>
      <c r="M726" s="48">
        <v>39</v>
      </c>
      <c r="N726" s="48">
        <v>707</v>
      </c>
      <c r="O726" s="48">
        <v>65</v>
      </c>
      <c r="P726" s="48">
        <v>33</v>
      </c>
      <c r="Q726" s="48">
        <v>539</v>
      </c>
      <c r="R726" s="48">
        <v>88</v>
      </c>
      <c r="S726" s="48">
        <v>15</v>
      </c>
      <c r="T726" s="48">
        <v>240</v>
      </c>
      <c r="U726" s="48">
        <v>57</v>
      </c>
      <c r="V726" s="48">
        <v>39</v>
      </c>
      <c r="W726" s="48">
        <v>770</v>
      </c>
      <c r="X726" s="48">
        <v>483</v>
      </c>
      <c r="Y726" s="48">
        <v>39</v>
      </c>
      <c r="Z726" s="48">
        <v>723</v>
      </c>
    </row>
    <row r="727" spans="1:26" ht="15" hidden="1" customHeight="1">
      <c r="A727" s="48" t="s">
        <v>1542</v>
      </c>
      <c r="B727" s="48" t="s">
        <v>1542</v>
      </c>
      <c r="C727" s="48" t="s">
        <v>1543</v>
      </c>
      <c r="D727" s="48" t="s">
        <v>50</v>
      </c>
      <c r="E727" s="48" t="s">
        <v>111</v>
      </c>
      <c r="F727" s="48">
        <v>100</v>
      </c>
      <c r="G727" s="48">
        <v>42</v>
      </c>
      <c r="H727" s="48">
        <v>715</v>
      </c>
      <c r="I727" s="48">
        <v>74</v>
      </c>
      <c r="J727" s="48">
        <v>39</v>
      </c>
      <c r="K727" s="48">
        <v>778</v>
      </c>
      <c r="L727" s="48">
        <v>107.5</v>
      </c>
      <c r="M727" s="48">
        <v>31</v>
      </c>
      <c r="N727" s="48">
        <v>532</v>
      </c>
      <c r="O727" s="48">
        <v>62</v>
      </c>
      <c r="P727" s="48">
        <v>31</v>
      </c>
      <c r="Q727" s="48">
        <v>607</v>
      </c>
      <c r="R727" s="48">
        <v>82</v>
      </c>
      <c r="S727" s="48">
        <v>21</v>
      </c>
      <c r="T727" s="48">
        <v>452</v>
      </c>
      <c r="U727" s="48">
        <v>57</v>
      </c>
      <c r="V727" s="48">
        <v>41</v>
      </c>
      <c r="W727" s="48">
        <v>770</v>
      </c>
      <c r="X727" s="48">
        <v>482.5</v>
      </c>
      <c r="Y727" s="48">
        <v>37</v>
      </c>
      <c r="Z727" s="48">
        <v>724</v>
      </c>
    </row>
    <row r="728" spans="1:26" ht="15" hidden="1" customHeight="1">
      <c r="A728" s="48" t="s">
        <v>1544</v>
      </c>
      <c r="B728" s="48" t="s">
        <v>1544</v>
      </c>
      <c r="C728" s="48" t="s">
        <v>1545</v>
      </c>
      <c r="D728" s="48" t="s">
        <v>50</v>
      </c>
      <c r="E728" s="48" t="s">
        <v>106</v>
      </c>
      <c r="F728" s="48">
        <v>109</v>
      </c>
      <c r="G728" s="48">
        <v>27</v>
      </c>
      <c r="H728" s="48">
        <v>353</v>
      </c>
      <c r="I728" s="48">
        <v>85</v>
      </c>
      <c r="J728" s="48">
        <v>33</v>
      </c>
      <c r="K728" s="48">
        <v>643</v>
      </c>
      <c r="L728" s="48">
        <v>88.5</v>
      </c>
      <c r="M728" s="48">
        <v>49</v>
      </c>
      <c r="N728" s="48">
        <v>848</v>
      </c>
      <c r="O728" s="48">
        <v>63</v>
      </c>
      <c r="P728" s="48">
        <v>27</v>
      </c>
      <c r="Q728" s="48">
        <v>581</v>
      </c>
      <c r="R728" s="48">
        <v>78</v>
      </c>
      <c r="S728" s="48">
        <v>24</v>
      </c>
      <c r="T728" s="48">
        <v>577</v>
      </c>
      <c r="U728" s="48">
        <v>59</v>
      </c>
      <c r="V728" s="48">
        <v>34</v>
      </c>
      <c r="W728" s="48">
        <v>729</v>
      </c>
      <c r="X728" s="48">
        <v>482.5</v>
      </c>
      <c r="Y728" s="48">
        <v>37</v>
      </c>
      <c r="Z728" s="48">
        <v>724</v>
      </c>
    </row>
    <row r="729" spans="1:26" ht="15" hidden="1" customHeight="1">
      <c r="A729" s="48" t="s">
        <v>1546</v>
      </c>
      <c r="B729" s="48" t="s">
        <v>1546</v>
      </c>
      <c r="C729" s="48" t="s">
        <v>1547</v>
      </c>
      <c r="D729" s="48" t="s">
        <v>50</v>
      </c>
      <c r="E729" s="48" t="s">
        <v>249</v>
      </c>
      <c r="F729" s="48">
        <v>105</v>
      </c>
      <c r="G729" s="48">
        <v>40</v>
      </c>
      <c r="H729" s="48">
        <v>515</v>
      </c>
      <c r="I729" s="48">
        <v>102</v>
      </c>
      <c r="J729" s="48">
        <v>19</v>
      </c>
      <c r="K729" s="48">
        <v>386</v>
      </c>
      <c r="L729" s="48">
        <v>73.5</v>
      </c>
      <c r="M729" s="48">
        <v>55</v>
      </c>
      <c r="N729" s="48">
        <v>920</v>
      </c>
      <c r="O729" s="48">
        <v>92</v>
      </c>
      <c r="P729" s="48">
        <v>3</v>
      </c>
      <c r="Q729" s="48">
        <v>48</v>
      </c>
      <c r="R729" s="48">
        <v>66</v>
      </c>
      <c r="S729" s="48">
        <v>42</v>
      </c>
      <c r="T729" s="48">
        <v>849</v>
      </c>
      <c r="U729" s="48">
        <v>44</v>
      </c>
      <c r="V729" s="48">
        <v>57</v>
      </c>
      <c r="W729" s="48">
        <v>918</v>
      </c>
      <c r="X729" s="48">
        <v>482.5</v>
      </c>
      <c r="Y729" s="48">
        <v>39</v>
      </c>
      <c r="Z729" s="48">
        <v>724</v>
      </c>
    </row>
    <row r="730" spans="1:26" ht="15" hidden="1" customHeight="1">
      <c r="A730" s="48" t="s">
        <v>1548</v>
      </c>
      <c r="B730" s="48" t="s">
        <v>1548</v>
      </c>
      <c r="C730" s="48" t="s">
        <v>1549</v>
      </c>
      <c r="D730" s="48" t="s">
        <v>50</v>
      </c>
      <c r="E730" s="48" t="s">
        <v>217</v>
      </c>
      <c r="F730" s="48">
        <v>113</v>
      </c>
      <c r="G730" s="48">
        <v>13</v>
      </c>
      <c r="H730" s="48">
        <v>196</v>
      </c>
      <c r="I730" s="48">
        <v>96</v>
      </c>
      <c r="J730" s="48">
        <v>31</v>
      </c>
      <c r="K730" s="48">
        <v>483</v>
      </c>
      <c r="L730" s="48">
        <v>94.5</v>
      </c>
      <c r="M730" s="48">
        <v>43</v>
      </c>
      <c r="N730" s="48">
        <v>779</v>
      </c>
      <c r="O730" s="48">
        <v>54</v>
      </c>
      <c r="P730" s="48">
        <v>47</v>
      </c>
      <c r="Q730" s="48">
        <v>766</v>
      </c>
      <c r="R730" s="48">
        <v>72</v>
      </c>
      <c r="S730" s="48">
        <v>46</v>
      </c>
      <c r="T730" s="48">
        <v>751</v>
      </c>
      <c r="U730" s="48">
        <v>53</v>
      </c>
      <c r="V730" s="48">
        <v>50</v>
      </c>
      <c r="W730" s="48">
        <v>832</v>
      </c>
      <c r="X730" s="48">
        <v>482.5</v>
      </c>
      <c r="Y730" s="48">
        <v>43</v>
      </c>
      <c r="Z730" s="48">
        <v>724</v>
      </c>
    </row>
    <row r="731" spans="1:26" ht="15" hidden="1" customHeight="1">
      <c r="A731" s="48" t="s">
        <v>1550</v>
      </c>
      <c r="B731" s="48" t="s">
        <v>1550</v>
      </c>
      <c r="C731" s="48" t="s">
        <v>1551</v>
      </c>
      <c r="D731" s="48" t="s">
        <v>50</v>
      </c>
      <c r="E731" s="48" t="s">
        <v>217</v>
      </c>
      <c r="F731" s="48">
        <v>100</v>
      </c>
      <c r="G731" s="48">
        <v>39</v>
      </c>
      <c r="H731" s="48">
        <v>715</v>
      </c>
      <c r="I731" s="48">
        <v>96</v>
      </c>
      <c r="J731" s="48">
        <v>31</v>
      </c>
      <c r="K731" s="48">
        <v>483</v>
      </c>
      <c r="L731" s="48">
        <v>96</v>
      </c>
      <c r="M731" s="48">
        <v>41</v>
      </c>
      <c r="N731" s="48">
        <v>762</v>
      </c>
      <c r="O731" s="48">
        <v>55</v>
      </c>
      <c r="P731" s="48">
        <v>46</v>
      </c>
      <c r="Q731" s="48">
        <v>748</v>
      </c>
      <c r="R731" s="48">
        <v>68</v>
      </c>
      <c r="S731" s="48">
        <v>52</v>
      </c>
      <c r="T731" s="48">
        <v>824</v>
      </c>
      <c r="U731" s="48">
        <v>67</v>
      </c>
      <c r="V731" s="48">
        <v>27</v>
      </c>
      <c r="W731" s="48">
        <v>489</v>
      </c>
      <c r="X731" s="48">
        <v>482</v>
      </c>
      <c r="Y731" s="48">
        <v>44</v>
      </c>
      <c r="Z731" s="48">
        <v>728</v>
      </c>
    </row>
    <row r="732" spans="1:26" ht="15" hidden="1" customHeight="1">
      <c r="A732" s="48" t="s">
        <v>1552</v>
      </c>
      <c r="B732" s="48" t="s">
        <v>1552</v>
      </c>
      <c r="C732" s="48" t="s">
        <v>1553</v>
      </c>
      <c r="D732" s="48" t="s">
        <v>50</v>
      </c>
      <c r="E732" s="48" t="s">
        <v>97</v>
      </c>
      <c r="F732" s="48">
        <v>112</v>
      </c>
      <c r="G732" s="48">
        <v>12</v>
      </c>
      <c r="H732" s="48">
        <v>226</v>
      </c>
      <c r="I732" s="48">
        <v>71</v>
      </c>
      <c r="J732" s="48">
        <v>48</v>
      </c>
      <c r="K732" s="48">
        <v>808</v>
      </c>
      <c r="L732" s="48">
        <v>94</v>
      </c>
      <c r="M732" s="48">
        <v>44</v>
      </c>
      <c r="N732" s="48">
        <v>783</v>
      </c>
      <c r="O732" s="48">
        <v>55</v>
      </c>
      <c r="P732" s="48">
        <v>42</v>
      </c>
      <c r="Q732" s="48">
        <v>748</v>
      </c>
      <c r="R732" s="48">
        <v>82</v>
      </c>
      <c r="S732" s="48">
        <v>32</v>
      </c>
      <c r="T732" s="48">
        <v>452</v>
      </c>
      <c r="U732" s="48">
        <v>68</v>
      </c>
      <c r="V732" s="48">
        <v>32</v>
      </c>
      <c r="W732" s="48">
        <v>452</v>
      </c>
      <c r="X732" s="48">
        <v>482</v>
      </c>
      <c r="Y732" s="48">
        <v>43</v>
      </c>
      <c r="Z732" s="48">
        <v>728</v>
      </c>
    </row>
    <row r="733" spans="1:26" ht="15" hidden="1" customHeight="1">
      <c r="A733" s="48" t="s">
        <v>1554</v>
      </c>
      <c r="B733" s="48" t="s">
        <v>1554</v>
      </c>
      <c r="C733" s="48" t="s">
        <v>1555</v>
      </c>
      <c r="D733" s="48" t="s">
        <v>50</v>
      </c>
      <c r="E733" s="48" t="s">
        <v>111</v>
      </c>
      <c r="F733" s="48">
        <v>110</v>
      </c>
      <c r="G733" s="48">
        <v>16</v>
      </c>
      <c r="H733" s="48">
        <v>310</v>
      </c>
      <c r="I733" s="48">
        <v>74</v>
      </c>
      <c r="J733" s="48">
        <v>39</v>
      </c>
      <c r="K733" s="48">
        <v>778</v>
      </c>
      <c r="L733" s="48">
        <v>77</v>
      </c>
      <c r="M733" s="48">
        <v>52</v>
      </c>
      <c r="N733" s="48">
        <v>905</v>
      </c>
      <c r="O733" s="48">
        <v>83</v>
      </c>
      <c r="P733" s="48">
        <v>6</v>
      </c>
      <c r="Q733" s="48">
        <v>153</v>
      </c>
      <c r="R733" s="48">
        <v>77</v>
      </c>
      <c r="S733" s="48">
        <v>31</v>
      </c>
      <c r="T733" s="48">
        <v>608</v>
      </c>
      <c r="U733" s="48">
        <v>61</v>
      </c>
      <c r="V733" s="48">
        <v>36</v>
      </c>
      <c r="W733" s="48">
        <v>686</v>
      </c>
      <c r="X733" s="48">
        <v>482</v>
      </c>
      <c r="Y733" s="48">
        <v>38</v>
      </c>
      <c r="Z733" s="48">
        <v>728</v>
      </c>
    </row>
    <row r="734" spans="1:26" ht="15" hidden="1" customHeight="1">
      <c r="A734" s="48" t="s">
        <v>1556</v>
      </c>
      <c r="B734" s="48" t="s">
        <v>1556</v>
      </c>
      <c r="C734" s="48" t="s">
        <v>1557</v>
      </c>
      <c r="D734" s="48" t="s">
        <v>50</v>
      </c>
      <c r="E734" s="48" t="s">
        <v>111</v>
      </c>
      <c r="F734" s="48">
        <v>107</v>
      </c>
      <c r="G734" s="48">
        <v>23</v>
      </c>
      <c r="H734" s="48">
        <v>429</v>
      </c>
      <c r="I734" s="48">
        <v>80</v>
      </c>
      <c r="J734" s="48">
        <v>34</v>
      </c>
      <c r="K734" s="48">
        <v>699</v>
      </c>
      <c r="L734" s="48">
        <v>113.5</v>
      </c>
      <c r="M734" s="48">
        <v>21</v>
      </c>
      <c r="N734" s="48">
        <v>374</v>
      </c>
      <c r="O734" s="48">
        <v>52</v>
      </c>
      <c r="P734" s="48">
        <v>46</v>
      </c>
      <c r="Q734" s="48">
        <v>798</v>
      </c>
      <c r="R734" s="48">
        <v>65</v>
      </c>
      <c r="S734" s="48">
        <v>49</v>
      </c>
      <c r="T734" s="48">
        <v>866</v>
      </c>
      <c r="U734" s="48">
        <v>64</v>
      </c>
      <c r="V734" s="48">
        <v>25</v>
      </c>
      <c r="W734" s="48">
        <v>593</v>
      </c>
      <c r="X734" s="48">
        <v>481.5</v>
      </c>
      <c r="Y734" s="48">
        <v>39</v>
      </c>
      <c r="Z734" s="48">
        <v>731</v>
      </c>
    </row>
    <row r="735" spans="1:26" ht="15" hidden="1" customHeight="1">
      <c r="A735" s="48" t="s">
        <v>1558</v>
      </c>
      <c r="B735" s="48" t="s">
        <v>1558</v>
      </c>
      <c r="C735" s="48" t="s">
        <v>1559</v>
      </c>
      <c r="D735" s="48" t="s">
        <v>50</v>
      </c>
      <c r="E735" s="48" t="s">
        <v>210</v>
      </c>
      <c r="F735" s="48">
        <v>103</v>
      </c>
      <c r="G735" s="48">
        <v>39</v>
      </c>
      <c r="H735" s="48">
        <v>606</v>
      </c>
      <c r="I735" s="48">
        <v>69</v>
      </c>
      <c r="J735" s="48">
        <v>49</v>
      </c>
      <c r="K735" s="48">
        <v>827</v>
      </c>
      <c r="L735" s="48">
        <v>109.5</v>
      </c>
      <c r="M735" s="48">
        <v>30</v>
      </c>
      <c r="N735" s="48">
        <v>490</v>
      </c>
      <c r="O735" s="48">
        <v>70</v>
      </c>
      <c r="P735" s="48">
        <v>20</v>
      </c>
      <c r="Q735" s="48">
        <v>429</v>
      </c>
      <c r="R735" s="48">
        <v>66</v>
      </c>
      <c r="S735" s="48">
        <v>52</v>
      </c>
      <c r="T735" s="48">
        <v>849</v>
      </c>
      <c r="U735" s="48">
        <v>64</v>
      </c>
      <c r="V735" s="48">
        <v>34</v>
      </c>
      <c r="W735" s="48">
        <v>593</v>
      </c>
      <c r="X735" s="48">
        <v>481.5</v>
      </c>
      <c r="Y735" s="48">
        <v>49</v>
      </c>
      <c r="Z735" s="48">
        <v>731</v>
      </c>
    </row>
    <row r="736" spans="1:26" ht="15" hidden="1" customHeight="1">
      <c r="A736" s="48" t="s">
        <v>1560</v>
      </c>
      <c r="B736" s="48" t="s">
        <v>1560</v>
      </c>
      <c r="C736" s="48" t="s">
        <v>1561</v>
      </c>
      <c r="D736" s="48" t="s">
        <v>50</v>
      </c>
      <c r="E736" s="48" t="s">
        <v>133</v>
      </c>
      <c r="F736" s="48">
        <v>102</v>
      </c>
      <c r="G736" s="48">
        <v>44</v>
      </c>
      <c r="H736" s="48">
        <v>655</v>
      </c>
      <c r="I736" s="48">
        <v>77</v>
      </c>
      <c r="J736" s="48">
        <v>46</v>
      </c>
      <c r="K736" s="48">
        <v>741</v>
      </c>
      <c r="L736" s="48">
        <v>110.5</v>
      </c>
      <c r="M736" s="48">
        <v>26</v>
      </c>
      <c r="N736" s="48">
        <v>465</v>
      </c>
      <c r="O736" s="48">
        <v>42</v>
      </c>
      <c r="P736" s="48">
        <v>56</v>
      </c>
      <c r="Q736" s="48">
        <v>898</v>
      </c>
      <c r="R736" s="48">
        <v>82</v>
      </c>
      <c r="S736" s="48">
        <v>32</v>
      </c>
      <c r="T736" s="48">
        <v>452</v>
      </c>
      <c r="U736" s="48">
        <v>68</v>
      </c>
      <c r="V736" s="48">
        <v>31</v>
      </c>
      <c r="W736" s="48">
        <v>452</v>
      </c>
      <c r="X736" s="48">
        <v>481.5</v>
      </c>
      <c r="Y736" s="48">
        <v>47</v>
      </c>
      <c r="Z736" s="48">
        <v>731</v>
      </c>
    </row>
    <row r="737" spans="1:26" ht="15" hidden="1" customHeight="1">
      <c r="A737" s="48" t="s">
        <v>1562</v>
      </c>
      <c r="B737" s="48" t="s">
        <v>1562</v>
      </c>
      <c r="C737" s="48" t="s">
        <v>1563</v>
      </c>
      <c r="D737" s="48" t="s">
        <v>50</v>
      </c>
      <c r="E737" s="48" t="s">
        <v>217</v>
      </c>
      <c r="F737" s="48">
        <v>102</v>
      </c>
      <c r="G737" s="48">
        <v>35</v>
      </c>
      <c r="H737" s="48">
        <v>655</v>
      </c>
      <c r="I737" s="48">
        <v>74</v>
      </c>
      <c r="J737" s="48">
        <v>47</v>
      </c>
      <c r="K737" s="48">
        <v>778</v>
      </c>
      <c r="L737" s="48">
        <v>100.5</v>
      </c>
      <c r="M737" s="48">
        <v>35</v>
      </c>
      <c r="N737" s="48">
        <v>675</v>
      </c>
      <c r="O737" s="48">
        <v>59</v>
      </c>
      <c r="P737" s="48">
        <v>42</v>
      </c>
      <c r="Q737" s="48">
        <v>672</v>
      </c>
      <c r="R737" s="48">
        <v>84</v>
      </c>
      <c r="S737" s="48">
        <v>16</v>
      </c>
      <c r="T737" s="48">
        <v>379</v>
      </c>
      <c r="U737" s="48">
        <v>62</v>
      </c>
      <c r="V737" s="48">
        <v>37</v>
      </c>
      <c r="W737" s="48">
        <v>657</v>
      </c>
      <c r="X737" s="48">
        <v>481.5</v>
      </c>
      <c r="Y737" s="48">
        <v>45</v>
      </c>
      <c r="Z737" s="48">
        <v>731</v>
      </c>
    </row>
    <row r="738" spans="1:26" ht="15" hidden="1" customHeight="1">
      <c r="A738" s="48" t="s">
        <v>1564</v>
      </c>
      <c r="B738" s="48" t="s">
        <v>1564</v>
      </c>
      <c r="C738" s="48" t="s">
        <v>1565</v>
      </c>
      <c r="D738" s="48" t="s">
        <v>50</v>
      </c>
      <c r="E738" s="48" t="s">
        <v>106</v>
      </c>
      <c r="F738" s="48">
        <v>118</v>
      </c>
      <c r="G738" s="48">
        <v>6</v>
      </c>
      <c r="H738" s="48">
        <v>69</v>
      </c>
      <c r="I738" s="48">
        <v>80</v>
      </c>
      <c r="J738" s="48">
        <v>36</v>
      </c>
      <c r="K738" s="48">
        <v>699</v>
      </c>
      <c r="L738" s="48">
        <v>92</v>
      </c>
      <c r="M738" s="48">
        <v>45</v>
      </c>
      <c r="N738" s="48">
        <v>809</v>
      </c>
      <c r="O738" s="48">
        <v>59</v>
      </c>
      <c r="P738" s="48">
        <v>36</v>
      </c>
      <c r="Q738" s="48">
        <v>672</v>
      </c>
      <c r="R738" s="48">
        <v>77</v>
      </c>
      <c r="S738" s="48">
        <v>27</v>
      </c>
      <c r="T738" s="48">
        <v>608</v>
      </c>
      <c r="U738" s="48">
        <v>55</v>
      </c>
      <c r="V738" s="48">
        <v>39</v>
      </c>
      <c r="W738" s="48">
        <v>802</v>
      </c>
      <c r="X738" s="48">
        <v>481</v>
      </c>
      <c r="Y738" s="48">
        <v>38</v>
      </c>
      <c r="Z738" s="48">
        <v>735</v>
      </c>
    </row>
    <row r="739" spans="1:26" ht="15" hidden="1" customHeight="1">
      <c r="A739" s="48" t="s">
        <v>1566</v>
      </c>
      <c r="B739" s="48" t="s">
        <v>1566</v>
      </c>
      <c r="C739" s="48" t="s">
        <v>1567</v>
      </c>
      <c r="D739" s="48" t="s">
        <v>50</v>
      </c>
      <c r="E739" s="48" t="s">
        <v>92</v>
      </c>
      <c r="F739" s="48">
        <v>90</v>
      </c>
      <c r="G739" s="48">
        <v>50</v>
      </c>
      <c r="H739" s="48">
        <v>905</v>
      </c>
      <c r="I739" s="48">
        <v>72</v>
      </c>
      <c r="J739" s="48">
        <v>49</v>
      </c>
      <c r="K739" s="48">
        <v>802</v>
      </c>
      <c r="L739" s="48">
        <v>118</v>
      </c>
      <c r="M739" s="48">
        <v>14</v>
      </c>
      <c r="N739" s="48">
        <v>263</v>
      </c>
      <c r="O739" s="48">
        <v>63</v>
      </c>
      <c r="P739" s="48">
        <v>35</v>
      </c>
      <c r="Q739" s="48">
        <v>581</v>
      </c>
      <c r="R739" s="48">
        <v>72</v>
      </c>
      <c r="S739" s="48">
        <v>49</v>
      </c>
      <c r="T739" s="48">
        <v>751</v>
      </c>
      <c r="U739" s="48">
        <v>66</v>
      </c>
      <c r="V739" s="48">
        <v>36</v>
      </c>
      <c r="W739" s="48">
        <v>519</v>
      </c>
      <c r="X739" s="48">
        <v>481</v>
      </c>
      <c r="Y739" s="48">
        <v>42</v>
      </c>
      <c r="Z739" s="48">
        <v>735</v>
      </c>
    </row>
    <row r="740" spans="1:26" ht="15" hidden="1" customHeight="1">
      <c r="A740" s="48" t="s">
        <v>1568</v>
      </c>
      <c r="B740" s="48" t="s">
        <v>1568</v>
      </c>
      <c r="C740" s="48" t="s">
        <v>1569</v>
      </c>
      <c r="D740" s="48" t="s">
        <v>50</v>
      </c>
      <c r="E740" s="48" t="s">
        <v>92</v>
      </c>
      <c r="F740" s="48">
        <v>100</v>
      </c>
      <c r="G740" s="48">
        <v>38</v>
      </c>
      <c r="H740" s="48">
        <v>715</v>
      </c>
      <c r="I740" s="48">
        <v>74</v>
      </c>
      <c r="J740" s="48">
        <v>48</v>
      </c>
      <c r="K740" s="48">
        <v>778</v>
      </c>
      <c r="L740" s="48">
        <v>102.5</v>
      </c>
      <c r="M740" s="48">
        <v>31</v>
      </c>
      <c r="N740" s="48">
        <v>635</v>
      </c>
      <c r="O740" s="48">
        <v>59</v>
      </c>
      <c r="P740" s="48">
        <v>39</v>
      </c>
      <c r="Q740" s="48">
        <v>672</v>
      </c>
      <c r="R740" s="48">
        <v>85</v>
      </c>
      <c r="S740" s="48">
        <v>17</v>
      </c>
      <c r="T740" s="48">
        <v>339</v>
      </c>
      <c r="U740" s="48">
        <v>60</v>
      </c>
      <c r="V740" s="48">
        <v>47</v>
      </c>
      <c r="W740" s="48">
        <v>706</v>
      </c>
      <c r="X740" s="48">
        <v>480.5</v>
      </c>
      <c r="Y740" s="48">
        <v>43</v>
      </c>
      <c r="Z740" s="48">
        <v>737</v>
      </c>
    </row>
    <row r="741" spans="1:26" ht="15" hidden="1" customHeight="1">
      <c r="A741" s="48" t="s">
        <v>1570</v>
      </c>
      <c r="B741" s="48" t="s">
        <v>1570</v>
      </c>
      <c r="C741" s="48" t="s">
        <v>1571</v>
      </c>
      <c r="D741" s="48" t="s">
        <v>50</v>
      </c>
      <c r="E741" s="48" t="s">
        <v>296</v>
      </c>
      <c r="F741" s="48">
        <v>105</v>
      </c>
      <c r="G741" s="48">
        <v>22</v>
      </c>
      <c r="H741" s="48">
        <v>515</v>
      </c>
      <c r="I741" s="48">
        <v>86</v>
      </c>
      <c r="J741" s="48">
        <v>34</v>
      </c>
      <c r="K741" s="48">
        <v>626</v>
      </c>
      <c r="L741" s="48">
        <v>103.5</v>
      </c>
      <c r="M741" s="48">
        <v>36</v>
      </c>
      <c r="N741" s="48">
        <v>612</v>
      </c>
      <c r="O741" s="48">
        <v>60</v>
      </c>
      <c r="P741" s="48">
        <v>39</v>
      </c>
      <c r="Q741" s="48">
        <v>647</v>
      </c>
      <c r="R741" s="48">
        <v>77</v>
      </c>
      <c r="S741" s="48">
        <v>34</v>
      </c>
      <c r="T741" s="48">
        <v>608</v>
      </c>
      <c r="U741" s="48">
        <v>49</v>
      </c>
      <c r="V741" s="48">
        <v>47</v>
      </c>
      <c r="W741" s="48">
        <v>883</v>
      </c>
      <c r="X741" s="48">
        <v>480.5</v>
      </c>
      <c r="Y741" s="48">
        <v>41</v>
      </c>
      <c r="Z741" s="48">
        <v>737</v>
      </c>
    </row>
    <row r="742" spans="1:26" ht="15" hidden="1" customHeight="1">
      <c r="A742" s="48" t="s">
        <v>1572</v>
      </c>
      <c r="B742" s="48" t="s">
        <v>1572</v>
      </c>
      <c r="C742" s="48" t="s">
        <v>1573</v>
      </c>
      <c r="D742" s="48" t="s">
        <v>50</v>
      </c>
      <c r="E742" s="48" t="s">
        <v>203</v>
      </c>
      <c r="F742" s="48">
        <v>95</v>
      </c>
      <c r="G742" s="48">
        <v>53</v>
      </c>
      <c r="H742" s="48">
        <v>837</v>
      </c>
      <c r="I742" s="48">
        <v>76</v>
      </c>
      <c r="J742" s="48">
        <v>40</v>
      </c>
      <c r="K742" s="48">
        <v>754</v>
      </c>
      <c r="L742" s="48">
        <v>87.5</v>
      </c>
      <c r="M742" s="48">
        <v>53</v>
      </c>
      <c r="N742" s="48">
        <v>855</v>
      </c>
      <c r="O742" s="48">
        <v>75</v>
      </c>
      <c r="P742" s="48">
        <v>18</v>
      </c>
      <c r="Q742" s="48">
        <v>324</v>
      </c>
      <c r="R742" s="48">
        <v>84</v>
      </c>
      <c r="S742" s="48">
        <v>23</v>
      </c>
      <c r="T742" s="48">
        <v>379</v>
      </c>
      <c r="U742" s="48">
        <v>62</v>
      </c>
      <c r="V742" s="48">
        <v>34</v>
      </c>
      <c r="W742" s="48">
        <v>657</v>
      </c>
      <c r="X742" s="48">
        <v>479.5</v>
      </c>
      <c r="Y742" s="48">
        <v>40</v>
      </c>
      <c r="Z742" s="48">
        <v>739</v>
      </c>
    </row>
    <row r="743" spans="1:26" ht="15" hidden="1" customHeight="1">
      <c r="A743" s="48" t="s">
        <v>1574</v>
      </c>
      <c r="B743" s="48" t="s">
        <v>1574</v>
      </c>
      <c r="C743" s="48" t="s">
        <v>1575</v>
      </c>
      <c r="D743" s="48" t="s">
        <v>50</v>
      </c>
      <c r="E743" s="48" t="s">
        <v>249</v>
      </c>
      <c r="F743" s="48">
        <v>106</v>
      </c>
      <c r="G743" s="48">
        <v>39</v>
      </c>
      <c r="H743" s="48">
        <v>477</v>
      </c>
      <c r="I743" s="48">
        <v>78</v>
      </c>
      <c r="J743" s="48">
        <v>42</v>
      </c>
      <c r="K743" s="48">
        <v>729</v>
      </c>
      <c r="L743" s="48">
        <v>107.5</v>
      </c>
      <c r="M743" s="48">
        <v>26</v>
      </c>
      <c r="N743" s="48">
        <v>532</v>
      </c>
      <c r="O743" s="48">
        <v>51</v>
      </c>
      <c r="P743" s="48">
        <v>46</v>
      </c>
      <c r="Q743" s="48">
        <v>812</v>
      </c>
      <c r="R743" s="48">
        <v>72</v>
      </c>
      <c r="S743" s="48">
        <v>35</v>
      </c>
      <c r="T743" s="48">
        <v>751</v>
      </c>
      <c r="U743" s="48">
        <v>65</v>
      </c>
      <c r="V743" s="48">
        <v>21</v>
      </c>
      <c r="W743" s="48">
        <v>554</v>
      </c>
      <c r="X743" s="48">
        <v>479.5</v>
      </c>
      <c r="Y743" s="48">
        <v>40</v>
      </c>
      <c r="Z743" s="48">
        <v>739</v>
      </c>
    </row>
    <row r="744" spans="1:26" ht="15" hidden="1" customHeight="1">
      <c r="A744" s="48" t="s">
        <v>1576</v>
      </c>
      <c r="B744" s="48" t="s">
        <v>1576</v>
      </c>
      <c r="C744" s="48" t="s">
        <v>1577</v>
      </c>
      <c r="D744" s="48" t="s">
        <v>50</v>
      </c>
      <c r="E744" s="48" t="s">
        <v>249</v>
      </c>
      <c r="F744" s="48">
        <v>89</v>
      </c>
      <c r="G744" s="48">
        <v>57</v>
      </c>
      <c r="H744" s="48">
        <v>909</v>
      </c>
      <c r="I744" s="48">
        <v>79</v>
      </c>
      <c r="J744" s="48">
        <v>41</v>
      </c>
      <c r="K744" s="48">
        <v>713</v>
      </c>
      <c r="L744" s="48">
        <v>90</v>
      </c>
      <c r="M744" s="48">
        <v>48</v>
      </c>
      <c r="N744" s="48">
        <v>829</v>
      </c>
      <c r="O744" s="48">
        <v>74</v>
      </c>
      <c r="P744" s="48">
        <v>18</v>
      </c>
      <c r="Q744" s="48">
        <v>345</v>
      </c>
      <c r="R744" s="48">
        <v>87</v>
      </c>
      <c r="S744" s="48">
        <v>5</v>
      </c>
      <c r="T744" s="48">
        <v>268</v>
      </c>
      <c r="U744" s="48">
        <v>60</v>
      </c>
      <c r="V744" s="48">
        <v>35</v>
      </c>
      <c r="W744" s="48">
        <v>706</v>
      </c>
      <c r="X744" s="48">
        <v>479</v>
      </c>
      <c r="Y744" s="48">
        <v>41</v>
      </c>
      <c r="Z744" s="48">
        <v>741</v>
      </c>
    </row>
    <row r="745" spans="1:26" ht="15" hidden="1" customHeight="1">
      <c r="A745" s="48" t="s">
        <v>1578</v>
      </c>
      <c r="B745" s="48" t="s">
        <v>1578</v>
      </c>
      <c r="C745" s="48" t="s">
        <v>1579</v>
      </c>
      <c r="D745" s="48" t="s">
        <v>50</v>
      </c>
      <c r="E745" s="48" t="s">
        <v>296</v>
      </c>
      <c r="F745" s="48">
        <v>95</v>
      </c>
      <c r="G745" s="48">
        <v>41</v>
      </c>
      <c r="H745" s="48">
        <v>837</v>
      </c>
      <c r="I745" s="48">
        <v>74</v>
      </c>
      <c r="J745" s="48">
        <v>42</v>
      </c>
      <c r="K745" s="48">
        <v>778</v>
      </c>
      <c r="L745" s="48">
        <v>107.5</v>
      </c>
      <c r="M745" s="48">
        <v>30</v>
      </c>
      <c r="N745" s="48">
        <v>532</v>
      </c>
      <c r="O745" s="48">
        <v>42</v>
      </c>
      <c r="P745" s="48">
        <v>51</v>
      </c>
      <c r="Q745" s="48">
        <v>898</v>
      </c>
      <c r="R745" s="48">
        <v>83</v>
      </c>
      <c r="S745" s="48">
        <v>20</v>
      </c>
      <c r="T745" s="48">
        <v>407</v>
      </c>
      <c r="U745" s="48">
        <v>77</v>
      </c>
      <c r="V745" s="48">
        <v>3</v>
      </c>
      <c r="W745" s="48">
        <v>162</v>
      </c>
      <c r="X745" s="48">
        <v>478.5</v>
      </c>
      <c r="Y745" s="48">
        <v>42</v>
      </c>
      <c r="Z745" s="48">
        <v>742</v>
      </c>
    </row>
    <row r="746" spans="1:26" ht="15" hidden="1" customHeight="1">
      <c r="A746" s="48" t="s">
        <v>1580</v>
      </c>
      <c r="B746" s="48" t="s">
        <v>1580</v>
      </c>
      <c r="C746" s="48" t="s">
        <v>1581</v>
      </c>
      <c r="D746" s="48" t="s">
        <v>50</v>
      </c>
      <c r="E746" s="48" t="s">
        <v>203</v>
      </c>
      <c r="F746" s="48">
        <v>108</v>
      </c>
      <c r="G746" s="48">
        <v>21</v>
      </c>
      <c r="H746" s="48">
        <v>391</v>
      </c>
      <c r="I746" s="48">
        <v>78</v>
      </c>
      <c r="J746" s="48">
        <v>39</v>
      </c>
      <c r="K746" s="48">
        <v>729</v>
      </c>
      <c r="L746" s="48">
        <v>92</v>
      </c>
      <c r="M746" s="48">
        <v>49</v>
      </c>
      <c r="N746" s="48">
        <v>809</v>
      </c>
      <c r="O746" s="48">
        <v>66</v>
      </c>
      <c r="P746" s="48">
        <v>31</v>
      </c>
      <c r="Q746" s="48">
        <v>513</v>
      </c>
      <c r="R746" s="48">
        <v>77</v>
      </c>
      <c r="S746" s="48">
        <v>32</v>
      </c>
      <c r="T746" s="48">
        <v>608</v>
      </c>
      <c r="U746" s="48">
        <v>57</v>
      </c>
      <c r="V746" s="48">
        <v>39</v>
      </c>
      <c r="W746" s="48">
        <v>770</v>
      </c>
      <c r="X746" s="48">
        <v>478</v>
      </c>
      <c r="Y746" s="48">
        <v>41</v>
      </c>
      <c r="Z746" s="48">
        <v>743</v>
      </c>
    </row>
    <row r="747" spans="1:26" ht="15" hidden="1" customHeight="1">
      <c r="A747" s="48" t="s">
        <v>1582</v>
      </c>
      <c r="B747" s="48" t="s">
        <v>1582</v>
      </c>
      <c r="C747" s="48" t="s">
        <v>1583</v>
      </c>
      <c r="D747" s="48" t="s">
        <v>50</v>
      </c>
      <c r="E747" s="48" t="s">
        <v>97</v>
      </c>
      <c r="F747" s="48">
        <v>111</v>
      </c>
      <c r="G747" s="48">
        <v>16</v>
      </c>
      <c r="H747" s="48">
        <v>271</v>
      </c>
      <c r="I747" s="48">
        <v>65</v>
      </c>
      <c r="J747" s="48">
        <v>52</v>
      </c>
      <c r="K747" s="48">
        <v>853</v>
      </c>
      <c r="L747" s="48">
        <v>97</v>
      </c>
      <c r="M747" s="48">
        <v>41</v>
      </c>
      <c r="N747" s="48">
        <v>743</v>
      </c>
      <c r="O747" s="48">
        <v>54</v>
      </c>
      <c r="P747" s="48">
        <v>43</v>
      </c>
      <c r="Q747" s="48">
        <v>766</v>
      </c>
      <c r="R747" s="48">
        <v>77</v>
      </c>
      <c r="S747" s="48">
        <v>39</v>
      </c>
      <c r="T747" s="48">
        <v>608</v>
      </c>
      <c r="U747" s="48">
        <v>74</v>
      </c>
      <c r="V747" s="48">
        <v>20</v>
      </c>
      <c r="W747" s="48">
        <v>247</v>
      </c>
      <c r="X747" s="48">
        <v>478</v>
      </c>
      <c r="Y747" s="48">
        <v>44</v>
      </c>
      <c r="Z747" s="48">
        <v>743</v>
      </c>
    </row>
    <row r="748" spans="1:26" ht="15" hidden="1" customHeight="1">
      <c r="A748" s="48" t="s">
        <v>1584</v>
      </c>
      <c r="B748" s="48" t="s">
        <v>1584</v>
      </c>
      <c r="C748" s="48" t="s">
        <v>1585</v>
      </c>
      <c r="D748" s="48" t="s">
        <v>50</v>
      </c>
      <c r="E748" s="48" t="s">
        <v>106</v>
      </c>
      <c r="F748" s="48">
        <v>114</v>
      </c>
      <c r="G748" s="48">
        <v>12</v>
      </c>
      <c r="H748" s="48">
        <v>170</v>
      </c>
      <c r="I748" s="48">
        <v>78</v>
      </c>
      <c r="J748" s="48">
        <v>41</v>
      </c>
      <c r="K748" s="48">
        <v>729</v>
      </c>
      <c r="L748" s="48">
        <v>100</v>
      </c>
      <c r="M748" s="48">
        <v>36</v>
      </c>
      <c r="N748" s="48">
        <v>680</v>
      </c>
      <c r="O748" s="48">
        <v>47</v>
      </c>
      <c r="P748" s="48">
        <v>51</v>
      </c>
      <c r="Q748" s="48">
        <v>863</v>
      </c>
      <c r="R748" s="48">
        <v>79</v>
      </c>
      <c r="S748" s="48">
        <v>19</v>
      </c>
      <c r="T748" s="48">
        <v>539</v>
      </c>
      <c r="U748" s="48">
        <v>60</v>
      </c>
      <c r="V748" s="48">
        <v>32</v>
      </c>
      <c r="W748" s="48">
        <v>706</v>
      </c>
      <c r="X748" s="48">
        <v>478</v>
      </c>
      <c r="Y748" s="48">
        <v>39</v>
      </c>
      <c r="Z748" s="48">
        <v>743</v>
      </c>
    </row>
    <row r="749" spans="1:26" ht="15" hidden="1" customHeight="1">
      <c r="A749" s="48" t="s">
        <v>1586</v>
      </c>
      <c r="B749" s="48" t="s">
        <v>1586</v>
      </c>
      <c r="C749" s="48" t="s">
        <v>1587</v>
      </c>
      <c r="D749" s="48" t="s">
        <v>50</v>
      </c>
      <c r="E749" s="48" t="s">
        <v>249</v>
      </c>
      <c r="F749" s="48">
        <v>98</v>
      </c>
      <c r="G749" s="48">
        <v>55</v>
      </c>
      <c r="H749" s="48">
        <v>774</v>
      </c>
      <c r="I749" s="48">
        <v>82</v>
      </c>
      <c r="J749" s="48">
        <v>39</v>
      </c>
      <c r="K749" s="48">
        <v>676</v>
      </c>
      <c r="L749" s="48">
        <v>97.5</v>
      </c>
      <c r="M749" s="48">
        <v>38</v>
      </c>
      <c r="N749" s="48">
        <v>737</v>
      </c>
      <c r="O749" s="48">
        <v>56</v>
      </c>
      <c r="P749" s="48">
        <v>39</v>
      </c>
      <c r="Q749" s="48">
        <v>731</v>
      </c>
      <c r="R749" s="48">
        <v>79</v>
      </c>
      <c r="S749" s="48">
        <v>19</v>
      </c>
      <c r="T749" s="48">
        <v>539</v>
      </c>
      <c r="U749" s="48">
        <v>65</v>
      </c>
      <c r="V749" s="48">
        <v>21</v>
      </c>
      <c r="W749" s="48">
        <v>554</v>
      </c>
      <c r="X749" s="48">
        <v>477.5</v>
      </c>
      <c r="Y749" s="48">
        <v>42</v>
      </c>
      <c r="Z749" s="48">
        <v>746</v>
      </c>
    </row>
    <row r="750" spans="1:26" ht="15" hidden="1" customHeight="1">
      <c r="A750" s="48" t="s">
        <v>1588</v>
      </c>
      <c r="B750" s="48" t="s">
        <v>1588</v>
      </c>
      <c r="C750" s="48" t="s">
        <v>1589</v>
      </c>
      <c r="D750" s="48" t="s">
        <v>50</v>
      </c>
      <c r="E750" s="48" t="s">
        <v>240</v>
      </c>
      <c r="F750" s="48">
        <v>101</v>
      </c>
      <c r="G750" s="48">
        <v>40</v>
      </c>
      <c r="H750" s="48">
        <v>688</v>
      </c>
      <c r="I750" s="48">
        <v>69</v>
      </c>
      <c r="J750" s="48">
        <v>50</v>
      </c>
      <c r="K750" s="48">
        <v>827</v>
      </c>
      <c r="L750" s="48">
        <v>114.5</v>
      </c>
      <c r="M750" s="48">
        <v>18</v>
      </c>
      <c r="N750" s="48">
        <v>340</v>
      </c>
      <c r="O750" s="48">
        <v>63</v>
      </c>
      <c r="P750" s="48">
        <v>38</v>
      </c>
      <c r="Q750" s="48">
        <v>581</v>
      </c>
      <c r="R750" s="48">
        <v>75</v>
      </c>
      <c r="S750" s="48">
        <v>36</v>
      </c>
      <c r="T750" s="48">
        <v>671</v>
      </c>
      <c r="U750" s="48">
        <v>55</v>
      </c>
      <c r="V750" s="48">
        <v>53</v>
      </c>
      <c r="W750" s="48">
        <v>802</v>
      </c>
      <c r="X750" s="48">
        <v>477.5</v>
      </c>
      <c r="Y750" s="48">
        <v>41</v>
      </c>
      <c r="Z750" s="48">
        <v>746</v>
      </c>
    </row>
    <row r="751" spans="1:26" ht="15" hidden="1" customHeight="1">
      <c r="A751" s="48" t="s">
        <v>1590</v>
      </c>
      <c r="B751" s="48" t="s">
        <v>1590</v>
      </c>
      <c r="C751" s="48" t="s">
        <v>1591</v>
      </c>
      <c r="D751" s="48" t="s">
        <v>50</v>
      </c>
      <c r="E751" s="48" t="s">
        <v>133</v>
      </c>
      <c r="F751" s="48">
        <v>108</v>
      </c>
      <c r="G751" s="48">
        <v>25</v>
      </c>
      <c r="H751" s="48">
        <v>391</v>
      </c>
      <c r="I751" s="48">
        <v>95</v>
      </c>
      <c r="J751" s="48">
        <v>36</v>
      </c>
      <c r="K751" s="48">
        <v>501</v>
      </c>
      <c r="L751" s="48">
        <v>81</v>
      </c>
      <c r="M751" s="48">
        <v>52</v>
      </c>
      <c r="N751" s="48">
        <v>889</v>
      </c>
      <c r="O751" s="48">
        <v>50</v>
      </c>
      <c r="P751" s="48">
        <v>47</v>
      </c>
      <c r="Q751" s="48">
        <v>826</v>
      </c>
      <c r="R751" s="48">
        <v>76</v>
      </c>
      <c r="S751" s="48">
        <v>46</v>
      </c>
      <c r="T751" s="48">
        <v>642</v>
      </c>
      <c r="U751" s="48">
        <v>67</v>
      </c>
      <c r="V751" s="48">
        <v>35</v>
      </c>
      <c r="W751" s="48">
        <v>489</v>
      </c>
      <c r="X751" s="48">
        <v>477</v>
      </c>
      <c r="Y751" s="48">
        <v>48</v>
      </c>
      <c r="Z751" s="48">
        <v>748</v>
      </c>
    </row>
    <row r="752" spans="1:26" ht="15" hidden="1" customHeight="1">
      <c r="A752" s="48" t="s">
        <v>1592</v>
      </c>
      <c r="B752" s="48" t="s">
        <v>1592</v>
      </c>
      <c r="C752" s="48" t="s">
        <v>1593</v>
      </c>
      <c r="D752" s="48" t="s">
        <v>50</v>
      </c>
      <c r="E752" s="48" t="s">
        <v>106</v>
      </c>
      <c r="F752" s="48">
        <v>93</v>
      </c>
      <c r="G752" s="48">
        <v>54</v>
      </c>
      <c r="H752" s="48">
        <v>868</v>
      </c>
      <c r="I752" s="48">
        <v>111</v>
      </c>
      <c r="J752" s="48">
        <v>11</v>
      </c>
      <c r="K752" s="48">
        <v>247</v>
      </c>
      <c r="L752" s="48">
        <v>77.5</v>
      </c>
      <c r="M752" s="48">
        <v>53</v>
      </c>
      <c r="N752" s="48">
        <v>902</v>
      </c>
      <c r="O752" s="48">
        <v>54</v>
      </c>
      <c r="P752" s="48">
        <v>42</v>
      </c>
      <c r="Q752" s="48">
        <v>766</v>
      </c>
      <c r="R752" s="48">
        <v>71</v>
      </c>
      <c r="S752" s="48">
        <v>38</v>
      </c>
      <c r="T752" s="48">
        <v>773</v>
      </c>
      <c r="U752" s="48">
        <v>70</v>
      </c>
      <c r="V752" s="48">
        <v>15</v>
      </c>
      <c r="W752" s="48">
        <v>380</v>
      </c>
      <c r="X752" s="48">
        <v>476.5</v>
      </c>
      <c r="Y752" s="48">
        <v>40</v>
      </c>
      <c r="Z752" s="48">
        <v>749</v>
      </c>
    </row>
    <row r="753" spans="1:26" ht="15" hidden="1" customHeight="1">
      <c r="A753" s="48" t="s">
        <v>1594</v>
      </c>
      <c r="B753" s="48" t="s">
        <v>1594</v>
      </c>
      <c r="C753" s="48" t="s">
        <v>1595</v>
      </c>
      <c r="D753" s="48" t="s">
        <v>50</v>
      </c>
      <c r="E753" s="48" t="s">
        <v>150</v>
      </c>
      <c r="F753" s="48">
        <v>110</v>
      </c>
      <c r="G753" s="48">
        <v>11</v>
      </c>
      <c r="H753" s="48">
        <v>310</v>
      </c>
      <c r="I753" s="48">
        <v>95</v>
      </c>
      <c r="J753" s="48">
        <v>40</v>
      </c>
      <c r="K753" s="48">
        <v>501</v>
      </c>
      <c r="L753" s="48">
        <v>89.5</v>
      </c>
      <c r="M753" s="48">
        <v>47</v>
      </c>
      <c r="N753" s="48">
        <v>836</v>
      </c>
      <c r="O753" s="48">
        <v>42</v>
      </c>
      <c r="P753" s="48">
        <v>53</v>
      </c>
      <c r="Q753" s="48">
        <v>898</v>
      </c>
      <c r="R753" s="48">
        <v>79</v>
      </c>
      <c r="S753" s="48">
        <v>37</v>
      </c>
      <c r="T753" s="48">
        <v>539</v>
      </c>
      <c r="U753" s="48">
        <v>61</v>
      </c>
      <c r="V753" s="48">
        <v>49</v>
      </c>
      <c r="W753" s="48">
        <v>686</v>
      </c>
      <c r="X753" s="48">
        <v>476.5</v>
      </c>
      <c r="Y753" s="48">
        <v>46</v>
      </c>
      <c r="Z753" s="48">
        <v>749</v>
      </c>
    </row>
    <row r="754" spans="1:26" ht="15" hidden="1" customHeight="1">
      <c r="A754" s="48" t="s">
        <v>1596</v>
      </c>
      <c r="B754" s="48" t="s">
        <v>1596</v>
      </c>
      <c r="C754" s="48" t="s">
        <v>1597</v>
      </c>
      <c r="D754" s="48" t="s">
        <v>50</v>
      </c>
      <c r="E754" s="48" t="s">
        <v>240</v>
      </c>
      <c r="F754" s="48">
        <v>105</v>
      </c>
      <c r="G754" s="48">
        <v>28</v>
      </c>
      <c r="H754" s="48">
        <v>515</v>
      </c>
      <c r="I754" s="48">
        <v>83</v>
      </c>
      <c r="J754" s="48">
        <v>39</v>
      </c>
      <c r="K754" s="48">
        <v>667</v>
      </c>
      <c r="L754" s="48">
        <v>95.5</v>
      </c>
      <c r="M754" s="48">
        <v>49</v>
      </c>
      <c r="N754" s="48">
        <v>769</v>
      </c>
      <c r="O754" s="48">
        <v>54</v>
      </c>
      <c r="P754" s="48">
        <v>45</v>
      </c>
      <c r="Q754" s="48">
        <v>766</v>
      </c>
      <c r="R754" s="48">
        <v>79</v>
      </c>
      <c r="S754" s="48">
        <v>30</v>
      </c>
      <c r="T754" s="48">
        <v>539</v>
      </c>
      <c r="U754" s="48">
        <v>60</v>
      </c>
      <c r="V754" s="48">
        <v>45</v>
      </c>
      <c r="W754" s="48">
        <v>706</v>
      </c>
      <c r="X754" s="48">
        <v>476.5</v>
      </c>
      <c r="Y754" s="48">
        <v>42</v>
      </c>
      <c r="Z754" s="48">
        <v>749</v>
      </c>
    </row>
    <row r="755" spans="1:26" ht="15" hidden="1" customHeight="1">
      <c r="A755" s="48" t="s">
        <v>1598</v>
      </c>
      <c r="B755" s="48" t="s">
        <v>1598</v>
      </c>
      <c r="C755" s="48" t="s">
        <v>1599</v>
      </c>
      <c r="D755" s="48" t="s">
        <v>50</v>
      </c>
      <c r="E755" s="48" t="s">
        <v>203</v>
      </c>
      <c r="F755" s="48">
        <v>95</v>
      </c>
      <c r="G755" s="48">
        <v>53</v>
      </c>
      <c r="H755" s="48">
        <v>837</v>
      </c>
      <c r="I755" s="48">
        <v>75</v>
      </c>
      <c r="J755" s="48">
        <v>42</v>
      </c>
      <c r="K755" s="48">
        <v>766</v>
      </c>
      <c r="L755" s="48">
        <v>103</v>
      </c>
      <c r="M755" s="48">
        <v>36</v>
      </c>
      <c r="N755" s="48">
        <v>630</v>
      </c>
      <c r="O755" s="48">
        <v>72</v>
      </c>
      <c r="P755" s="48">
        <v>22</v>
      </c>
      <c r="Q755" s="48">
        <v>392</v>
      </c>
      <c r="R755" s="48">
        <v>75</v>
      </c>
      <c r="S755" s="48">
        <v>36</v>
      </c>
      <c r="T755" s="48">
        <v>671</v>
      </c>
      <c r="U755" s="48">
        <v>56</v>
      </c>
      <c r="V755" s="48">
        <v>42</v>
      </c>
      <c r="W755" s="48">
        <v>789</v>
      </c>
      <c r="X755" s="48">
        <v>476</v>
      </c>
      <c r="Y755" s="48">
        <v>42</v>
      </c>
      <c r="Z755" s="48">
        <v>752</v>
      </c>
    </row>
    <row r="756" spans="1:26" ht="15" hidden="1" customHeight="1">
      <c r="A756" s="48" t="s">
        <v>1600</v>
      </c>
      <c r="B756" s="48" t="s">
        <v>1600</v>
      </c>
      <c r="C756" s="48" t="s">
        <v>1601</v>
      </c>
      <c r="D756" s="48" t="s">
        <v>50</v>
      </c>
      <c r="E756" s="48" t="s">
        <v>111</v>
      </c>
      <c r="F756" s="48">
        <v>86</v>
      </c>
      <c r="G756" s="48">
        <v>54</v>
      </c>
      <c r="H756" s="48">
        <v>928</v>
      </c>
      <c r="I756" s="48">
        <v>90</v>
      </c>
      <c r="J756" s="48">
        <v>27</v>
      </c>
      <c r="K756" s="48">
        <v>578</v>
      </c>
      <c r="L756" s="48">
        <v>72.5</v>
      </c>
      <c r="M756" s="48">
        <v>55</v>
      </c>
      <c r="N756" s="48">
        <v>922</v>
      </c>
      <c r="O756" s="48">
        <v>85</v>
      </c>
      <c r="P756" s="48">
        <v>5</v>
      </c>
      <c r="Q756" s="48">
        <v>117</v>
      </c>
      <c r="R756" s="48">
        <v>78</v>
      </c>
      <c r="S756" s="48">
        <v>30</v>
      </c>
      <c r="T756" s="48">
        <v>577</v>
      </c>
      <c r="U756" s="48">
        <v>64</v>
      </c>
      <c r="V756" s="48">
        <v>25</v>
      </c>
      <c r="W756" s="48">
        <v>593</v>
      </c>
      <c r="X756" s="48">
        <v>475.5</v>
      </c>
      <c r="Y756" s="48">
        <v>40</v>
      </c>
      <c r="Z756" s="48">
        <v>753</v>
      </c>
    </row>
    <row r="757" spans="1:26" ht="15" hidden="1" customHeight="1">
      <c r="A757" s="48" t="s">
        <v>1602</v>
      </c>
      <c r="B757" s="48" t="s">
        <v>1602</v>
      </c>
      <c r="C757" s="48" t="s">
        <v>1603</v>
      </c>
      <c r="D757" s="48" t="s">
        <v>50</v>
      </c>
      <c r="E757" s="48" t="s">
        <v>169</v>
      </c>
      <c r="F757" s="48">
        <v>103</v>
      </c>
      <c r="G757" s="48">
        <v>37</v>
      </c>
      <c r="H757" s="48">
        <v>606</v>
      </c>
      <c r="I757" s="48">
        <v>93</v>
      </c>
      <c r="J757" s="48">
        <v>28</v>
      </c>
      <c r="K757" s="48">
        <v>540</v>
      </c>
      <c r="L757" s="48">
        <v>98.5</v>
      </c>
      <c r="M757" s="48">
        <v>45</v>
      </c>
      <c r="N757" s="48">
        <v>719</v>
      </c>
      <c r="O757" s="48">
        <v>64</v>
      </c>
      <c r="P757" s="48">
        <v>29</v>
      </c>
      <c r="Q757" s="48">
        <v>559</v>
      </c>
      <c r="R757" s="48">
        <v>69</v>
      </c>
      <c r="S757" s="48">
        <v>48</v>
      </c>
      <c r="T757" s="48">
        <v>810</v>
      </c>
      <c r="U757" s="48">
        <v>48</v>
      </c>
      <c r="V757" s="48">
        <v>51</v>
      </c>
      <c r="W757" s="48">
        <v>893</v>
      </c>
      <c r="X757" s="48">
        <v>475.5</v>
      </c>
      <c r="Y757" s="48">
        <v>40</v>
      </c>
      <c r="Z757" s="48">
        <v>753</v>
      </c>
    </row>
    <row r="758" spans="1:26" ht="15" hidden="1" customHeight="1">
      <c r="A758" s="48" t="s">
        <v>1604</v>
      </c>
      <c r="B758" s="48" t="s">
        <v>1604</v>
      </c>
      <c r="C758" s="48" t="s">
        <v>1605</v>
      </c>
      <c r="D758" s="48" t="s">
        <v>50</v>
      </c>
      <c r="E758" s="48" t="s">
        <v>133</v>
      </c>
      <c r="F758" s="48">
        <v>106</v>
      </c>
      <c r="G758" s="48">
        <v>33</v>
      </c>
      <c r="H758" s="48">
        <v>477</v>
      </c>
      <c r="I758" s="48">
        <v>75</v>
      </c>
      <c r="J758" s="48">
        <v>49</v>
      </c>
      <c r="K758" s="48">
        <v>766</v>
      </c>
      <c r="L758" s="48">
        <v>116</v>
      </c>
      <c r="M758" s="48">
        <v>20</v>
      </c>
      <c r="N758" s="48">
        <v>309</v>
      </c>
      <c r="O758" s="48">
        <v>43</v>
      </c>
      <c r="P758" s="48">
        <v>54</v>
      </c>
      <c r="Q758" s="48">
        <v>890</v>
      </c>
      <c r="R758" s="48">
        <v>77</v>
      </c>
      <c r="S758" s="48">
        <v>43</v>
      </c>
      <c r="T758" s="48">
        <v>608</v>
      </c>
      <c r="U758" s="48">
        <v>58</v>
      </c>
      <c r="V758" s="48">
        <v>51</v>
      </c>
      <c r="W758" s="48">
        <v>754</v>
      </c>
      <c r="X758" s="48">
        <v>475</v>
      </c>
      <c r="Y758" s="48">
        <v>49</v>
      </c>
      <c r="Z758" s="48">
        <v>755</v>
      </c>
    </row>
    <row r="759" spans="1:26" ht="15" hidden="1" customHeight="1">
      <c r="A759" s="48" t="s">
        <v>1606</v>
      </c>
      <c r="B759" s="48" t="s">
        <v>1606</v>
      </c>
      <c r="C759" s="48" t="s">
        <v>1607</v>
      </c>
      <c r="D759" s="48" t="s">
        <v>50</v>
      </c>
      <c r="E759" s="48" t="s">
        <v>92</v>
      </c>
      <c r="F759" s="48">
        <v>104</v>
      </c>
      <c r="G759" s="48">
        <v>24</v>
      </c>
      <c r="H759" s="48">
        <v>573</v>
      </c>
      <c r="I759" s="48">
        <v>56</v>
      </c>
      <c r="J759" s="48">
        <v>56</v>
      </c>
      <c r="K759" s="48">
        <v>904</v>
      </c>
      <c r="L759" s="48">
        <v>112</v>
      </c>
      <c r="M759" s="48">
        <v>20</v>
      </c>
      <c r="N759" s="48">
        <v>413</v>
      </c>
      <c r="O759" s="48">
        <v>58</v>
      </c>
      <c r="P759" s="48">
        <v>40</v>
      </c>
      <c r="Q759" s="48">
        <v>698</v>
      </c>
      <c r="R759" s="48">
        <v>83</v>
      </c>
      <c r="S759" s="48">
        <v>26</v>
      </c>
      <c r="T759" s="48">
        <v>407</v>
      </c>
      <c r="U759" s="48">
        <v>62</v>
      </c>
      <c r="V759" s="48">
        <v>42</v>
      </c>
      <c r="W759" s="48">
        <v>657</v>
      </c>
      <c r="X759" s="48">
        <v>475</v>
      </c>
      <c r="Y759" s="48">
        <v>44</v>
      </c>
      <c r="Z759" s="48">
        <v>755</v>
      </c>
    </row>
    <row r="760" spans="1:26" ht="15" hidden="1" customHeight="1">
      <c r="A760" s="48" t="s">
        <v>1608</v>
      </c>
      <c r="B760" s="48" t="s">
        <v>1608</v>
      </c>
      <c r="C760" s="48" t="s">
        <v>1609</v>
      </c>
      <c r="D760" s="48" t="s">
        <v>50</v>
      </c>
      <c r="E760" s="48" t="s">
        <v>172</v>
      </c>
      <c r="F760" s="48">
        <v>116</v>
      </c>
      <c r="G760" s="48">
        <v>5</v>
      </c>
      <c r="H760" s="48">
        <v>117</v>
      </c>
      <c r="I760" s="48">
        <v>88</v>
      </c>
      <c r="J760" s="48">
        <v>33</v>
      </c>
      <c r="K760" s="48">
        <v>601</v>
      </c>
      <c r="L760" s="48">
        <v>101</v>
      </c>
      <c r="M760" s="48">
        <v>37</v>
      </c>
      <c r="N760" s="48">
        <v>661</v>
      </c>
      <c r="O760" s="48">
        <v>36</v>
      </c>
      <c r="P760" s="48">
        <v>57</v>
      </c>
      <c r="Q760" s="48">
        <v>925</v>
      </c>
      <c r="R760" s="48">
        <v>69</v>
      </c>
      <c r="S760" s="48">
        <v>46</v>
      </c>
      <c r="T760" s="48">
        <v>810</v>
      </c>
      <c r="U760" s="48">
        <v>65</v>
      </c>
      <c r="V760" s="48">
        <v>42</v>
      </c>
      <c r="W760" s="48">
        <v>554</v>
      </c>
      <c r="X760" s="48">
        <v>475</v>
      </c>
      <c r="Y760" s="48">
        <v>43</v>
      </c>
      <c r="Z760" s="48">
        <v>755</v>
      </c>
    </row>
    <row r="761" spans="1:26" ht="15" hidden="1" customHeight="1">
      <c r="A761" s="48" t="s">
        <v>1610</v>
      </c>
      <c r="B761" s="48" t="s">
        <v>1610</v>
      </c>
      <c r="C761" s="48" t="s">
        <v>1611</v>
      </c>
      <c r="D761" s="48" t="s">
        <v>50</v>
      </c>
      <c r="E761" s="48" t="s">
        <v>172</v>
      </c>
      <c r="F761" s="48">
        <v>111</v>
      </c>
      <c r="G761" s="48">
        <v>12</v>
      </c>
      <c r="H761" s="48">
        <v>271</v>
      </c>
      <c r="I761" s="48">
        <v>73</v>
      </c>
      <c r="J761" s="48">
        <v>46</v>
      </c>
      <c r="K761" s="48">
        <v>788</v>
      </c>
      <c r="L761" s="48">
        <v>107</v>
      </c>
      <c r="M761" s="48">
        <v>28</v>
      </c>
      <c r="N761" s="48">
        <v>546</v>
      </c>
      <c r="O761" s="48">
        <v>59</v>
      </c>
      <c r="P761" s="48">
        <v>36</v>
      </c>
      <c r="Q761" s="48">
        <v>672</v>
      </c>
      <c r="R761" s="48">
        <v>65</v>
      </c>
      <c r="S761" s="48">
        <v>51</v>
      </c>
      <c r="T761" s="48">
        <v>866</v>
      </c>
      <c r="U761" s="48">
        <v>60</v>
      </c>
      <c r="V761" s="48">
        <v>45</v>
      </c>
      <c r="W761" s="48">
        <v>706</v>
      </c>
      <c r="X761" s="48">
        <v>475</v>
      </c>
      <c r="Y761" s="48">
        <v>43</v>
      </c>
      <c r="Z761" s="48">
        <v>755</v>
      </c>
    </row>
    <row r="762" spans="1:26" ht="15" hidden="1" customHeight="1">
      <c r="A762" s="48" t="s">
        <v>1612</v>
      </c>
      <c r="B762" s="48" t="s">
        <v>1612</v>
      </c>
      <c r="C762" s="48" t="s">
        <v>1613</v>
      </c>
      <c r="D762" s="48" t="s">
        <v>50</v>
      </c>
      <c r="E762" s="48" t="s">
        <v>217</v>
      </c>
      <c r="F762" s="48">
        <v>93</v>
      </c>
      <c r="G762" s="48">
        <v>48</v>
      </c>
      <c r="H762" s="48">
        <v>868</v>
      </c>
      <c r="I762" s="48">
        <v>90</v>
      </c>
      <c r="J762" s="48">
        <v>38</v>
      </c>
      <c r="K762" s="48">
        <v>578</v>
      </c>
      <c r="L762" s="48">
        <v>93</v>
      </c>
      <c r="M762" s="48">
        <v>45</v>
      </c>
      <c r="N762" s="48">
        <v>796</v>
      </c>
      <c r="O762" s="48">
        <v>43</v>
      </c>
      <c r="P762" s="48">
        <v>54</v>
      </c>
      <c r="Q762" s="48">
        <v>890</v>
      </c>
      <c r="R762" s="48">
        <v>85</v>
      </c>
      <c r="S762" s="48">
        <v>12</v>
      </c>
      <c r="T762" s="48">
        <v>339</v>
      </c>
      <c r="U762" s="48">
        <v>71</v>
      </c>
      <c r="V762" s="48">
        <v>18</v>
      </c>
      <c r="W762" s="48">
        <v>342</v>
      </c>
      <c r="X762" s="48">
        <v>475</v>
      </c>
      <c r="Y762" s="48">
        <v>46</v>
      </c>
      <c r="Z762" s="48">
        <v>755</v>
      </c>
    </row>
    <row r="763" spans="1:26" ht="15" hidden="1" customHeight="1">
      <c r="A763" s="48" t="s">
        <v>1614</v>
      </c>
      <c r="B763" s="48" t="s">
        <v>1614</v>
      </c>
      <c r="C763" s="48" t="s">
        <v>1615</v>
      </c>
      <c r="D763" s="48" t="s">
        <v>50</v>
      </c>
      <c r="E763" s="48" t="s">
        <v>217</v>
      </c>
      <c r="F763" s="48">
        <v>111</v>
      </c>
      <c r="G763" s="48">
        <v>17</v>
      </c>
      <c r="H763" s="48">
        <v>271</v>
      </c>
      <c r="I763" s="48">
        <v>95</v>
      </c>
      <c r="J763" s="48">
        <v>33</v>
      </c>
      <c r="K763" s="48">
        <v>501</v>
      </c>
      <c r="L763" s="48">
        <v>74</v>
      </c>
      <c r="M763" s="48">
        <v>55</v>
      </c>
      <c r="N763" s="48">
        <v>918</v>
      </c>
      <c r="O763" s="48">
        <v>63</v>
      </c>
      <c r="P763" s="48">
        <v>32</v>
      </c>
      <c r="Q763" s="48">
        <v>581</v>
      </c>
      <c r="R763" s="48">
        <v>80</v>
      </c>
      <c r="S763" s="48">
        <v>27</v>
      </c>
      <c r="T763" s="48">
        <v>511</v>
      </c>
      <c r="U763" s="48">
        <v>52</v>
      </c>
      <c r="V763" s="48">
        <v>53</v>
      </c>
      <c r="W763" s="48">
        <v>849</v>
      </c>
      <c r="X763" s="48">
        <v>475</v>
      </c>
      <c r="Y763" s="48">
        <v>46</v>
      </c>
      <c r="Z763" s="48">
        <v>755</v>
      </c>
    </row>
    <row r="764" spans="1:26" ht="15" hidden="1" customHeight="1">
      <c r="A764" s="48" t="s">
        <v>1616</v>
      </c>
      <c r="B764" s="48" t="s">
        <v>1616</v>
      </c>
      <c r="C764" s="48" t="s">
        <v>1617</v>
      </c>
      <c r="D764" s="48" t="s">
        <v>50</v>
      </c>
      <c r="E764" s="48" t="s">
        <v>240</v>
      </c>
      <c r="F764" s="48">
        <v>105</v>
      </c>
      <c r="G764" s="48">
        <v>28</v>
      </c>
      <c r="H764" s="48">
        <v>515</v>
      </c>
      <c r="I764" s="48">
        <v>87</v>
      </c>
      <c r="J764" s="48">
        <v>35</v>
      </c>
      <c r="K764" s="48">
        <v>614</v>
      </c>
      <c r="L764" s="48">
        <v>104.5</v>
      </c>
      <c r="M764" s="48">
        <v>37</v>
      </c>
      <c r="N764" s="48">
        <v>593</v>
      </c>
      <c r="O764" s="48">
        <v>57</v>
      </c>
      <c r="P764" s="48">
        <v>41</v>
      </c>
      <c r="Q764" s="48">
        <v>713</v>
      </c>
      <c r="R764" s="48">
        <v>53</v>
      </c>
      <c r="S764" s="48">
        <v>56</v>
      </c>
      <c r="T764" s="48">
        <v>939</v>
      </c>
      <c r="U764" s="48">
        <v>68</v>
      </c>
      <c r="V764" s="48">
        <v>27</v>
      </c>
      <c r="W764" s="48">
        <v>452</v>
      </c>
      <c r="X764" s="48">
        <v>474.5</v>
      </c>
      <c r="Y764" s="48">
        <v>43</v>
      </c>
      <c r="Z764" s="48">
        <v>761</v>
      </c>
    </row>
    <row r="765" spans="1:26" ht="15" hidden="1" customHeight="1">
      <c r="A765" s="48" t="s">
        <v>1618</v>
      </c>
      <c r="B765" s="48" t="s">
        <v>1618</v>
      </c>
      <c r="C765" s="48" t="s">
        <v>1619</v>
      </c>
      <c r="D765" s="48" t="s">
        <v>50</v>
      </c>
      <c r="E765" s="48" t="s">
        <v>203</v>
      </c>
      <c r="F765" s="48">
        <v>96</v>
      </c>
      <c r="G765" s="48">
        <v>50</v>
      </c>
      <c r="H765" s="48">
        <v>814</v>
      </c>
      <c r="I765" s="48">
        <v>79</v>
      </c>
      <c r="J765" s="48">
        <v>37</v>
      </c>
      <c r="K765" s="48">
        <v>713</v>
      </c>
      <c r="L765" s="48">
        <v>98.5</v>
      </c>
      <c r="M765" s="48">
        <v>41</v>
      </c>
      <c r="N765" s="48">
        <v>719</v>
      </c>
      <c r="O765" s="48">
        <v>72</v>
      </c>
      <c r="P765" s="48">
        <v>22</v>
      </c>
      <c r="Q765" s="48">
        <v>392</v>
      </c>
      <c r="R765" s="48">
        <v>77</v>
      </c>
      <c r="S765" s="48">
        <v>32</v>
      </c>
      <c r="T765" s="48">
        <v>608</v>
      </c>
      <c r="U765" s="48">
        <v>52</v>
      </c>
      <c r="V765" s="48">
        <v>46</v>
      </c>
      <c r="W765" s="48">
        <v>849</v>
      </c>
      <c r="X765" s="48">
        <v>474.5</v>
      </c>
      <c r="Y765" s="48">
        <v>43</v>
      </c>
      <c r="Z765" s="48">
        <v>761</v>
      </c>
    </row>
    <row r="766" spans="1:26" ht="15" hidden="1" customHeight="1">
      <c r="A766" s="48" t="s">
        <v>1620</v>
      </c>
      <c r="B766" s="48" t="s">
        <v>1620</v>
      </c>
      <c r="C766" s="48" t="s">
        <v>1621</v>
      </c>
      <c r="D766" s="48" t="s">
        <v>50</v>
      </c>
      <c r="E766" s="48" t="s">
        <v>296</v>
      </c>
      <c r="F766" s="48">
        <v>94</v>
      </c>
      <c r="G766" s="48">
        <v>47</v>
      </c>
      <c r="H766" s="48">
        <v>856</v>
      </c>
      <c r="I766" s="48">
        <v>73</v>
      </c>
      <c r="J766" s="48">
        <v>43</v>
      </c>
      <c r="K766" s="48">
        <v>788</v>
      </c>
      <c r="L766" s="48">
        <v>108</v>
      </c>
      <c r="M766" s="48">
        <v>28</v>
      </c>
      <c r="N766" s="48">
        <v>519</v>
      </c>
      <c r="O766" s="48">
        <v>61</v>
      </c>
      <c r="P766" s="48">
        <v>37</v>
      </c>
      <c r="Q766" s="48">
        <v>627</v>
      </c>
      <c r="R766" s="48">
        <v>83</v>
      </c>
      <c r="S766" s="48">
        <v>20</v>
      </c>
      <c r="T766" s="48">
        <v>407</v>
      </c>
      <c r="U766" s="48">
        <v>55</v>
      </c>
      <c r="V766" s="48">
        <v>37</v>
      </c>
      <c r="W766" s="48">
        <v>802</v>
      </c>
      <c r="X766" s="48">
        <v>474</v>
      </c>
      <c r="Y766" s="48">
        <v>43</v>
      </c>
      <c r="Z766" s="48">
        <v>763</v>
      </c>
    </row>
    <row r="767" spans="1:26" ht="15" hidden="1" customHeight="1">
      <c r="A767" s="48" t="s">
        <v>1622</v>
      </c>
      <c r="B767" s="48" t="s">
        <v>1622</v>
      </c>
      <c r="C767" s="48" t="s">
        <v>1623</v>
      </c>
      <c r="D767" s="48" t="s">
        <v>50</v>
      </c>
      <c r="E767" s="48" t="s">
        <v>210</v>
      </c>
      <c r="F767" s="48">
        <v>111</v>
      </c>
      <c r="G767" s="48">
        <v>15</v>
      </c>
      <c r="H767" s="48">
        <v>271</v>
      </c>
      <c r="I767" s="48">
        <v>64</v>
      </c>
      <c r="J767" s="48">
        <v>52</v>
      </c>
      <c r="K767" s="48">
        <v>858</v>
      </c>
      <c r="L767" s="48">
        <v>116</v>
      </c>
      <c r="M767" s="48">
        <v>21</v>
      </c>
      <c r="N767" s="48">
        <v>309</v>
      </c>
      <c r="O767" s="48">
        <v>69</v>
      </c>
      <c r="P767" s="48">
        <v>22</v>
      </c>
      <c r="Q767" s="48">
        <v>452</v>
      </c>
      <c r="R767" s="48">
        <v>57</v>
      </c>
      <c r="S767" s="48">
        <v>54</v>
      </c>
      <c r="T767" s="48">
        <v>921</v>
      </c>
      <c r="U767" s="48">
        <v>57</v>
      </c>
      <c r="V767" s="48">
        <v>44</v>
      </c>
      <c r="W767" s="48">
        <v>770</v>
      </c>
      <c r="X767" s="48">
        <v>474</v>
      </c>
      <c r="Y767" s="48">
        <v>50</v>
      </c>
      <c r="Z767" s="48">
        <v>763</v>
      </c>
    </row>
    <row r="768" spans="1:26" ht="15" hidden="1" customHeight="1">
      <c r="A768" s="48" t="s">
        <v>1624</v>
      </c>
      <c r="B768" s="48" t="s">
        <v>1624</v>
      </c>
      <c r="C768" s="48" t="s">
        <v>1625</v>
      </c>
      <c r="D768" s="48" t="s">
        <v>50</v>
      </c>
      <c r="E768" s="48" t="s">
        <v>240</v>
      </c>
      <c r="F768" s="48">
        <v>108</v>
      </c>
      <c r="G768" s="48">
        <v>19</v>
      </c>
      <c r="H768" s="48">
        <v>391</v>
      </c>
      <c r="I768" s="48">
        <v>75</v>
      </c>
      <c r="J768" s="48">
        <v>44</v>
      </c>
      <c r="K768" s="48">
        <v>766</v>
      </c>
      <c r="L768" s="48">
        <v>89</v>
      </c>
      <c r="M768" s="48">
        <v>54</v>
      </c>
      <c r="N768" s="48">
        <v>841</v>
      </c>
      <c r="O768" s="48">
        <v>70</v>
      </c>
      <c r="P768" s="48">
        <v>27</v>
      </c>
      <c r="Q768" s="48">
        <v>429</v>
      </c>
      <c r="R768" s="48">
        <v>72</v>
      </c>
      <c r="S768" s="48">
        <v>44</v>
      </c>
      <c r="T768" s="48">
        <v>751</v>
      </c>
      <c r="U768" s="48">
        <v>60</v>
      </c>
      <c r="V768" s="48">
        <v>45</v>
      </c>
      <c r="W768" s="48">
        <v>706</v>
      </c>
      <c r="X768" s="48">
        <v>474</v>
      </c>
      <c r="Y768" s="48">
        <v>44</v>
      </c>
      <c r="Z768" s="48">
        <v>763</v>
      </c>
    </row>
    <row r="769" spans="1:26" ht="15" hidden="1" customHeight="1">
      <c r="A769" s="48" t="s">
        <v>1626</v>
      </c>
      <c r="B769" s="48" t="s">
        <v>1626</v>
      </c>
      <c r="C769" s="48" t="s">
        <v>1627</v>
      </c>
      <c r="D769" s="48" t="s">
        <v>50</v>
      </c>
      <c r="E769" s="48" t="s">
        <v>111</v>
      </c>
      <c r="F769" s="48">
        <v>93</v>
      </c>
      <c r="G769" s="48">
        <v>52</v>
      </c>
      <c r="H769" s="48">
        <v>868</v>
      </c>
      <c r="I769" s="48">
        <v>88</v>
      </c>
      <c r="J769" s="48">
        <v>30</v>
      </c>
      <c r="K769" s="48">
        <v>601</v>
      </c>
      <c r="L769" s="48">
        <v>83.5</v>
      </c>
      <c r="M769" s="48">
        <v>51</v>
      </c>
      <c r="N769" s="48">
        <v>877</v>
      </c>
      <c r="O769" s="48">
        <v>59</v>
      </c>
      <c r="P769" s="48">
        <v>37</v>
      </c>
      <c r="Q769" s="48">
        <v>672</v>
      </c>
      <c r="R769" s="48">
        <v>84</v>
      </c>
      <c r="S769" s="48">
        <v>17</v>
      </c>
      <c r="T769" s="48">
        <v>379</v>
      </c>
      <c r="U769" s="48">
        <v>66</v>
      </c>
      <c r="V769" s="48">
        <v>23</v>
      </c>
      <c r="W769" s="48">
        <v>519</v>
      </c>
      <c r="X769" s="48">
        <v>473.5</v>
      </c>
      <c r="Y769" s="48">
        <v>41</v>
      </c>
      <c r="Z769" s="48">
        <v>766</v>
      </c>
    </row>
    <row r="770" spans="1:26" ht="15" hidden="1" customHeight="1">
      <c r="A770" s="48" t="s">
        <v>1628</v>
      </c>
      <c r="B770" s="48" t="s">
        <v>1628</v>
      </c>
      <c r="C770" s="48" t="s">
        <v>1629</v>
      </c>
      <c r="D770" s="48" t="s">
        <v>50</v>
      </c>
      <c r="E770" s="48" t="s">
        <v>111</v>
      </c>
      <c r="F770" s="48">
        <v>108</v>
      </c>
      <c r="G770" s="48">
        <v>21</v>
      </c>
      <c r="H770" s="48">
        <v>391</v>
      </c>
      <c r="I770" s="48">
        <v>82</v>
      </c>
      <c r="J770" s="48">
        <v>32</v>
      </c>
      <c r="K770" s="48">
        <v>676</v>
      </c>
      <c r="L770" s="48">
        <v>96.5</v>
      </c>
      <c r="M770" s="48">
        <v>46</v>
      </c>
      <c r="N770" s="48">
        <v>750</v>
      </c>
      <c r="O770" s="48">
        <v>60</v>
      </c>
      <c r="P770" s="48">
        <v>34</v>
      </c>
      <c r="Q770" s="48">
        <v>647</v>
      </c>
      <c r="R770" s="48">
        <v>65</v>
      </c>
      <c r="S770" s="48">
        <v>49</v>
      </c>
      <c r="T770" s="48">
        <v>866</v>
      </c>
      <c r="U770" s="48">
        <v>62</v>
      </c>
      <c r="V770" s="48">
        <v>33</v>
      </c>
      <c r="W770" s="48">
        <v>657</v>
      </c>
      <c r="X770" s="48">
        <v>473.5</v>
      </c>
      <c r="Y770" s="48">
        <v>41</v>
      </c>
      <c r="Z770" s="48">
        <v>766</v>
      </c>
    </row>
    <row r="771" spans="1:26" ht="15" hidden="1" customHeight="1">
      <c r="A771" s="48" t="s">
        <v>1630</v>
      </c>
      <c r="B771" s="48" t="s">
        <v>1630</v>
      </c>
      <c r="C771" s="48" t="s">
        <v>1631</v>
      </c>
      <c r="D771" s="48" t="s">
        <v>50</v>
      </c>
      <c r="E771" s="48" t="s">
        <v>240</v>
      </c>
      <c r="F771" s="48">
        <v>105</v>
      </c>
      <c r="G771" s="48">
        <v>28</v>
      </c>
      <c r="H771" s="48">
        <v>515</v>
      </c>
      <c r="I771" s="48">
        <v>53</v>
      </c>
      <c r="J771" s="48">
        <v>56</v>
      </c>
      <c r="K771" s="48">
        <v>916</v>
      </c>
      <c r="L771" s="48">
        <v>111.5</v>
      </c>
      <c r="M771" s="48">
        <v>25</v>
      </c>
      <c r="N771" s="48">
        <v>427</v>
      </c>
      <c r="O771" s="48">
        <v>57</v>
      </c>
      <c r="P771" s="48">
        <v>41</v>
      </c>
      <c r="Q771" s="48">
        <v>713</v>
      </c>
      <c r="R771" s="48">
        <v>75</v>
      </c>
      <c r="S771" s="48">
        <v>36</v>
      </c>
      <c r="T771" s="48">
        <v>671</v>
      </c>
      <c r="U771" s="48">
        <v>72</v>
      </c>
      <c r="V771" s="48">
        <v>20</v>
      </c>
      <c r="W771" s="48">
        <v>312</v>
      </c>
      <c r="X771" s="48">
        <v>473.5</v>
      </c>
      <c r="Y771" s="48">
        <v>45</v>
      </c>
      <c r="Z771" s="48">
        <v>766</v>
      </c>
    </row>
    <row r="772" spans="1:26" ht="15" hidden="1" customHeight="1">
      <c r="A772" s="48" t="s">
        <v>1632</v>
      </c>
      <c r="B772" s="48" t="s">
        <v>1632</v>
      </c>
      <c r="C772" s="48" t="s">
        <v>1633</v>
      </c>
      <c r="D772" s="48" t="s">
        <v>50</v>
      </c>
      <c r="E772" s="48" t="s">
        <v>217</v>
      </c>
      <c r="F772" s="48">
        <v>107</v>
      </c>
      <c r="G772" s="48">
        <v>23</v>
      </c>
      <c r="H772" s="48">
        <v>429</v>
      </c>
      <c r="I772" s="48">
        <v>102</v>
      </c>
      <c r="J772" s="48">
        <v>20</v>
      </c>
      <c r="K772" s="48">
        <v>386</v>
      </c>
      <c r="L772" s="48">
        <v>98</v>
      </c>
      <c r="M772" s="48">
        <v>38</v>
      </c>
      <c r="N772" s="48">
        <v>728</v>
      </c>
      <c r="O772" s="48">
        <v>24</v>
      </c>
      <c r="P772" s="48">
        <v>57</v>
      </c>
      <c r="Q772" s="48">
        <v>949</v>
      </c>
      <c r="R772" s="48">
        <v>77</v>
      </c>
      <c r="S772" s="48">
        <v>34</v>
      </c>
      <c r="T772" s="48">
        <v>608</v>
      </c>
      <c r="U772" s="48">
        <v>65</v>
      </c>
      <c r="V772" s="48">
        <v>29</v>
      </c>
      <c r="W772" s="48">
        <v>554</v>
      </c>
      <c r="X772" s="48">
        <v>473</v>
      </c>
      <c r="Y772" s="48">
        <v>48</v>
      </c>
      <c r="Z772" s="48">
        <v>769</v>
      </c>
    </row>
    <row r="773" spans="1:26" ht="15" hidden="1" customHeight="1">
      <c r="A773" s="48" t="s">
        <v>1634</v>
      </c>
      <c r="B773" s="48" t="s">
        <v>1634</v>
      </c>
      <c r="C773" s="48" t="s">
        <v>1635</v>
      </c>
      <c r="D773" s="48" t="s">
        <v>50</v>
      </c>
      <c r="E773" s="48" t="s">
        <v>133</v>
      </c>
      <c r="F773" s="48">
        <v>97</v>
      </c>
      <c r="G773" s="48">
        <v>47</v>
      </c>
      <c r="H773" s="48">
        <v>795</v>
      </c>
      <c r="I773" s="48">
        <v>72</v>
      </c>
      <c r="J773" s="48">
        <v>52</v>
      </c>
      <c r="K773" s="48">
        <v>802</v>
      </c>
      <c r="L773" s="48">
        <v>104</v>
      </c>
      <c r="M773" s="48">
        <v>37</v>
      </c>
      <c r="N773" s="48">
        <v>600</v>
      </c>
      <c r="O773" s="48">
        <v>54</v>
      </c>
      <c r="P773" s="48">
        <v>45</v>
      </c>
      <c r="Q773" s="48">
        <v>766</v>
      </c>
      <c r="R773" s="48">
        <v>80</v>
      </c>
      <c r="S773" s="48">
        <v>37</v>
      </c>
      <c r="T773" s="48">
        <v>511</v>
      </c>
      <c r="U773" s="48">
        <v>65</v>
      </c>
      <c r="V773" s="48">
        <v>38</v>
      </c>
      <c r="W773" s="48">
        <v>554</v>
      </c>
      <c r="X773" s="48">
        <v>472</v>
      </c>
      <c r="Y773" s="48">
        <v>50</v>
      </c>
      <c r="Z773" s="48">
        <v>770</v>
      </c>
    </row>
    <row r="774" spans="1:26" ht="15" hidden="1" customHeight="1">
      <c r="A774" s="48" t="s">
        <v>1636</v>
      </c>
      <c r="B774" s="48" t="s">
        <v>1636</v>
      </c>
      <c r="C774" s="48" t="s">
        <v>1637</v>
      </c>
      <c r="D774" s="48" t="s">
        <v>50</v>
      </c>
      <c r="E774" s="48" t="s">
        <v>97</v>
      </c>
      <c r="F774" s="48">
        <v>105</v>
      </c>
      <c r="G774" s="48">
        <v>30</v>
      </c>
      <c r="H774" s="48">
        <v>515</v>
      </c>
      <c r="I774" s="48">
        <v>79</v>
      </c>
      <c r="J774" s="48">
        <v>42</v>
      </c>
      <c r="K774" s="48">
        <v>713</v>
      </c>
      <c r="L774" s="48">
        <v>109</v>
      </c>
      <c r="M774" s="48">
        <v>27</v>
      </c>
      <c r="N774" s="48">
        <v>500</v>
      </c>
      <c r="O774" s="48">
        <v>52</v>
      </c>
      <c r="P774" s="48">
        <v>45</v>
      </c>
      <c r="Q774" s="48">
        <v>798</v>
      </c>
      <c r="R774" s="48">
        <v>65</v>
      </c>
      <c r="S774" s="48">
        <v>53</v>
      </c>
      <c r="T774" s="48">
        <v>866</v>
      </c>
      <c r="U774" s="48">
        <v>62</v>
      </c>
      <c r="V774" s="48">
        <v>42</v>
      </c>
      <c r="W774" s="48">
        <v>657</v>
      </c>
      <c r="X774" s="48">
        <v>472</v>
      </c>
      <c r="Y774" s="48">
        <v>45</v>
      </c>
      <c r="Z774" s="48">
        <v>770</v>
      </c>
    </row>
    <row r="775" spans="1:26" ht="15" hidden="1" customHeight="1">
      <c r="A775" s="48" t="s">
        <v>1638</v>
      </c>
      <c r="B775" s="48" t="s">
        <v>1638</v>
      </c>
      <c r="C775" s="48" t="s">
        <v>1639</v>
      </c>
      <c r="D775" s="48" t="s">
        <v>50</v>
      </c>
      <c r="E775" s="48" t="s">
        <v>150</v>
      </c>
      <c r="F775" s="48">
        <v>78</v>
      </c>
      <c r="G775" s="48">
        <v>56</v>
      </c>
      <c r="H775" s="48">
        <v>941</v>
      </c>
      <c r="I775" s="48">
        <v>99</v>
      </c>
      <c r="J775" s="48">
        <v>33</v>
      </c>
      <c r="K775" s="48">
        <v>436</v>
      </c>
      <c r="L775" s="48">
        <v>87</v>
      </c>
      <c r="M775" s="48">
        <v>50</v>
      </c>
      <c r="N775" s="48">
        <v>861</v>
      </c>
      <c r="O775" s="48">
        <v>57</v>
      </c>
      <c r="P775" s="48">
        <v>43</v>
      </c>
      <c r="Q775" s="48">
        <v>713</v>
      </c>
      <c r="R775" s="48">
        <v>79</v>
      </c>
      <c r="S775" s="48">
        <v>37</v>
      </c>
      <c r="T775" s="48">
        <v>539</v>
      </c>
      <c r="U775" s="48">
        <v>72</v>
      </c>
      <c r="V775" s="48">
        <v>33</v>
      </c>
      <c r="W775" s="48">
        <v>312</v>
      </c>
      <c r="X775" s="48">
        <v>472</v>
      </c>
      <c r="Y775" s="48">
        <v>47</v>
      </c>
      <c r="Z775" s="48">
        <v>770</v>
      </c>
    </row>
    <row r="776" spans="1:26" ht="15" hidden="1" customHeight="1">
      <c r="A776" s="48" t="s">
        <v>1640</v>
      </c>
      <c r="B776" s="48" t="s">
        <v>1640</v>
      </c>
      <c r="C776" s="48" t="s">
        <v>1641</v>
      </c>
      <c r="D776" s="48" t="s">
        <v>50</v>
      </c>
      <c r="E776" s="48" t="s">
        <v>150</v>
      </c>
      <c r="F776" s="48">
        <v>97</v>
      </c>
      <c r="G776" s="48">
        <v>43</v>
      </c>
      <c r="H776" s="48">
        <v>795</v>
      </c>
      <c r="I776" s="48">
        <v>111</v>
      </c>
      <c r="J776" s="48">
        <v>19</v>
      </c>
      <c r="K776" s="48">
        <v>247</v>
      </c>
      <c r="L776" s="48">
        <v>87.5</v>
      </c>
      <c r="M776" s="48">
        <v>49</v>
      </c>
      <c r="N776" s="48">
        <v>855</v>
      </c>
      <c r="O776" s="48">
        <v>55</v>
      </c>
      <c r="P776" s="48">
        <v>44</v>
      </c>
      <c r="Q776" s="48">
        <v>748</v>
      </c>
      <c r="R776" s="48">
        <v>67</v>
      </c>
      <c r="S776" s="48">
        <v>52</v>
      </c>
      <c r="T776" s="48">
        <v>837</v>
      </c>
      <c r="U776" s="48">
        <v>54</v>
      </c>
      <c r="V776" s="48">
        <v>54</v>
      </c>
      <c r="W776" s="48">
        <v>817</v>
      </c>
      <c r="X776" s="48">
        <v>471.5</v>
      </c>
      <c r="Y776" s="48">
        <v>48</v>
      </c>
      <c r="Z776" s="48">
        <v>773</v>
      </c>
    </row>
    <row r="777" spans="1:26" ht="15" hidden="1" customHeight="1">
      <c r="A777" s="48" t="s">
        <v>1642</v>
      </c>
      <c r="B777" s="48" t="s">
        <v>1642</v>
      </c>
      <c r="C777" s="48" t="s">
        <v>1643</v>
      </c>
      <c r="D777" s="48" t="s">
        <v>50</v>
      </c>
      <c r="E777" s="48" t="s">
        <v>249</v>
      </c>
      <c r="F777" s="48">
        <v>103</v>
      </c>
      <c r="G777" s="48">
        <v>48</v>
      </c>
      <c r="H777" s="48">
        <v>606</v>
      </c>
      <c r="I777" s="48">
        <v>86</v>
      </c>
      <c r="J777" s="48">
        <v>34</v>
      </c>
      <c r="K777" s="48">
        <v>626</v>
      </c>
      <c r="L777" s="48">
        <v>93.5</v>
      </c>
      <c r="M777" s="48">
        <v>43</v>
      </c>
      <c r="N777" s="48">
        <v>790</v>
      </c>
      <c r="O777" s="48">
        <v>65</v>
      </c>
      <c r="P777" s="48">
        <v>32</v>
      </c>
      <c r="Q777" s="48">
        <v>539</v>
      </c>
      <c r="R777" s="48">
        <v>66</v>
      </c>
      <c r="S777" s="48">
        <v>42</v>
      </c>
      <c r="T777" s="48">
        <v>849</v>
      </c>
      <c r="U777" s="48">
        <v>58</v>
      </c>
      <c r="V777" s="48">
        <v>41</v>
      </c>
      <c r="W777" s="48">
        <v>754</v>
      </c>
      <c r="X777" s="48">
        <v>471.5</v>
      </c>
      <c r="Y777" s="48">
        <v>43</v>
      </c>
      <c r="Z777" s="48">
        <v>773</v>
      </c>
    </row>
    <row r="778" spans="1:26" ht="15" hidden="1" customHeight="1">
      <c r="A778" s="48" t="s">
        <v>1644</v>
      </c>
      <c r="B778" s="48" t="s">
        <v>1644</v>
      </c>
      <c r="C778" s="48" t="s">
        <v>1645</v>
      </c>
      <c r="D778" s="48" t="s">
        <v>50</v>
      </c>
      <c r="E778" s="48" t="s">
        <v>111</v>
      </c>
      <c r="F778" s="48">
        <v>94</v>
      </c>
      <c r="G778" s="48">
        <v>50</v>
      </c>
      <c r="H778" s="48">
        <v>856</v>
      </c>
      <c r="I778" s="48">
        <v>82</v>
      </c>
      <c r="J778" s="48">
        <v>32</v>
      </c>
      <c r="K778" s="48">
        <v>676</v>
      </c>
      <c r="L778" s="48">
        <v>113.5</v>
      </c>
      <c r="M778" s="48">
        <v>21</v>
      </c>
      <c r="N778" s="48">
        <v>374</v>
      </c>
      <c r="O778" s="48">
        <v>43</v>
      </c>
      <c r="P778" s="48">
        <v>50</v>
      </c>
      <c r="Q778" s="48">
        <v>890</v>
      </c>
      <c r="R778" s="48">
        <v>84</v>
      </c>
      <c r="S778" s="48">
        <v>17</v>
      </c>
      <c r="T778" s="48">
        <v>379</v>
      </c>
      <c r="U778" s="48">
        <v>55</v>
      </c>
      <c r="V778" s="48">
        <v>44</v>
      </c>
      <c r="W778" s="48">
        <v>802</v>
      </c>
      <c r="X778" s="48">
        <v>471.5</v>
      </c>
      <c r="Y778" s="48">
        <v>43</v>
      </c>
      <c r="Z778" s="48">
        <v>773</v>
      </c>
    </row>
    <row r="779" spans="1:26" ht="15" hidden="1" customHeight="1">
      <c r="A779" s="48" t="s">
        <v>1646</v>
      </c>
      <c r="B779" s="48" t="s">
        <v>1646</v>
      </c>
      <c r="C779" s="48" t="s">
        <v>1647</v>
      </c>
      <c r="D779" s="48" t="s">
        <v>50</v>
      </c>
      <c r="E779" s="48" t="s">
        <v>106</v>
      </c>
      <c r="F779" s="48">
        <v>103</v>
      </c>
      <c r="G779" s="48">
        <v>38</v>
      </c>
      <c r="H779" s="48">
        <v>606</v>
      </c>
      <c r="I779" s="48">
        <v>53</v>
      </c>
      <c r="J779" s="48">
        <v>50</v>
      </c>
      <c r="K779" s="48">
        <v>916</v>
      </c>
      <c r="L779" s="48">
        <v>118</v>
      </c>
      <c r="M779" s="48">
        <v>17</v>
      </c>
      <c r="N779" s="48">
        <v>263</v>
      </c>
      <c r="O779" s="48">
        <v>70</v>
      </c>
      <c r="P779" s="48">
        <v>16</v>
      </c>
      <c r="Q779" s="48">
        <v>429</v>
      </c>
      <c r="R779" s="48">
        <v>69</v>
      </c>
      <c r="S779" s="48">
        <v>43</v>
      </c>
      <c r="T779" s="48">
        <v>810</v>
      </c>
      <c r="U779" s="48">
        <v>58</v>
      </c>
      <c r="V779" s="48">
        <v>37</v>
      </c>
      <c r="W779" s="48">
        <v>754</v>
      </c>
      <c r="X779" s="48">
        <v>471</v>
      </c>
      <c r="Y779" s="48">
        <v>41</v>
      </c>
      <c r="Z779" s="48">
        <v>776</v>
      </c>
    </row>
    <row r="780" spans="1:26" ht="15" hidden="1" customHeight="1">
      <c r="A780" s="48" t="s">
        <v>1648</v>
      </c>
      <c r="B780" s="48" t="s">
        <v>1648</v>
      </c>
      <c r="C780" s="48" t="s">
        <v>1649</v>
      </c>
      <c r="D780" s="48" t="s">
        <v>50</v>
      </c>
      <c r="E780" s="48" t="s">
        <v>169</v>
      </c>
      <c r="F780" s="48">
        <v>105</v>
      </c>
      <c r="G780" s="48">
        <v>32</v>
      </c>
      <c r="H780" s="48">
        <v>515</v>
      </c>
      <c r="I780" s="48">
        <v>58</v>
      </c>
      <c r="J780" s="48">
        <v>52</v>
      </c>
      <c r="K780" s="48">
        <v>893</v>
      </c>
      <c r="L780" s="48">
        <v>90.5</v>
      </c>
      <c r="M780" s="48">
        <v>50</v>
      </c>
      <c r="N780" s="48">
        <v>822</v>
      </c>
      <c r="O780" s="48">
        <v>59</v>
      </c>
      <c r="P780" s="48">
        <v>38</v>
      </c>
      <c r="Q780" s="48">
        <v>672</v>
      </c>
      <c r="R780" s="48">
        <v>83</v>
      </c>
      <c r="S780" s="48">
        <v>16</v>
      </c>
      <c r="T780" s="48">
        <v>407</v>
      </c>
      <c r="U780" s="48">
        <v>75</v>
      </c>
      <c r="V780" s="48">
        <v>10</v>
      </c>
      <c r="W780" s="48">
        <v>219</v>
      </c>
      <c r="X780" s="48">
        <v>470.5</v>
      </c>
      <c r="Y780" s="48">
        <v>41</v>
      </c>
      <c r="Z780" s="48">
        <v>777</v>
      </c>
    </row>
    <row r="781" spans="1:26" ht="15" hidden="1" customHeight="1">
      <c r="A781" s="48" t="s">
        <v>1650</v>
      </c>
      <c r="B781" s="48" t="s">
        <v>1650</v>
      </c>
      <c r="C781" s="48" t="s">
        <v>1651</v>
      </c>
      <c r="D781" s="48" t="s">
        <v>50</v>
      </c>
      <c r="E781" s="48" t="s">
        <v>240</v>
      </c>
      <c r="F781" s="48">
        <v>107</v>
      </c>
      <c r="G781" s="48">
        <v>21</v>
      </c>
      <c r="H781" s="48">
        <v>429</v>
      </c>
      <c r="I781" s="48">
        <v>78</v>
      </c>
      <c r="J781" s="48">
        <v>42</v>
      </c>
      <c r="K781" s="48">
        <v>729</v>
      </c>
      <c r="L781" s="48">
        <v>113.5</v>
      </c>
      <c r="M781" s="48">
        <v>22</v>
      </c>
      <c r="N781" s="48">
        <v>374</v>
      </c>
      <c r="O781" s="48">
        <v>40</v>
      </c>
      <c r="P781" s="48">
        <v>56</v>
      </c>
      <c r="Q781" s="48">
        <v>909</v>
      </c>
      <c r="R781" s="48">
        <v>70</v>
      </c>
      <c r="S781" s="48">
        <v>45</v>
      </c>
      <c r="T781" s="48">
        <v>787</v>
      </c>
      <c r="U781" s="48">
        <v>62</v>
      </c>
      <c r="V781" s="48">
        <v>41</v>
      </c>
      <c r="W781" s="48">
        <v>657</v>
      </c>
      <c r="X781" s="48">
        <v>470.5</v>
      </c>
      <c r="Y781" s="48">
        <v>46</v>
      </c>
      <c r="Z781" s="48">
        <v>777</v>
      </c>
    </row>
    <row r="782" spans="1:26" ht="15" hidden="1" customHeight="1">
      <c r="A782" s="48" t="s">
        <v>1652</v>
      </c>
      <c r="B782" s="48" t="s">
        <v>1652</v>
      </c>
      <c r="C782" s="48" t="s">
        <v>1653</v>
      </c>
      <c r="D782" s="48" t="s">
        <v>50</v>
      </c>
      <c r="E782" s="48" t="s">
        <v>217</v>
      </c>
      <c r="F782" s="48">
        <v>111</v>
      </c>
      <c r="G782" s="48">
        <v>17</v>
      </c>
      <c r="H782" s="48">
        <v>271</v>
      </c>
      <c r="I782" s="48">
        <v>59</v>
      </c>
      <c r="J782" s="48">
        <v>55</v>
      </c>
      <c r="K782" s="48">
        <v>890</v>
      </c>
      <c r="L782" s="48">
        <v>121</v>
      </c>
      <c r="M782" s="48">
        <v>4</v>
      </c>
      <c r="N782" s="48">
        <v>173</v>
      </c>
      <c r="O782" s="48">
        <v>63</v>
      </c>
      <c r="P782" s="48">
        <v>32</v>
      </c>
      <c r="Q782" s="48">
        <v>581</v>
      </c>
      <c r="R782" s="48">
        <v>54</v>
      </c>
      <c r="S782" s="48">
        <v>56</v>
      </c>
      <c r="T782" s="48">
        <v>934</v>
      </c>
      <c r="U782" s="48">
        <v>62</v>
      </c>
      <c r="V782" s="48">
        <v>37</v>
      </c>
      <c r="W782" s="48">
        <v>657</v>
      </c>
      <c r="X782" s="48">
        <v>470</v>
      </c>
      <c r="Y782" s="48">
        <v>49</v>
      </c>
      <c r="Z782" s="48">
        <v>779</v>
      </c>
    </row>
    <row r="783" spans="1:26" ht="15" hidden="1" customHeight="1">
      <c r="A783" s="48" t="s">
        <v>1654</v>
      </c>
      <c r="B783" s="48" t="s">
        <v>1654</v>
      </c>
      <c r="C783" s="48" t="s">
        <v>1655</v>
      </c>
      <c r="D783" s="48" t="s">
        <v>50</v>
      </c>
      <c r="E783" s="48" t="s">
        <v>106</v>
      </c>
      <c r="F783" s="48">
        <v>94</v>
      </c>
      <c r="G783" s="48">
        <v>53</v>
      </c>
      <c r="H783" s="48">
        <v>856</v>
      </c>
      <c r="I783" s="48">
        <v>80</v>
      </c>
      <c r="J783" s="48">
        <v>36</v>
      </c>
      <c r="K783" s="48">
        <v>699</v>
      </c>
      <c r="L783" s="48">
        <v>113.5</v>
      </c>
      <c r="M783" s="48">
        <v>24</v>
      </c>
      <c r="N783" s="48">
        <v>374</v>
      </c>
      <c r="O783" s="48">
        <v>43</v>
      </c>
      <c r="P783" s="48">
        <v>53</v>
      </c>
      <c r="Q783" s="48">
        <v>890</v>
      </c>
      <c r="R783" s="48">
        <v>68</v>
      </c>
      <c r="S783" s="48">
        <v>45</v>
      </c>
      <c r="T783" s="48">
        <v>824</v>
      </c>
      <c r="U783" s="48">
        <v>71</v>
      </c>
      <c r="V783" s="48">
        <v>12</v>
      </c>
      <c r="W783" s="48">
        <v>342</v>
      </c>
      <c r="X783" s="48">
        <v>469.5</v>
      </c>
      <c r="Y783" s="48">
        <v>42</v>
      </c>
      <c r="Z783" s="48">
        <v>780</v>
      </c>
    </row>
    <row r="784" spans="1:26" ht="15" hidden="1" customHeight="1">
      <c r="A784" s="48" t="s">
        <v>1656</v>
      </c>
      <c r="B784" s="48" t="s">
        <v>1656</v>
      </c>
      <c r="C784" s="48" t="s">
        <v>1657</v>
      </c>
      <c r="D784" s="48" t="s">
        <v>50</v>
      </c>
      <c r="E784" s="48" t="s">
        <v>240</v>
      </c>
      <c r="F784" s="48">
        <v>112</v>
      </c>
      <c r="G784" s="48">
        <v>10</v>
      </c>
      <c r="H784" s="48">
        <v>226</v>
      </c>
      <c r="I784" s="48">
        <v>67</v>
      </c>
      <c r="J784" s="48">
        <v>52</v>
      </c>
      <c r="K784" s="48">
        <v>839</v>
      </c>
      <c r="L784" s="48">
        <v>130.5</v>
      </c>
      <c r="M784" s="48">
        <v>2</v>
      </c>
      <c r="N784" s="48">
        <v>31</v>
      </c>
      <c r="O784" s="48">
        <v>44</v>
      </c>
      <c r="P784" s="48">
        <v>53</v>
      </c>
      <c r="Q784" s="48">
        <v>885</v>
      </c>
      <c r="R784" s="48">
        <v>56</v>
      </c>
      <c r="S784" s="48">
        <v>55</v>
      </c>
      <c r="T784" s="48">
        <v>928</v>
      </c>
      <c r="U784" s="48">
        <v>60</v>
      </c>
      <c r="V784" s="48">
        <v>45</v>
      </c>
      <c r="W784" s="48">
        <v>706</v>
      </c>
      <c r="X784" s="48">
        <v>469.5</v>
      </c>
      <c r="Y784" s="48">
        <v>47</v>
      </c>
      <c r="Z784" s="48">
        <v>780</v>
      </c>
    </row>
    <row r="785" spans="1:26" ht="15" hidden="1" customHeight="1">
      <c r="A785" s="48" t="s">
        <v>1658</v>
      </c>
      <c r="B785" s="48" t="s">
        <v>1658</v>
      </c>
      <c r="C785" s="48" t="s">
        <v>1659</v>
      </c>
      <c r="D785" s="48" t="s">
        <v>50</v>
      </c>
      <c r="E785" s="48" t="s">
        <v>106</v>
      </c>
      <c r="F785" s="48">
        <v>106</v>
      </c>
      <c r="G785" s="48">
        <v>33</v>
      </c>
      <c r="H785" s="48">
        <v>477</v>
      </c>
      <c r="I785" s="48">
        <v>59</v>
      </c>
      <c r="J785" s="48">
        <v>46</v>
      </c>
      <c r="K785" s="48">
        <v>890</v>
      </c>
      <c r="L785" s="48">
        <v>106</v>
      </c>
      <c r="M785" s="48">
        <v>31</v>
      </c>
      <c r="N785" s="48">
        <v>558</v>
      </c>
      <c r="O785" s="48">
        <v>68</v>
      </c>
      <c r="P785" s="48">
        <v>19</v>
      </c>
      <c r="Q785" s="48">
        <v>474</v>
      </c>
      <c r="R785" s="48">
        <v>76</v>
      </c>
      <c r="S785" s="48">
        <v>30</v>
      </c>
      <c r="T785" s="48">
        <v>642</v>
      </c>
      <c r="U785" s="48">
        <v>53</v>
      </c>
      <c r="V785" s="48">
        <v>42</v>
      </c>
      <c r="W785" s="48">
        <v>832</v>
      </c>
      <c r="X785" s="48">
        <v>468</v>
      </c>
      <c r="Y785" s="48">
        <v>43</v>
      </c>
      <c r="Z785" s="48">
        <v>782</v>
      </c>
    </row>
    <row r="786" spans="1:26" ht="15" hidden="1" customHeight="1">
      <c r="A786" s="48" t="s">
        <v>1660</v>
      </c>
      <c r="B786" s="48" t="s">
        <v>1660</v>
      </c>
      <c r="C786" s="48" t="s">
        <v>1661</v>
      </c>
      <c r="D786" s="48" t="s">
        <v>50</v>
      </c>
      <c r="E786" s="48" t="s">
        <v>240</v>
      </c>
      <c r="F786" s="48">
        <v>99</v>
      </c>
      <c r="G786" s="48">
        <v>43</v>
      </c>
      <c r="H786" s="48">
        <v>754</v>
      </c>
      <c r="I786" s="48">
        <v>60</v>
      </c>
      <c r="J786" s="48">
        <v>55</v>
      </c>
      <c r="K786" s="48">
        <v>884</v>
      </c>
      <c r="L786" s="48">
        <v>108</v>
      </c>
      <c r="M786" s="48">
        <v>32</v>
      </c>
      <c r="N786" s="48">
        <v>519</v>
      </c>
      <c r="O786" s="48">
        <v>70</v>
      </c>
      <c r="P786" s="48">
        <v>27</v>
      </c>
      <c r="Q786" s="48">
        <v>429</v>
      </c>
      <c r="R786" s="48">
        <v>70</v>
      </c>
      <c r="S786" s="48">
        <v>45</v>
      </c>
      <c r="T786" s="48">
        <v>787</v>
      </c>
      <c r="U786" s="48">
        <v>61</v>
      </c>
      <c r="V786" s="48">
        <v>43</v>
      </c>
      <c r="W786" s="48">
        <v>686</v>
      </c>
      <c r="X786" s="48">
        <v>468</v>
      </c>
      <c r="Y786" s="48">
        <v>48</v>
      </c>
      <c r="Z786" s="48">
        <v>782</v>
      </c>
    </row>
    <row r="787" spans="1:26" ht="15" hidden="1" customHeight="1">
      <c r="A787" s="48" t="s">
        <v>1662</v>
      </c>
      <c r="B787" s="48" t="s">
        <v>1662</v>
      </c>
      <c r="C787" s="48" t="s">
        <v>1663</v>
      </c>
      <c r="D787" s="48" t="s">
        <v>50</v>
      </c>
      <c r="E787" s="48" t="s">
        <v>240</v>
      </c>
      <c r="F787" s="48">
        <v>98</v>
      </c>
      <c r="G787" s="48">
        <v>45</v>
      </c>
      <c r="H787" s="48">
        <v>774</v>
      </c>
      <c r="I787" s="48">
        <v>77</v>
      </c>
      <c r="J787" s="48">
        <v>43</v>
      </c>
      <c r="K787" s="48">
        <v>741</v>
      </c>
      <c r="L787" s="48">
        <v>68.5</v>
      </c>
      <c r="M787" s="48">
        <v>56</v>
      </c>
      <c r="N787" s="48">
        <v>930</v>
      </c>
      <c r="O787" s="48">
        <v>81</v>
      </c>
      <c r="P787" s="48">
        <v>10</v>
      </c>
      <c r="Q787" s="48">
        <v>195</v>
      </c>
      <c r="R787" s="48">
        <v>73</v>
      </c>
      <c r="S787" s="48">
        <v>40</v>
      </c>
      <c r="T787" s="48">
        <v>717</v>
      </c>
      <c r="U787" s="48">
        <v>70</v>
      </c>
      <c r="V787" s="48">
        <v>23</v>
      </c>
      <c r="W787" s="48">
        <v>380</v>
      </c>
      <c r="X787" s="48">
        <v>467.5</v>
      </c>
      <c r="Y787" s="48">
        <v>49</v>
      </c>
      <c r="Z787" s="48">
        <v>784</v>
      </c>
    </row>
    <row r="788" spans="1:26" ht="15" hidden="1" customHeight="1">
      <c r="A788" s="48" t="s">
        <v>1664</v>
      </c>
      <c r="B788" s="48" t="s">
        <v>1664</v>
      </c>
      <c r="C788" s="48" t="s">
        <v>1665</v>
      </c>
      <c r="D788" s="48" t="s">
        <v>50</v>
      </c>
      <c r="E788" s="48" t="s">
        <v>217</v>
      </c>
      <c r="F788" s="48">
        <v>100</v>
      </c>
      <c r="G788" s="48">
        <v>39</v>
      </c>
      <c r="H788" s="48">
        <v>715</v>
      </c>
      <c r="I788" s="48">
        <v>71</v>
      </c>
      <c r="J788" s="48">
        <v>50</v>
      </c>
      <c r="K788" s="48">
        <v>808</v>
      </c>
      <c r="L788" s="48">
        <v>115</v>
      </c>
      <c r="M788" s="48">
        <v>12</v>
      </c>
      <c r="N788" s="48">
        <v>330</v>
      </c>
      <c r="O788" s="48">
        <v>56</v>
      </c>
      <c r="P788" s="48">
        <v>45</v>
      </c>
      <c r="Q788" s="48">
        <v>731</v>
      </c>
      <c r="R788" s="48">
        <v>69</v>
      </c>
      <c r="S788" s="48">
        <v>50</v>
      </c>
      <c r="T788" s="48">
        <v>810</v>
      </c>
      <c r="U788" s="48">
        <v>56</v>
      </c>
      <c r="V788" s="48">
        <v>49</v>
      </c>
      <c r="W788" s="48">
        <v>789</v>
      </c>
      <c r="X788" s="48">
        <v>467</v>
      </c>
      <c r="Y788" s="48">
        <v>50</v>
      </c>
      <c r="Z788" s="48">
        <v>785</v>
      </c>
    </row>
    <row r="789" spans="1:26" ht="15" hidden="1" customHeight="1">
      <c r="A789" s="48" t="s">
        <v>1666</v>
      </c>
      <c r="B789" s="48" t="s">
        <v>1666</v>
      </c>
      <c r="C789" s="48" t="s">
        <v>1667</v>
      </c>
      <c r="D789" s="48" t="s">
        <v>50</v>
      </c>
      <c r="E789" s="48" t="s">
        <v>172</v>
      </c>
      <c r="F789" s="48">
        <v>102</v>
      </c>
      <c r="G789" s="48">
        <v>39</v>
      </c>
      <c r="H789" s="48">
        <v>655</v>
      </c>
      <c r="I789" s="48">
        <v>69</v>
      </c>
      <c r="J789" s="48">
        <v>47</v>
      </c>
      <c r="K789" s="48">
        <v>827</v>
      </c>
      <c r="L789" s="48">
        <v>86.5</v>
      </c>
      <c r="M789" s="48">
        <v>49</v>
      </c>
      <c r="N789" s="48">
        <v>863</v>
      </c>
      <c r="O789" s="48">
        <v>59</v>
      </c>
      <c r="P789" s="48">
        <v>36</v>
      </c>
      <c r="Q789" s="48">
        <v>672</v>
      </c>
      <c r="R789" s="48">
        <v>81</v>
      </c>
      <c r="S789" s="48">
        <v>20</v>
      </c>
      <c r="T789" s="48">
        <v>474</v>
      </c>
      <c r="U789" s="48">
        <v>69</v>
      </c>
      <c r="V789" s="48">
        <v>25</v>
      </c>
      <c r="W789" s="48">
        <v>420</v>
      </c>
      <c r="X789" s="48">
        <v>466.5</v>
      </c>
      <c r="Y789" s="48">
        <v>45</v>
      </c>
      <c r="Z789" s="48">
        <v>786</v>
      </c>
    </row>
    <row r="790" spans="1:26" ht="15" hidden="1" customHeight="1">
      <c r="A790" s="48" t="s">
        <v>1668</v>
      </c>
      <c r="B790" s="48" t="s">
        <v>1668</v>
      </c>
      <c r="C790" s="48" t="s">
        <v>1669</v>
      </c>
      <c r="D790" s="48" t="s">
        <v>50</v>
      </c>
      <c r="E790" s="48" t="s">
        <v>106</v>
      </c>
      <c r="F790" s="48">
        <v>98</v>
      </c>
      <c r="G790" s="48">
        <v>48</v>
      </c>
      <c r="H790" s="48">
        <v>774</v>
      </c>
      <c r="I790" s="48">
        <v>99</v>
      </c>
      <c r="J790" s="48">
        <v>22</v>
      </c>
      <c r="K790" s="48">
        <v>436</v>
      </c>
      <c r="L790" s="48">
        <v>92.5</v>
      </c>
      <c r="M790" s="48">
        <v>43</v>
      </c>
      <c r="N790" s="48">
        <v>801</v>
      </c>
      <c r="O790" s="48">
        <v>60</v>
      </c>
      <c r="P790" s="48">
        <v>34</v>
      </c>
      <c r="Q790" s="48">
        <v>647</v>
      </c>
      <c r="R790" s="48">
        <v>64</v>
      </c>
      <c r="S790" s="48">
        <v>52</v>
      </c>
      <c r="T790" s="48">
        <v>881</v>
      </c>
      <c r="U790" s="48">
        <v>53</v>
      </c>
      <c r="V790" s="48">
        <v>42</v>
      </c>
      <c r="W790" s="48">
        <v>832</v>
      </c>
      <c r="X790" s="48">
        <v>466.5</v>
      </c>
      <c r="Y790" s="48">
        <v>44</v>
      </c>
      <c r="Z790" s="48">
        <v>786</v>
      </c>
    </row>
    <row r="791" spans="1:26" ht="15" hidden="1" customHeight="1">
      <c r="A791" s="48" t="s">
        <v>1670</v>
      </c>
      <c r="B791" s="48" t="s">
        <v>1670</v>
      </c>
      <c r="C791" s="48" t="s">
        <v>1671</v>
      </c>
      <c r="D791" s="48" t="s">
        <v>50</v>
      </c>
      <c r="E791" s="48" t="s">
        <v>169</v>
      </c>
      <c r="F791" s="48">
        <v>119</v>
      </c>
      <c r="G791" s="48">
        <v>2</v>
      </c>
      <c r="H791" s="48">
        <v>51</v>
      </c>
      <c r="I791" s="48">
        <v>78</v>
      </c>
      <c r="J791" s="48">
        <v>39</v>
      </c>
      <c r="K791" s="48">
        <v>729</v>
      </c>
      <c r="L791" s="48">
        <v>114.5</v>
      </c>
      <c r="M791" s="48">
        <v>18</v>
      </c>
      <c r="N791" s="48">
        <v>340</v>
      </c>
      <c r="O791" s="48">
        <v>54</v>
      </c>
      <c r="P791" s="48">
        <v>46</v>
      </c>
      <c r="Q791" s="48">
        <v>766</v>
      </c>
      <c r="R791" s="48">
        <v>54</v>
      </c>
      <c r="S791" s="48">
        <v>54</v>
      </c>
      <c r="T791" s="48">
        <v>934</v>
      </c>
      <c r="U791" s="48">
        <v>47</v>
      </c>
      <c r="V791" s="48">
        <v>52</v>
      </c>
      <c r="W791" s="48">
        <v>901</v>
      </c>
      <c r="X791" s="48">
        <v>466.5</v>
      </c>
      <c r="Y791" s="48">
        <v>42</v>
      </c>
      <c r="Z791" s="48">
        <v>786</v>
      </c>
    </row>
    <row r="792" spans="1:26" ht="15" hidden="1" customHeight="1">
      <c r="A792" s="48" t="s">
        <v>1672</v>
      </c>
      <c r="B792" s="48" t="s">
        <v>1672</v>
      </c>
      <c r="C792" s="48" t="s">
        <v>1673</v>
      </c>
      <c r="D792" s="48" t="s">
        <v>50</v>
      </c>
      <c r="E792" s="48" t="s">
        <v>169</v>
      </c>
      <c r="F792" s="48">
        <v>109</v>
      </c>
      <c r="G792" s="48">
        <v>20</v>
      </c>
      <c r="H792" s="48">
        <v>353</v>
      </c>
      <c r="I792" s="48">
        <v>71</v>
      </c>
      <c r="J792" s="48">
        <v>49</v>
      </c>
      <c r="K792" s="48">
        <v>808</v>
      </c>
      <c r="L792" s="48">
        <v>107.5</v>
      </c>
      <c r="M792" s="48">
        <v>33</v>
      </c>
      <c r="N792" s="48">
        <v>532</v>
      </c>
      <c r="O792" s="48">
        <v>44</v>
      </c>
      <c r="P792" s="48">
        <v>53</v>
      </c>
      <c r="Q792" s="48">
        <v>885</v>
      </c>
      <c r="R792" s="48">
        <v>84</v>
      </c>
      <c r="S792" s="48">
        <v>14</v>
      </c>
      <c r="T792" s="48">
        <v>379</v>
      </c>
      <c r="U792" s="48">
        <v>51</v>
      </c>
      <c r="V792" s="48">
        <v>48</v>
      </c>
      <c r="W792" s="48">
        <v>862</v>
      </c>
      <c r="X792" s="48">
        <v>466.5</v>
      </c>
      <c r="Y792" s="48">
        <v>42</v>
      </c>
      <c r="Z792" s="48">
        <v>786</v>
      </c>
    </row>
    <row r="793" spans="1:26" ht="15" hidden="1" customHeight="1">
      <c r="A793" s="48" t="s">
        <v>1674</v>
      </c>
      <c r="B793" s="48" t="s">
        <v>1674</v>
      </c>
      <c r="C793" s="48" t="s">
        <v>1675</v>
      </c>
      <c r="D793" s="48" t="s">
        <v>50</v>
      </c>
      <c r="E793" s="48" t="s">
        <v>169</v>
      </c>
      <c r="F793" s="48">
        <v>100</v>
      </c>
      <c r="G793" s="48">
        <v>49</v>
      </c>
      <c r="H793" s="48">
        <v>715</v>
      </c>
      <c r="I793" s="48">
        <v>85</v>
      </c>
      <c r="J793" s="48">
        <v>35</v>
      </c>
      <c r="K793" s="48">
        <v>643</v>
      </c>
      <c r="L793" s="48">
        <v>103.5</v>
      </c>
      <c r="M793" s="48">
        <v>35</v>
      </c>
      <c r="N793" s="48">
        <v>612</v>
      </c>
      <c r="O793" s="48">
        <v>56</v>
      </c>
      <c r="P793" s="48">
        <v>41</v>
      </c>
      <c r="Q793" s="48">
        <v>731</v>
      </c>
      <c r="R793" s="48">
        <v>66</v>
      </c>
      <c r="S793" s="48">
        <v>50</v>
      </c>
      <c r="T793" s="48">
        <v>849</v>
      </c>
      <c r="U793" s="48">
        <v>56</v>
      </c>
      <c r="V793" s="48">
        <v>44</v>
      </c>
      <c r="W793" s="48">
        <v>789</v>
      </c>
      <c r="X793" s="48">
        <v>466.5</v>
      </c>
      <c r="Y793" s="48">
        <v>42</v>
      </c>
      <c r="Z793" s="48">
        <v>786</v>
      </c>
    </row>
    <row r="794" spans="1:26" ht="15" hidden="1" customHeight="1">
      <c r="A794" s="48" t="s">
        <v>1676</v>
      </c>
      <c r="B794" s="48" t="s">
        <v>1676</v>
      </c>
      <c r="C794" s="48" t="s">
        <v>1677</v>
      </c>
      <c r="D794" s="48" t="s">
        <v>50</v>
      </c>
      <c r="E794" s="48" t="s">
        <v>296</v>
      </c>
      <c r="F794" s="48">
        <v>93</v>
      </c>
      <c r="G794" s="48">
        <v>49</v>
      </c>
      <c r="H794" s="48">
        <v>868</v>
      </c>
      <c r="I794" s="48">
        <v>79</v>
      </c>
      <c r="J794" s="48">
        <v>39</v>
      </c>
      <c r="K794" s="48">
        <v>713</v>
      </c>
      <c r="L794" s="48">
        <v>98.5</v>
      </c>
      <c r="M794" s="48">
        <v>46</v>
      </c>
      <c r="N794" s="48">
        <v>719</v>
      </c>
      <c r="O794" s="48">
        <v>57</v>
      </c>
      <c r="P794" s="48">
        <v>44</v>
      </c>
      <c r="Q794" s="48">
        <v>713</v>
      </c>
      <c r="R794" s="48">
        <v>92</v>
      </c>
      <c r="S794" s="48">
        <v>4</v>
      </c>
      <c r="T794" s="48">
        <v>116</v>
      </c>
      <c r="U794" s="48">
        <v>47</v>
      </c>
      <c r="V794" s="48">
        <v>51</v>
      </c>
      <c r="W794" s="48">
        <v>901</v>
      </c>
      <c r="X794" s="48">
        <v>466.5</v>
      </c>
      <c r="Y794" s="48">
        <v>44</v>
      </c>
      <c r="Z794" s="48">
        <v>786</v>
      </c>
    </row>
    <row r="795" spans="1:26" ht="15" hidden="1" customHeight="1">
      <c r="A795" s="48" t="s">
        <v>1678</v>
      </c>
      <c r="B795" s="48" t="s">
        <v>1678</v>
      </c>
      <c r="C795" s="48" t="s">
        <v>1679</v>
      </c>
      <c r="D795" s="48" t="s">
        <v>50</v>
      </c>
      <c r="E795" s="48" t="s">
        <v>296</v>
      </c>
      <c r="F795" s="48">
        <v>117</v>
      </c>
      <c r="G795" s="48">
        <v>2</v>
      </c>
      <c r="H795" s="48">
        <v>86</v>
      </c>
      <c r="I795" s="48">
        <v>61</v>
      </c>
      <c r="J795" s="48">
        <v>49</v>
      </c>
      <c r="K795" s="48">
        <v>873</v>
      </c>
      <c r="L795" s="48">
        <v>99.5</v>
      </c>
      <c r="M795" s="48">
        <v>41</v>
      </c>
      <c r="N795" s="48">
        <v>694</v>
      </c>
      <c r="O795" s="48">
        <v>54</v>
      </c>
      <c r="P795" s="48">
        <v>46</v>
      </c>
      <c r="Q795" s="48">
        <v>766</v>
      </c>
      <c r="R795" s="48">
        <v>68</v>
      </c>
      <c r="S795" s="48">
        <v>48</v>
      </c>
      <c r="T795" s="48">
        <v>824</v>
      </c>
      <c r="U795" s="48">
        <v>67</v>
      </c>
      <c r="V795" s="48">
        <v>20</v>
      </c>
      <c r="W795" s="48">
        <v>489</v>
      </c>
      <c r="X795" s="48">
        <v>466.5</v>
      </c>
      <c r="Y795" s="48">
        <v>44</v>
      </c>
      <c r="Z795" s="48">
        <v>786</v>
      </c>
    </row>
    <row r="796" spans="1:26" ht="15" hidden="1" customHeight="1">
      <c r="A796" s="48" t="s">
        <v>1680</v>
      </c>
      <c r="B796" s="48" t="s">
        <v>1680</v>
      </c>
      <c r="C796" s="48" t="s">
        <v>1681</v>
      </c>
      <c r="D796" s="48" t="s">
        <v>50</v>
      </c>
      <c r="E796" s="48" t="s">
        <v>296</v>
      </c>
      <c r="F796" s="48">
        <v>96</v>
      </c>
      <c r="G796" s="48">
        <v>40</v>
      </c>
      <c r="H796" s="48">
        <v>814</v>
      </c>
      <c r="I796" s="48">
        <v>66</v>
      </c>
      <c r="J796" s="48">
        <v>45</v>
      </c>
      <c r="K796" s="48">
        <v>847</v>
      </c>
      <c r="L796" s="48">
        <v>107.5</v>
      </c>
      <c r="M796" s="48">
        <v>30</v>
      </c>
      <c r="N796" s="48">
        <v>532</v>
      </c>
      <c r="O796" s="48">
        <v>73</v>
      </c>
      <c r="P796" s="48">
        <v>23</v>
      </c>
      <c r="Q796" s="48">
        <v>370</v>
      </c>
      <c r="R796" s="48">
        <v>75</v>
      </c>
      <c r="S796" s="48">
        <v>39</v>
      </c>
      <c r="T796" s="48">
        <v>671</v>
      </c>
      <c r="U796" s="48">
        <v>49</v>
      </c>
      <c r="V796" s="48">
        <v>47</v>
      </c>
      <c r="W796" s="48">
        <v>883</v>
      </c>
      <c r="X796" s="48">
        <v>466.5</v>
      </c>
      <c r="Y796" s="48">
        <v>44</v>
      </c>
      <c r="Z796" s="48">
        <v>786</v>
      </c>
    </row>
    <row r="797" spans="1:26" ht="15" hidden="1" customHeight="1">
      <c r="A797" s="48" t="s">
        <v>1682</v>
      </c>
      <c r="B797" s="48" t="s">
        <v>1682</v>
      </c>
      <c r="C797" s="48" t="s">
        <v>1683</v>
      </c>
      <c r="D797" s="48" t="s">
        <v>50</v>
      </c>
      <c r="E797" s="48" t="s">
        <v>169</v>
      </c>
      <c r="F797" s="48">
        <v>107</v>
      </c>
      <c r="G797" s="48">
        <v>27</v>
      </c>
      <c r="H797" s="48">
        <v>429</v>
      </c>
      <c r="I797" s="48">
        <v>78</v>
      </c>
      <c r="J797" s="48">
        <v>39</v>
      </c>
      <c r="K797" s="48">
        <v>729</v>
      </c>
      <c r="L797" s="48">
        <v>99</v>
      </c>
      <c r="M797" s="48">
        <v>44</v>
      </c>
      <c r="N797" s="48">
        <v>707</v>
      </c>
      <c r="O797" s="48">
        <v>49</v>
      </c>
      <c r="P797" s="48">
        <v>51</v>
      </c>
      <c r="Q797" s="48">
        <v>842</v>
      </c>
      <c r="R797" s="48">
        <v>73</v>
      </c>
      <c r="S797" s="48">
        <v>41</v>
      </c>
      <c r="T797" s="48">
        <v>717</v>
      </c>
      <c r="U797" s="48">
        <v>60</v>
      </c>
      <c r="V797" s="48">
        <v>39</v>
      </c>
      <c r="W797" s="48">
        <v>706</v>
      </c>
      <c r="X797" s="48">
        <v>466</v>
      </c>
      <c r="Y797" s="48">
        <v>45</v>
      </c>
      <c r="Z797" s="48">
        <v>794</v>
      </c>
    </row>
    <row r="798" spans="1:26" ht="15" hidden="1" customHeight="1">
      <c r="A798" s="48" t="s">
        <v>1684</v>
      </c>
      <c r="B798" s="48" t="s">
        <v>1684</v>
      </c>
      <c r="C798" s="48" t="s">
        <v>1685</v>
      </c>
      <c r="D798" s="48" t="s">
        <v>50</v>
      </c>
      <c r="E798" s="48" t="s">
        <v>240</v>
      </c>
      <c r="F798" s="48">
        <v>115</v>
      </c>
      <c r="G798" s="48">
        <v>4</v>
      </c>
      <c r="H798" s="48">
        <v>140</v>
      </c>
      <c r="I798" s="48">
        <v>66</v>
      </c>
      <c r="J798" s="48">
        <v>54</v>
      </c>
      <c r="K798" s="48">
        <v>847</v>
      </c>
      <c r="L798" s="48">
        <v>122</v>
      </c>
      <c r="M798" s="48">
        <v>7</v>
      </c>
      <c r="N798" s="48">
        <v>154</v>
      </c>
      <c r="O798" s="48">
        <v>52</v>
      </c>
      <c r="P798" s="48">
        <v>46</v>
      </c>
      <c r="Q798" s="48">
        <v>798</v>
      </c>
      <c r="R798" s="48">
        <v>51</v>
      </c>
      <c r="S798" s="48">
        <v>57</v>
      </c>
      <c r="T798" s="48">
        <v>946</v>
      </c>
      <c r="U798" s="48">
        <v>60</v>
      </c>
      <c r="V798" s="48">
        <v>45</v>
      </c>
      <c r="W798" s="48">
        <v>706</v>
      </c>
      <c r="X798" s="48">
        <v>466</v>
      </c>
      <c r="Y798" s="48">
        <v>50</v>
      </c>
      <c r="Z798" s="48">
        <v>794</v>
      </c>
    </row>
    <row r="799" spans="1:26" ht="15" hidden="1" customHeight="1">
      <c r="A799" s="48" t="s">
        <v>1686</v>
      </c>
      <c r="B799" s="48" t="s">
        <v>1686</v>
      </c>
      <c r="C799" s="48" t="s">
        <v>1687</v>
      </c>
      <c r="D799" s="48" t="s">
        <v>50</v>
      </c>
      <c r="E799" s="48" t="s">
        <v>203</v>
      </c>
      <c r="F799" s="48">
        <v>91</v>
      </c>
      <c r="G799" s="48">
        <v>56</v>
      </c>
      <c r="H799" s="48">
        <v>890</v>
      </c>
      <c r="I799" s="48">
        <v>73</v>
      </c>
      <c r="J799" s="48">
        <v>43</v>
      </c>
      <c r="K799" s="48">
        <v>788</v>
      </c>
      <c r="L799" s="48">
        <v>111.5</v>
      </c>
      <c r="M799" s="48">
        <v>24</v>
      </c>
      <c r="N799" s="48">
        <v>427</v>
      </c>
      <c r="O799" s="48">
        <v>66</v>
      </c>
      <c r="P799" s="48">
        <v>31</v>
      </c>
      <c r="Q799" s="48">
        <v>513</v>
      </c>
      <c r="R799" s="48">
        <v>74</v>
      </c>
      <c r="S799" s="48">
        <v>38</v>
      </c>
      <c r="T799" s="48">
        <v>702</v>
      </c>
      <c r="U799" s="48">
        <v>50</v>
      </c>
      <c r="V799" s="48">
        <v>47</v>
      </c>
      <c r="W799" s="48">
        <v>873</v>
      </c>
      <c r="X799" s="48">
        <v>465.5</v>
      </c>
      <c r="Y799" s="48">
        <v>44</v>
      </c>
      <c r="Z799" s="48">
        <v>796</v>
      </c>
    </row>
    <row r="800" spans="1:26" ht="15" hidden="1" customHeight="1">
      <c r="A800" s="48" t="s">
        <v>1688</v>
      </c>
      <c r="B800" s="48" t="s">
        <v>1688</v>
      </c>
      <c r="C800" s="48" t="s">
        <v>1689</v>
      </c>
      <c r="D800" s="48" t="s">
        <v>50</v>
      </c>
      <c r="E800" s="48" t="s">
        <v>106</v>
      </c>
      <c r="F800" s="48">
        <v>81</v>
      </c>
      <c r="G800" s="48">
        <v>56</v>
      </c>
      <c r="H800" s="48">
        <v>938</v>
      </c>
      <c r="I800" s="48">
        <v>98</v>
      </c>
      <c r="J800" s="48">
        <v>25</v>
      </c>
      <c r="K800" s="48">
        <v>458</v>
      </c>
      <c r="L800" s="48">
        <v>108.5</v>
      </c>
      <c r="M800" s="48">
        <v>29</v>
      </c>
      <c r="N800" s="48">
        <v>508</v>
      </c>
      <c r="O800" s="48">
        <v>62</v>
      </c>
      <c r="P800" s="48">
        <v>30</v>
      </c>
      <c r="Q800" s="48">
        <v>607</v>
      </c>
      <c r="R800" s="48">
        <v>61</v>
      </c>
      <c r="S800" s="48">
        <v>53</v>
      </c>
      <c r="T800" s="48">
        <v>901</v>
      </c>
      <c r="U800" s="48">
        <v>55</v>
      </c>
      <c r="V800" s="48">
        <v>39</v>
      </c>
      <c r="W800" s="48">
        <v>802</v>
      </c>
      <c r="X800" s="48">
        <v>465.5</v>
      </c>
      <c r="Y800" s="48">
        <v>45</v>
      </c>
      <c r="Z800" s="48">
        <v>796</v>
      </c>
    </row>
    <row r="801" spans="1:26" ht="15" hidden="1" customHeight="1">
      <c r="A801" s="48" t="s">
        <v>1690</v>
      </c>
      <c r="B801" s="48" t="s">
        <v>1690</v>
      </c>
      <c r="C801" s="48" t="s">
        <v>1691</v>
      </c>
      <c r="D801" s="48" t="s">
        <v>50</v>
      </c>
      <c r="E801" s="48" t="s">
        <v>133</v>
      </c>
      <c r="F801" s="48">
        <v>90</v>
      </c>
      <c r="G801" s="48">
        <v>57</v>
      </c>
      <c r="H801" s="48">
        <v>905</v>
      </c>
      <c r="I801" s="48">
        <v>109</v>
      </c>
      <c r="J801" s="48">
        <v>18</v>
      </c>
      <c r="K801" s="48">
        <v>278</v>
      </c>
      <c r="L801" s="48">
        <v>81</v>
      </c>
      <c r="M801" s="48">
        <v>52</v>
      </c>
      <c r="N801" s="48">
        <v>889</v>
      </c>
      <c r="O801" s="48">
        <v>49</v>
      </c>
      <c r="P801" s="48">
        <v>49</v>
      </c>
      <c r="Q801" s="48">
        <v>842</v>
      </c>
      <c r="R801" s="48">
        <v>89</v>
      </c>
      <c r="S801" s="48">
        <v>10</v>
      </c>
      <c r="T801" s="48">
        <v>200</v>
      </c>
      <c r="U801" s="48">
        <v>47</v>
      </c>
      <c r="V801" s="48">
        <v>56</v>
      </c>
      <c r="W801" s="48">
        <v>901</v>
      </c>
      <c r="X801" s="48">
        <v>465</v>
      </c>
      <c r="Y801" s="48">
        <v>51</v>
      </c>
      <c r="Z801" s="48">
        <v>798</v>
      </c>
    </row>
    <row r="802" spans="1:26" ht="15" hidden="1" customHeight="1">
      <c r="A802" s="48" t="s">
        <v>1692</v>
      </c>
      <c r="B802" s="48" t="s">
        <v>1692</v>
      </c>
      <c r="C802" s="48" t="s">
        <v>1693</v>
      </c>
      <c r="D802" s="48" t="s">
        <v>50</v>
      </c>
      <c r="E802" s="48" t="s">
        <v>203</v>
      </c>
      <c r="F802" s="48">
        <v>96</v>
      </c>
      <c r="G802" s="48">
        <v>50</v>
      </c>
      <c r="H802" s="48">
        <v>814</v>
      </c>
      <c r="I802" s="48">
        <v>58</v>
      </c>
      <c r="J802" s="48">
        <v>53</v>
      </c>
      <c r="K802" s="48">
        <v>893</v>
      </c>
      <c r="L802" s="48">
        <v>118.5</v>
      </c>
      <c r="M802" s="48">
        <v>10</v>
      </c>
      <c r="N802" s="48">
        <v>247</v>
      </c>
      <c r="O802" s="48">
        <v>61</v>
      </c>
      <c r="P802" s="48">
        <v>35</v>
      </c>
      <c r="Q802" s="48">
        <v>627</v>
      </c>
      <c r="R802" s="48">
        <v>77</v>
      </c>
      <c r="S802" s="48">
        <v>32</v>
      </c>
      <c r="T802" s="48">
        <v>608</v>
      </c>
      <c r="U802" s="48">
        <v>54</v>
      </c>
      <c r="V802" s="48">
        <v>44</v>
      </c>
      <c r="W802" s="48">
        <v>817</v>
      </c>
      <c r="X802" s="48">
        <v>464.5</v>
      </c>
      <c r="Y802" s="48">
        <v>45</v>
      </c>
      <c r="Z802" s="48">
        <v>799</v>
      </c>
    </row>
    <row r="803" spans="1:26" ht="15" hidden="1" customHeight="1">
      <c r="A803" s="48" t="s">
        <v>1694</v>
      </c>
      <c r="B803" s="48" t="s">
        <v>1694</v>
      </c>
      <c r="C803" s="48" t="s">
        <v>1695</v>
      </c>
      <c r="D803" s="48" t="s">
        <v>50</v>
      </c>
      <c r="E803" s="48" t="s">
        <v>210</v>
      </c>
      <c r="F803" s="48">
        <v>94</v>
      </c>
      <c r="G803" s="48">
        <v>53</v>
      </c>
      <c r="H803" s="48">
        <v>856</v>
      </c>
      <c r="I803" s="48">
        <v>63</v>
      </c>
      <c r="J803" s="48">
        <v>53</v>
      </c>
      <c r="K803" s="48">
        <v>861</v>
      </c>
      <c r="L803" s="48">
        <v>108.5</v>
      </c>
      <c r="M803" s="48">
        <v>31</v>
      </c>
      <c r="N803" s="48">
        <v>508</v>
      </c>
      <c r="O803" s="48">
        <v>69</v>
      </c>
      <c r="P803" s="48">
        <v>22</v>
      </c>
      <c r="Q803" s="48">
        <v>452</v>
      </c>
      <c r="R803" s="48">
        <v>75</v>
      </c>
      <c r="S803" s="48">
        <v>42</v>
      </c>
      <c r="T803" s="48">
        <v>671</v>
      </c>
      <c r="U803" s="48">
        <v>55</v>
      </c>
      <c r="V803" s="48">
        <v>48</v>
      </c>
      <c r="W803" s="48">
        <v>802</v>
      </c>
      <c r="X803" s="48">
        <v>464.5</v>
      </c>
      <c r="Y803" s="48">
        <v>51</v>
      </c>
      <c r="Z803" s="48">
        <v>799</v>
      </c>
    </row>
    <row r="804" spans="1:26" ht="15" hidden="1" customHeight="1">
      <c r="A804" s="48" t="s">
        <v>1696</v>
      </c>
      <c r="B804" s="48" t="s">
        <v>1696</v>
      </c>
      <c r="C804" s="48" t="s">
        <v>1697</v>
      </c>
      <c r="D804" s="48" t="s">
        <v>50</v>
      </c>
      <c r="E804" s="48" t="s">
        <v>111</v>
      </c>
      <c r="F804" s="48">
        <v>102</v>
      </c>
      <c r="G804" s="48">
        <v>33</v>
      </c>
      <c r="H804" s="48">
        <v>655</v>
      </c>
      <c r="I804" s="48">
        <v>73</v>
      </c>
      <c r="J804" s="48">
        <v>41</v>
      </c>
      <c r="K804" s="48">
        <v>788</v>
      </c>
      <c r="L804" s="48">
        <v>131</v>
      </c>
      <c r="M804" s="48">
        <v>3</v>
      </c>
      <c r="N804" s="48">
        <v>27</v>
      </c>
      <c r="O804" s="48">
        <v>41</v>
      </c>
      <c r="P804" s="48">
        <v>52</v>
      </c>
      <c r="Q804" s="48">
        <v>902</v>
      </c>
      <c r="R804" s="48">
        <v>69</v>
      </c>
      <c r="S804" s="48">
        <v>45</v>
      </c>
      <c r="T804" s="48">
        <v>810</v>
      </c>
      <c r="U804" s="48">
        <v>48</v>
      </c>
      <c r="V804" s="48">
        <v>50</v>
      </c>
      <c r="W804" s="48">
        <v>893</v>
      </c>
      <c r="X804" s="48">
        <v>464</v>
      </c>
      <c r="Y804" s="48">
        <v>44</v>
      </c>
      <c r="Z804" s="48">
        <v>801</v>
      </c>
    </row>
    <row r="805" spans="1:26" ht="15" hidden="1" customHeight="1">
      <c r="A805" s="48" t="s">
        <v>1698</v>
      </c>
      <c r="B805" s="48" t="s">
        <v>1698</v>
      </c>
      <c r="C805" s="48" t="s">
        <v>1699</v>
      </c>
      <c r="D805" s="48" t="s">
        <v>50</v>
      </c>
      <c r="E805" s="48" t="s">
        <v>249</v>
      </c>
      <c r="F805" s="48">
        <v>100</v>
      </c>
      <c r="G805" s="48">
        <v>51</v>
      </c>
      <c r="H805" s="48">
        <v>715</v>
      </c>
      <c r="I805" s="48">
        <v>95</v>
      </c>
      <c r="J805" s="48">
        <v>26</v>
      </c>
      <c r="K805" s="48">
        <v>501</v>
      </c>
      <c r="L805" s="48">
        <v>89</v>
      </c>
      <c r="M805" s="48">
        <v>51</v>
      </c>
      <c r="N805" s="48">
        <v>841</v>
      </c>
      <c r="O805" s="48">
        <v>41</v>
      </c>
      <c r="P805" s="48">
        <v>50</v>
      </c>
      <c r="Q805" s="48">
        <v>902</v>
      </c>
      <c r="R805" s="48">
        <v>76</v>
      </c>
      <c r="S805" s="48">
        <v>25</v>
      </c>
      <c r="T805" s="48">
        <v>642</v>
      </c>
      <c r="U805" s="48">
        <v>63</v>
      </c>
      <c r="V805" s="48">
        <v>27</v>
      </c>
      <c r="W805" s="48">
        <v>625</v>
      </c>
      <c r="X805" s="48">
        <v>464</v>
      </c>
      <c r="Y805" s="48">
        <v>44</v>
      </c>
      <c r="Z805" s="48">
        <v>801</v>
      </c>
    </row>
    <row r="806" spans="1:26" ht="15" hidden="1" customHeight="1">
      <c r="A806" s="48" t="s">
        <v>1700</v>
      </c>
      <c r="B806" s="48" t="s">
        <v>1700</v>
      </c>
      <c r="C806" s="48" t="s">
        <v>1701</v>
      </c>
      <c r="D806" s="48" t="s">
        <v>50</v>
      </c>
      <c r="E806" s="48" t="s">
        <v>172</v>
      </c>
      <c r="F806" s="48">
        <v>103</v>
      </c>
      <c r="G806" s="48">
        <v>34</v>
      </c>
      <c r="H806" s="48">
        <v>606</v>
      </c>
      <c r="I806" s="48">
        <v>100</v>
      </c>
      <c r="J806" s="48">
        <v>22</v>
      </c>
      <c r="K806" s="48">
        <v>421</v>
      </c>
      <c r="L806" s="48">
        <v>85.5</v>
      </c>
      <c r="M806" s="48">
        <v>50</v>
      </c>
      <c r="N806" s="48">
        <v>866</v>
      </c>
      <c r="O806" s="48">
        <v>49</v>
      </c>
      <c r="P806" s="48">
        <v>50</v>
      </c>
      <c r="Q806" s="48">
        <v>842</v>
      </c>
      <c r="R806" s="48">
        <v>57</v>
      </c>
      <c r="S806" s="48">
        <v>57</v>
      </c>
      <c r="T806" s="48">
        <v>921</v>
      </c>
      <c r="U806" s="48">
        <v>69</v>
      </c>
      <c r="V806" s="48">
        <v>25</v>
      </c>
      <c r="W806" s="48">
        <v>420</v>
      </c>
      <c r="X806" s="48">
        <v>463.5</v>
      </c>
      <c r="Y806" s="48">
        <v>46</v>
      </c>
      <c r="Z806" s="48">
        <v>803</v>
      </c>
    </row>
    <row r="807" spans="1:26" ht="15" hidden="1" customHeight="1">
      <c r="A807" s="48" t="s">
        <v>1702</v>
      </c>
      <c r="B807" s="48" t="s">
        <v>1702</v>
      </c>
      <c r="C807" s="48" t="s">
        <v>1703</v>
      </c>
      <c r="D807" s="48" t="s">
        <v>50</v>
      </c>
      <c r="E807" s="48" t="s">
        <v>217</v>
      </c>
      <c r="F807" s="48">
        <v>89</v>
      </c>
      <c r="G807" s="48">
        <v>52</v>
      </c>
      <c r="H807" s="48">
        <v>909</v>
      </c>
      <c r="I807" s="48">
        <v>79</v>
      </c>
      <c r="J807" s="48">
        <v>45</v>
      </c>
      <c r="K807" s="48">
        <v>713</v>
      </c>
      <c r="L807" s="48">
        <v>89.5</v>
      </c>
      <c r="M807" s="48">
        <v>49</v>
      </c>
      <c r="N807" s="48">
        <v>836</v>
      </c>
      <c r="O807" s="48">
        <v>70</v>
      </c>
      <c r="P807" s="48">
        <v>27</v>
      </c>
      <c r="Q807" s="48">
        <v>429</v>
      </c>
      <c r="R807" s="48">
        <v>79</v>
      </c>
      <c r="S807" s="48">
        <v>29</v>
      </c>
      <c r="T807" s="48">
        <v>539</v>
      </c>
      <c r="U807" s="48">
        <v>57</v>
      </c>
      <c r="V807" s="48">
        <v>47</v>
      </c>
      <c r="W807" s="48">
        <v>770</v>
      </c>
      <c r="X807" s="48">
        <v>463.5</v>
      </c>
      <c r="Y807" s="48">
        <v>51</v>
      </c>
      <c r="Z807" s="48">
        <v>803</v>
      </c>
    </row>
    <row r="808" spans="1:26" ht="15" hidden="1" customHeight="1">
      <c r="A808" s="48" t="s">
        <v>1704</v>
      </c>
      <c r="B808" s="48" t="s">
        <v>1704</v>
      </c>
      <c r="C808" s="48" t="s">
        <v>1705</v>
      </c>
      <c r="D808" s="48" t="s">
        <v>50</v>
      </c>
      <c r="E808" s="48" t="s">
        <v>172</v>
      </c>
      <c r="F808" s="48">
        <v>110</v>
      </c>
      <c r="G808" s="48">
        <v>14</v>
      </c>
      <c r="H808" s="48">
        <v>310</v>
      </c>
      <c r="I808" s="48">
        <v>76</v>
      </c>
      <c r="J808" s="48">
        <v>44</v>
      </c>
      <c r="K808" s="48">
        <v>754</v>
      </c>
      <c r="L808" s="48">
        <v>109.5</v>
      </c>
      <c r="M808" s="48">
        <v>24</v>
      </c>
      <c r="N808" s="48">
        <v>490</v>
      </c>
      <c r="O808" s="48">
        <v>47</v>
      </c>
      <c r="P808" s="48">
        <v>53</v>
      </c>
      <c r="Q808" s="48">
        <v>863</v>
      </c>
      <c r="R808" s="48">
        <v>72</v>
      </c>
      <c r="S808" s="48">
        <v>42</v>
      </c>
      <c r="T808" s="48">
        <v>751</v>
      </c>
      <c r="U808" s="48">
        <v>49</v>
      </c>
      <c r="V808" s="48">
        <v>55</v>
      </c>
      <c r="W808" s="48">
        <v>883</v>
      </c>
      <c r="X808" s="48">
        <v>463.5</v>
      </c>
      <c r="Y808" s="48">
        <v>46</v>
      </c>
      <c r="Z808" s="48">
        <v>803</v>
      </c>
    </row>
    <row r="809" spans="1:26" ht="15" hidden="1" customHeight="1">
      <c r="A809" s="48" t="s">
        <v>1706</v>
      </c>
      <c r="B809" s="48" t="s">
        <v>1706</v>
      </c>
      <c r="C809" s="48" t="s">
        <v>1707</v>
      </c>
      <c r="D809" s="48" t="s">
        <v>50</v>
      </c>
      <c r="E809" s="48" t="s">
        <v>150</v>
      </c>
      <c r="F809" s="48">
        <v>91</v>
      </c>
      <c r="G809" s="48">
        <v>49</v>
      </c>
      <c r="H809" s="48">
        <v>890</v>
      </c>
      <c r="I809" s="48">
        <v>70</v>
      </c>
      <c r="J809" s="48">
        <v>51</v>
      </c>
      <c r="K809" s="48">
        <v>815</v>
      </c>
      <c r="L809" s="48">
        <v>112.5</v>
      </c>
      <c r="M809" s="48">
        <v>22</v>
      </c>
      <c r="N809" s="48">
        <v>401</v>
      </c>
      <c r="O809" s="48">
        <v>52</v>
      </c>
      <c r="P809" s="48">
        <v>46</v>
      </c>
      <c r="Q809" s="48">
        <v>798</v>
      </c>
      <c r="R809" s="48">
        <v>65</v>
      </c>
      <c r="S809" s="48">
        <v>54</v>
      </c>
      <c r="T809" s="48">
        <v>866</v>
      </c>
      <c r="U809" s="48">
        <v>73</v>
      </c>
      <c r="V809" s="48">
        <v>29</v>
      </c>
      <c r="W809" s="48">
        <v>275</v>
      </c>
      <c r="X809" s="48">
        <v>463.5</v>
      </c>
      <c r="Y809" s="48">
        <v>49</v>
      </c>
      <c r="Z809" s="48">
        <v>803</v>
      </c>
    </row>
    <row r="810" spans="1:26" ht="15" hidden="1" customHeight="1">
      <c r="A810" s="48" t="s">
        <v>1708</v>
      </c>
      <c r="B810" s="48" t="s">
        <v>1708</v>
      </c>
      <c r="C810" s="48" t="s">
        <v>1709</v>
      </c>
      <c r="D810" s="48" t="s">
        <v>50</v>
      </c>
      <c r="E810" s="48" t="s">
        <v>97</v>
      </c>
      <c r="F810" s="48">
        <v>92</v>
      </c>
      <c r="G810" s="48">
        <v>52</v>
      </c>
      <c r="H810" s="48">
        <v>882</v>
      </c>
      <c r="I810" s="48">
        <v>83</v>
      </c>
      <c r="J810" s="48">
        <v>39</v>
      </c>
      <c r="K810" s="48">
        <v>667</v>
      </c>
      <c r="L810" s="48">
        <v>81</v>
      </c>
      <c r="M810" s="48">
        <v>53</v>
      </c>
      <c r="N810" s="48">
        <v>889</v>
      </c>
      <c r="O810" s="48">
        <v>58</v>
      </c>
      <c r="P810" s="48">
        <v>37</v>
      </c>
      <c r="Q810" s="48">
        <v>698</v>
      </c>
      <c r="R810" s="48">
        <v>87</v>
      </c>
      <c r="S810" s="48">
        <v>14</v>
      </c>
      <c r="T810" s="48">
        <v>268</v>
      </c>
      <c r="U810" s="48">
        <v>62</v>
      </c>
      <c r="V810" s="48">
        <v>42</v>
      </c>
      <c r="W810" s="48">
        <v>657</v>
      </c>
      <c r="X810" s="48">
        <v>463</v>
      </c>
      <c r="Y810" s="48">
        <v>46</v>
      </c>
      <c r="Z810" s="48">
        <v>807</v>
      </c>
    </row>
    <row r="811" spans="1:26" ht="15" hidden="1" customHeight="1">
      <c r="A811" s="48" t="s">
        <v>1710</v>
      </c>
      <c r="B811" s="48" t="s">
        <v>1710</v>
      </c>
      <c r="C811" s="48" t="s">
        <v>1711</v>
      </c>
      <c r="D811" s="48" t="s">
        <v>50</v>
      </c>
      <c r="E811" s="48" t="s">
        <v>296</v>
      </c>
      <c r="F811" s="48">
        <v>95</v>
      </c>
      <c r="G811" s="48">
        <v>41</v>
      </c>
      <c r="H811" s="48">
        <v>837</v>
      </c>
      <c r="I811" s="48">
        <v>78</v>
      </c>
      <c r="J811" s="48">
        <v>40</v>
      </c>
      <c r="K811" s="48">
        <v>729</v>
      </c>
      <c r="L811" s="48">
        <v>99</v>
      </c>
      <c r="M811" s="48">
        <v>44</v>
      </c>
      <c r="N811" s="48">
        <v>707</v>
      </c>
      <c r="O811" s="48">
        <v>58</v>
      </c>
      <c r="P811" s="48">
        <v>43</v>
      </c>
      <c r="Q811" s="48">
        <v>698</v>
      </c>
      <c r="R811" s="48">
        <v>81</v>
      </c>
      <c r="S811" s="48">
        <v>25</v>
      </c>
      <c r="T811" s="48">
        <v>474</v>
      </c>
      <c r="U811" s="48">
        <v>52</v>
      </c>
      <c r="V811" s="48">
        <v>43</v>
      </c>
      <c r="W811" s="48">
        <v>849</v>
      </c>
      <c r="X811" s="48">
        <v>463</v>
      </c>
      <c r="Y811" s="48">
        <v>47</v>
      </c>
      <c r="Z811" s="48">
        <v>807</v>
      </c>
    </row>
    <row r="812" spans="1:26" ht="15" hidden="1" customHeight="1">
      <c r="A812" s="48" t="s">
        <v>1712</v>
      </c>
      <c r="B812" s="48" t="s">
        <v>1712</v>
      </c>
      <c r="C812" s="48" t="s">
        <v>1713</v>
      </c>
      <c r="D812" s="48" t="s">
        <v>50</v>
      </c>
      <c r="E812" s="48" t="s">
        <v>84</v>
      </c>
      <c r="F812" s="48">
        <v>100</v>
      </c>
      <c r="G812" s="48">
        <v>40</v>
      </c>
      <c r="H812" s="48">
        <v>715</v>
      </c>
      <c r="I812" s="48">
        <v>86</v>
      </c>
      <c r="J812" s="48">
        <v>36</v>
      </c>
      <c r="K812" s="48">
        <v>626</v>
      </c>
      <c r="L812" s="48">
        <v>117.5</v>
      </c>
      <c r="M812" s="48">
        <v>15</v>
      </c>
      <c r="N812" s="48">
        <v>281</v>
      </c>
      <c r="O812" s="48">
        <v>45</v>
      </c>
      <c r="P812" s="48">
        <v>53</v>
      </c>
      <c r="Q812" s="48">
        <v>878</v>
      </c>
      <c r="R812" s="48">
        <v>67</v>
      </c>
      <c r="S812" s="48">
        <v>47</v>
      </c>
      <c r="T812" s="48">
        <v>837</v>
      </c>
      <c r="U812" s="48">
        <v>47</v>
      </c>
      <c r="V812" s="48">
        <v>55</v>
      </c>
      <c r="W812" s="48">
        <v>901</v>
      </c>
      <c r="X812" s="48">
        <v>462.5</v>
      </c>
      <c r="Y812" s="48">
        <v>48</v>
      </c>
      <c r="Z812" s="48">
        <v>809</v>
      </c>
    </row>
    <row r="813" spans="1:26" ht="15" hidden="1" customHeight="1">
      <c r="A813" s="48" t="s">
        <v>1714</v>
      </c>
      <c r="B813" s="48" t="s">
        <v>1714</v>
      </c>
      <c r="C813" s="48" t="s">
        <v>1715</v>
      </c>
      <c r="D813" s="48" t="s">
        <v>50</v>
      </c>
      <c r="E813" s="48" t="s">
        <v>97</v>
      </c>
      <c r="F813" s="48">
        <v>111</v>
      </c>
      <c r="G813" s="48">
        <v>16</v>
      </c>
      <c r="H813" s="48">
        <v>271</v>
      </c>
      <c r="I813" s="48">
        <v>67</v>
      </c>
      <c r="J813" s="48">
        <v>51</v>
      </c>
      <c r="K813" s="48">
        <v>839</v>
      </c>
      <c r="L813" s="48">
        <v>102.5</v>
      </c>
      <c r="M813" s="48">
        <v>36</v>
      </c>
      <c r="N813" s="48">
        <v>635</v>
      </c>
      <c r="O813" s="48">
        <v>34</v>
      </c>
      <c r="P813" s="48">
        <v>55</v>
      </c>
      <c r="Q813" s="48">
        <v>933</v>
      </c>
      <c r="R813" s="48">
        <v>71</v>
      </c>
      <c r="S813" s="48">
        <v>47</v>
      </c>
      <c r="T813" s="48">
        <v>773</v>
      </c>
      <c r="U813" s="48">
        <v>77</v>
      </c>
      <c r="V813" s="48">
        <v>15</v>
      </c>
      <c r="W813" s="48">
        <v>162</v>
      </c>
      <c r="X813" s="48">
        <v>462.5</v>
      </c>
      <c r="Y813" s="48">
        <v>47</v>
      </c>
      <c r="Z813" s="48">
        <v>809</v>
      </c>
    </row>
    <row r="814" spans="1:26" ht="15" hidden="1" customHeight="1">
      <c r="A814" s="48" t="s">
        <v>1716</v>
      </c>
      <c r="B814" s="48" t="s">
        <v>1716</v>
      </c>
      <c r="C814" s="48" t="s">
        <v>1717</v>
      </c>
      <c r="D814" s="48" t="s">
        <v>50</v>
      </c>
      <c r="E814" s="48" t="s">
        <v>106</v>
      </c>
      <c r="F814" s="48">
        <v>99</v>
      </c>
      <c r="G814" s="48">
        <v>46</v>
      </c>
      <c r="H814" s="48">
        <v>754</v>
      </c>
      <c r="I814" s="48">
        <v>99</v>
      </c>
      <c r="J814" s="48">
        <v>22</v>
      </c>
      <c r="K814" s="48">
        <v>436</v>
      </c>
      <c r="L814" s="48">
        <v>103.5</v>
      </c>
      <c r="M814" s="48">
        <v>34</v>
      </c>
      <c r="N814" s="48">
        <v>612</v>
      </c>
      <c r="O814" s="48">
        <v>43</v>
      </c>
      <c r="P814" s="48">
        <v>53</v>
      </c>
      <c r="Q814" s="48">
        <v>890</v>
      </c>
      <c r="R814" s="48">
        <v>65</v>
      </c>
      <c r="S814" s="48">
        <v>50</v>
      </c>
      <c r="T814" s="48">
        <v>866</v>
      </c>
      <c r="U814" s="48">
        <v>53</v>
      </c>
      <c r="V814" s="48">
        <v>42</v>
      </c>
      <c r="W814" s="48">
        <v>832</v>
      </c>
      <c r="X814" s="48">
        <v>462.5</v>
      </c>
      <c r="Y814" s="48">
        <v>46</v>
      </c>
      <c r="Z814" s="48">
        <v>809</v>
      </c>
    </row>
    <row r="815" spans="1:26" ht="15" hidden="1" customHeight="1">
      <c r="A815" s="48" t="s">
        <v>1718</v>
      </c>
      <c r="B815" s="48" t="s">
        <v>1718</v>
      </c>
      <c r="C815" s="48" t="s">
        <v>1719</v>
      </c>
      <c r="D815" s="48" t="s">
        <v>50</v>
      </c>
      <c r="E815" s="48" t="s">
        <v>217</v>
      </c>
      <c r="F815" s="48">
        <v>92</v>
      </c>
      <c r="G815" s="48">
        <v>49</v>
      </c>
      <c r="H815" s="48">
        <v>882</v>
      </c>
      <c r="I815" s="48">
        <v>66</v>
      </c>
      <c r="J815" s="48">
        <v>52</v>
      </c>
      <c r="K815" s="48">
        <v>847</v>
      </c>
      <c r="L815" s="48">
        <v>111.5</v>
      </c>
      <c r="M815" s="48">
        <v>20</v>
      </c>
      <c r="N815" s="48">
        <v>427</v>
      </c>
      <c r="O815" s="48">
        <v>63</v>
      </c>
      <c r="P815" s="48">
        <v>32</v>
      </c>
      <c r="Q815" s="48">
        <v>581</v>
      </c>
      <c r="R815" s="48">
        <v>82</v>
      </c>
      <c r="S815" s="48">
        <v>21</v>
      </c>
      <c r="T815" s="48">
        <v>452</v>
      </c>
      <c r="U815" s="48">
        <v>48</v>
      </c>
      <c r="V815" s="48">
        <v>56</v>
      </c>
      <c r="W815" s="48">
        <v>893</v>
      </c>
      <c r="X815" s="48">
        <v>462.5</v>
      </c>
      <c r="Y815" s="48">
        <v>52</v>
      </c>
      <c r="Z815" s="48">
        <v>809</v>
      </c>
    </row>
    <row r="816" spans="1:26" ht="15" hidden="1" customHeight="1">
      <c r="A816" s="48" t="s">
        <v>1720</v>
      </c>
      <c r="B816" s="48" t="s">
        <v>1720</v>
      </c>
      <c r="C816" s="48" t="s">
        <v>1721</v>
      </c>
      <c r="D816" s="48" t="s">
        <v>50</v>
      </c>
      <c r="E816" s="48" t="s">
        <v>249</v>
      </c>
      <c r="F816" s="48">
        <v>104</v>
      </c>
      <c r="G816" s="48">
        <v>45</v>
      </c>
      <c r="H816" s="48">
        <v>573</v>
      </c>
      <c r="I816" s="48">
        <v>73</v>
      </c>
      <c r="J816" s="48">
        <v>45</v>
      </c>
      <c r="K816" s="48">
        <v>788</v>
      </c>
      <c r="L816" s="48">
        <v>99</v>
      </c>
      <c r="M816" s="48">
        <v>36</v>
      </c>
      <c r="N816" s="48">
        <v>707</v>
      </c>
      <c r="O816" s="48">
        <v>69</v>
      </c>
      <c r="P816" s="48">
        <v>27</v>
      </c>
      <c r="Q816" s="48">
        <v>452</v>
      </c>
      <c r="R816" s="48">
        <v>66</v>
      </c>
      <c r="S816" s="48">
        <v>42</v>
      </c>
      <c r="T816" s="48">
        <v>849</v>
      </c>
      <c r="U816" s="48">
        <v>51</v>
      </c>
      <c r="V816" s="48">
        <v>49</v>
      </c>
      <c r="W816" s="48">
        <v>862</v>
      </c>
      <c r="X816" s="48">
        <v>462</v>
      </c>
      <c r="Y816" s="48">
        <v>45</v>
      </c>
      <c r="Z816" s="48">
        <v>813</v>
      </c>
    </row>
    <row r="817" spans="1:26" ht="15" hidden="1" customHeight="1">
      <c r="A817" s="48" t="s">
        <v>1722</v>
      </c>
      <c r="B817" s="48" t="s">
        <v>1722</v>
      </c>
      <c r="C817" s="48" t="s">
        <v>1723</v>
      </c>
      <c r="D817" s="48" t="s">
        <v>50</v>
      </c>
      <c r="E817" s="48" t="s">
        <v>150</v>
      </c>
      <c r="F817" s="48">
        <v>100</v>
      </c>
      <c r="G817" s="48">
        <v>35</v>
      </c>
      <c r="H817" s="48">
        <v>715</v>
      </c>
      <c r="I817" s="48">
        <v>63</v>
      </c>
      <c r="J817" s="48">
        <v>53</v>
      </c>
      <c r="K817" s="48">
        <v>861</v>
      </c>
      <c r="L817" s="48">
        <v>90.5</v>
      </c>
      <c r="M817" s="48">
        <v>46</v>
      </c>
      <c r="N817" s="48">
        <v>822</v>
      </c>
      <c r="O817" s="48">
        <v>61</v>
      </c>
      <c r="P817" s="48">
        <v>33</v>
      </c>
      <c r="Q817" s="48">
        <v>627</v>
      </c>
      <c r="R817" s="48">
        <v>73</v>
      </c>
      <c r="S817" s="48">
        <v>49</v>
      </c>
      <c r="T817" s="48">
        <v>717</v>
      </c>
      <c r="U817" s="48">
        <v>74</v>
      </c>
      <c r="V817" s="48">
        <v>24</v>
      </c>
      <c r="W817" s="48">
        <v>247</v>
      </c>
      <c r="X817" s="48">
        <v>461.5</v>
      </c>
      <c r="Y817" s="48">
        <v>50</v>
      </c>
      <c r="Z817" s="48">
        <v>814</v>
      </c>
    </row>
    <row r="818" spans="1:26" ht="15" hidden="1" customHeight="1">
      <c r="A818" s="48" t="s">
        <v>1724</v>
      </c>
      <c r="B818" s="48" t="s">
        <v>1724</v>
      </c>
      <c r="C818" s="48" t="s">
        <v>1725</v>
      </c>
      <c r="D818" s="48" t="s">
        <v>50</v>
      </c>
      <c r="E818" s="48" t="s">
        <v>92</v>
      </c>
      <c r="F818" s="48">
        <v>115</v>
      </c>
      <c r="G818" s="48">
        <v>3</v>
      </c>
      <c r="H818" s="48">
        <v>140</v>
      </c>
      <c r="I818" s="48">
        <v>72</v>
      </c>
      <c r="J818" s="48">
        <v>49</v>
      </c>
      <c r="K818" s="48">
        <v>802</v>
      </c>
      <c r="L818" s="48">
        <v>98</v>
      </c>
      <c r="M818" s="48">
        <v>39</v>
      </c>
      <c r="N818" s="48">
        <v>728</v>
      </c>
      <c r="O818" s="48">
        <v>44</v>
      </c>
      <c r="P818" s="48">
        <v>53</v>
      </c>
      <c r="Q818" s="48">
        <v>885</v>
      </c>
      <c r="R818" s="48">
        <v>66</v>
      </c>
      <c r="S818" s="48">
        <v>55</v>
      </c>
      <c r="T818" s="48">
        <v>849</v>
      </c>
      <c r="U818" s="48">
        <v>66</v>
      </c>
      <c r="V818" s="48">
        <v>36</v>
      </c>
      <c r="W818" s="48">
        <v>519</v>
      </c>
      <c r="X818" s="48">
        <v>461</v>
      </c>
      <c r="Y818" s="48">
        <v>45</v>
      </c>
      <c r="Z818" s="48">
        <v>815</v>
      </c>
    </row>
    <row r="819" spans="1:26" ht="15" hidden="1" customHeight="1">
      <c r="A819" s="48" t="s">
        <v>1726</v>
      </c>
      <c r="B819" s="48" t="s">
        <v>1726</v>
      </c>
      <c r="C819" s="48" t="s">
        <v>1727</v>
      </c>
      <c r="D819" s="48" t="s">
        <v>50</v>
      </c>
      <c r="E819" s="48" t="s">
        <v>172</v>
      </c>
      <c r="F819" s="48">
        <v>107</v>
      </c>
      <c r="G819" s="48">
        <v>22</v>
      </c>
      <c r="H819" s="48">
        <v>429</v>
      </c>
      <c r="I819" s="48">
        <v>68</v>
      </c>
      <c r="J819" s="48">
        <v>49</v>
      </c>
      <c r="K819" s="48">
        <v>835</v>
      </c>
      <c r="L819" s="48">
        <v>121</v>
      </c>
      <c r="M819" s="48">
        <v>8</v>
      </c>
      <c r="N819" s="48">
        <v>173</v>
      </c>
      <c r="O819" s="48">
        <v>49</v>
      </c>
      <c r="P819" s="48">
        <v>50</v>
      </c>
      <c r="Q819" s="48">
        <v>842</v>
      </c>
      <c r="R819" s="48">
        <v>59</v>
      </c>
      <c r="S819" s="48">
        <v>56</v>
      </c>
      <c r="T819" s="48">
        <v>911</v>
      </c>
      <c r="U819" s="48">
        <v>57</v>
      </c>
      <c r="V819" s="48">
        <v>47</v>
      </c>
      <c r="W819" s="48">
        <v>770</v>
      </c>
      <c r="X819" s="48">
        <v>461</v>
      </c>
      <c r="Y819" s="48">
        <v>48</v>
      </c>
      <c r="Z819" s="48">
        <v>815</v>
      </c>
    </row>
    <row r="820" spans="1:26" ht="15" hidden="1" customHeight="1">
      <c r="A820" s="48" t="s">
        <v>1728</v>
      </c>
      <c r="B820" s="48" t="s">
        <v>1728</v>
      </c>
      <c r="C820" s="48" t="s">
        <v>1729</v>
      </c>
      <c r="D820" s="48" t="s">
        <v>50</v>
      </c>
      <c r="E820" s="48" t="s">
        <v>92</v>
      </c>
      <c r="F820" s="48">
        <v>59</v>
      </c>
      <c r="G820" s="48">
        <v>57</v>
      </c>
      <c r="H820" s="48">
        <v>951</v>
      </c>
      <c r="I820" s="48">
        <v>82</v>
      </c>
      <c r="J820" s="48">
        <v>39</v>
      </c>
      <c r="K820" s="48">
        <v>676</v>
      </c>
      <c r="L820" s="48">
        <v>99</v>
      </c>
      <c r="M820" s="48">
        <v>37</v>
      </c>
      <c r="N820" s="48">
        <v>707</v>
      </c>
      <c r="O820" s="48">
        <v>73</v>
      </c>
      <c r="P820" s="48">
        <v>20</v>
      </c>
      <c r="Q820" s="48">
        <v>370</v>
      </c>
      <c r="R820" s="48">
        <v>69</v>
      </c>
      <c r="S820" s="48">
        <v>54</v>
      </c>
      <c r="T820" s="48">
        <v>810</v>
      </c>
      <c r="U820" s="48">
        <v>78</v>
      </c>
      <c r="V820" s="48">
        <v>11</v>
      </c>
      <c r="W820" s="48">
        <v>133</v>
      </c>
      <c r="X820" s="48">
        <v>460</v>
      </c>
      <c r="Y820" s="48">
        <v>46</v>
      </c>
      <c r="Z820" s="48">
        <v>817</v>
      </c>
    </row>
    <row r="821" spans="1:26" ht="15" hidden="1" customHeight="1">
      <c r="A821" s="48" t="s">
        <v>1730</v>
      </c>
      <c r="B821" s="48" t="s">
        <v>1730</v>
      </c>
      <c r="C821" s="48" t="s">
        <v>1731</v>
      </c>
      <c r="D821" s="48" t="s">
        <v>50</v>
      </c>
      <c r="E821" s="48" t="s">
        <v>92</v>
      </c>
      <c r="F821" s="48">
        <v>95</v>
      </c>
      <c r="G821" s="48">
        <v>43</v>
      </c>
      <c r="H821" s="48">
        <v>837</v>
      </c>
      <c r="I821" s="48">
        <v>96</v>
      </c>
      <c r="J821" s="48">
        <v>29</v>
      </c>
      <c r="K821" s="48">
        <v>483</v>
      </c>
      <c r="L821" s="48">
        <v>87.5</v>
      </c>
      <c r="M821" s="48">
        <v>49</v>
      </c>
      <c r="N821" s="48">
        <v>855</v>
      </c>
      <c r="O821" s="48">
        <v>52</v>
      </c>
      <c r="P821" s="48">
        <v>47</v>
      </c>
      <c r="Q821" s="48">
        <v>798</v>
      </c>
      <c r="R821" s="48">
        <v>71</v>
      </c>
      <c r="S821" s="48">
        <v>50</v>
      </c>
      <c r="T821" s="48">
        <v>773</v>
      </c>
      <c r="U821" s="48">
        <v>58</v>
      </c>
      <c r="V821" s="48">
        <v>50</v>
      </c>
      <c r="W821" s="48">
        <v>754</v>
      </c>
      <c r="X821" s="48">
        <v>459.5</v>
      </c>
      <c r="Y821" s="48">
        <v>47</v>
      </c>
      <c r="Z821" s="48">
        <v>818</v>
      </c>
    </row>
    <row r="822" spans="1:26" ht="15" hidden="1" customHeight="1">
      <c r="A822" s="48" t="s">
        <v>1732</v>
      </c>
      <c r="B822" s="48" t="s">
        <v>1732</v>
      </c>
      <c r="C822" s="48" t="s">
        <v>1733</v>
      </c>
      <c r="D822" s="48" t="s">
        <v>50</v>
      </c>
      <c r="E822" s="48" t="s">
        <v>210</v>
      </c>
      <c r="F822" s="48">
        <v>95</v>
      </c>
      <c r="G822" s="48">
        <v>52</v>
      </c>
      <c r="H822" s="48">
        <v>837</v>
      </c>
      <c r="I822" s="48">
        <v>89</v>
      </c>
      <c r="J822" s="48">
        <v>35</v>
      </c>
      <c r="K822" s="48">
        <v>587</v>
      </c>
      <c r="L822" s="48">
        <v>95.5</v>
      </c>
      <c r="M822" s="48">
        <v>46</v>
      </c>
      <c r="N822" s="48">
        <v>769</v>
      </c>
      <c r="O822" s="48">
        <v>48</v>
      </c>
      <c r="P822" s="48">
        <v>54</v>
      </c>
      <c r="Q822" s="48">
        <v>854</v>
      </c>
      <c r="R822" s="48">
        <v>76</v>
      </c>
      <c r="S822" s="48">
        <v>39</v>
      </c>
      <c r="T822" s="48">
        <v>642</v>
      </c>
      <c r="U822" s="48">
        <v>56</v>
      </c>
      <c r="V822" s="48">
        <v>47</v>
      </c>
      <c r="W822" s="48">
        <v>789</v>
      </c>
      <c r="X822" s="48">
        <v>459.5</v>
      </c>
      <c r="Y822" s="48">
        <v>52</v>
      </c>
      <c r="Z822" s="48">
        <v>818</v>
      </c>
    </row>
    <row r="823" spans="1:26" ht="15" hidden="1" customHeight="1">
      <c r="A823" s="48" t="s">
        <v>1734</v>
      </c>
      <c r="B823" s="48" t="s">
        <v>1734</v>
      </c>
      <c r="C823" s="48" t="s">
        <v>1735</v>
      </c>
      <c r="D823" s="48" t="s">
        <v>50</v>
      </c>
      <c r="E823" s="48" t="s">
        <v>217</v>
      </c>
      <c r="F823" s="48">
        <v>106</v>
      </c>
      <c r="G823" s="48">
        <v>26</v>
      </c>
      <c r="H823" s="48">
        <v>477</v>
      </c>
      <c r="I823" s="48">
        <v>65</v>
      </c>
      <c r="J823" s="48">
        <v>53</v>
      </c>
      <c r="K823" s="48">
        <v>853</v>
      </c>
      <c r="L823" s="48">
        <v>106</v>
      </c>
      <c r="M823" s="48">
        <v>27</v>
      </c>
      <c r="N823" s="48">
        <v>558</v>
      </c>
      <c r="O823" s="48">
        <v>45</v>
      </c>
      <c r="P823" s="48">
        <v>53</v>
      </c>
      <c r="Q823" s="48">
        <v>878</v>
      </c>
      <c r="R823" s="48">
        <v>72</v>
      </c>
      <c r="S823" s="48">
        <v>46</v>
      </c>
      <c r="T823" s="48">
        <v>751</v>
      </c>
      <c r="U823" s="48">
        <v>65</v>
      </c>
      <c r="V823" s="48">
        <v>29</v>
      </c>
      <c r="W823" s="48">
        <v>554</v>
      </c>
      <c r="X823" s="48">
        <v>459</v>
      </c>
      <c r="Y823" s="48">
        <v>53</v>
      </c>
      <c r="Z823" s="48">
        <v>820</v>
      </c>
    </row>
    <row r="824" spans="1:26" ht="15" hidden="1" customHeight="1">
      <c r="A824" s="48" t="s">
        <v>1736</v>
      </c>
      <c r="B824" s="48" t="s">
        <v>1736</v>
      </c>
      <c r="C824" s="48" t="s">
        <v>1737</v>
      </c>
      <c r="D824" s="48" t="s">
        <v>50</v>
      </c>
      <c r="E824" s="48" t="s">
        <v>84</v>
      </c>
      <c r="F824" s="48">
        <v>97</v>
      </c>
      <c r="G824" s="48">
        <v>45</v>
      </c>
      <c r="H824" s="48">
        <v>795</v>
      </c>
      <c r="I824" s="48">
        <v>94</v>
      </c>
      <c r="J824" s="48">
        <v>26</v>
      </c>
      <c r="K824" s="48">
        <v>523</v>
      </c>
      <c r="L824" s="48">
        <v>103.5</v>
      </c>
      <c r="M824" s="48">
        <v>41</v>
      </c>
      <c r="N824" s="48">
        <v>612</v>
      </c>
      <c r="O824" s="48">
        <v>61</v>
      </c>
      <c r="P824" s="48">
        <v>40</v>
      </c>
      <c r="Q824" s="48">
        <v>627</v>
      </c>
      <c r="R824" s="48">
        <v>61</v>
      </c>
      <c r="S824" s="48">
        <v>54</v>
      </c>
      <c r="T824" s="48">
        <v>901</v>
      </c>
      <c r="U824" s="48">
        <v>42</v>
      </c>
      <c r="V824" s="48">
        <v>56</v>
      </c>
      <c r="W824" s="48">
        <v>925</v>
      </c>
      <c r="X824" s="48">
        <v>458.5</v>
      </c>
      <c r="Y824" s="48">
        <v>49</v>
      </c>
      <c r="Z824" s="48">
        <v>821</v>
      </c>
    </row>
    <row r="825" spans="1:26" ht="15" hidden="1" customHeight="1">
      <c r="A825" s="48" t="s">
        <v>1738</v>
      </c>
      <c r="B825" s="48" t="s">
        <v>1738</v>
      </c>
      <c r="C825" s="48" t="s">
        <v>1739</v>
      </c>
      <c r="D825" s="48" t="s">
        <v>50</v>
      </c>
      <c r="E825" s="48" t="s">
        <v>296</v>
      </c>
      <c r="F825" s="48">
        <v>103</v>
      </c>
      <c r="G825" s="48">
        <v>26</v>
      </c>
      <c r="H825" s="48">
        <v>606</v>
      </c>
      <c r="I825" s="48">
        <v>51</v>
      </c>
      <c r="J825" s="48">
        <v>55</v>
      </c>
      <c r="K825" s="48">
        <v>921</v>
      </c>
      <c r="L825" s="48">
        <v>123</v>
      </c>
      <c r="M825" s="48">
        <v>10</v>
      </c>
      <c r="N825" s="48">
        <v>132</v>
      </c>
      <c r="O825" s="48">
        <v>51</v>
      </c>
      <c r="P825" s="48">
        <v>48</v>
      </c>
      <c r="Q825" s="48">
        <v>812</v>
      </c>
      <c r="R825" s="48">
        <v>77</v>
      </c>
      <c r="S825" s="48">
        <v>34</v>
      </c>
      <c r="T825" s="48">
        <v>608</v>
      </c>
      <c r="U825" s="48">
        <v>53</v>
      </c>
      <c r="V825" s="48">
        <v>41</v>
      </c>
      <c r="W825" s="48">
        <v>832</v>
      </c>
      <c r="X825" s="48">
        <v>458</v>
      </c>
      <c r="Y825" s="48">
        <v>48</v>
      </c>
      <c r="Z825" s="48">
        <v>822</v>
      </c>
    </row>
    <row r="826" spans="1:26" ht="15" hidden="1" customHeight="1">
      <c r="A826" s="48" t="s">
        <v>1740</v>
      </c>
      <c r="B826" s="48" t="s">
        <v>1740</v>
      </c>
      <c r="C826" s="48" t="s">
        <v>1741</v>
      </c>
      <c r="D826" s="48" t="s">
        <v>50</v>
      </c>
      <c r="E826" s="48" t="s">
        <v>203</v>
      </c>
      <c r="F826" s="48">
        <v>99</v>
      </c>
      <c r="G826" s="48">
        <v>46</v>
      </c>
      <c r="H826" s="48">
        <v>754</v>
      </c>
      <c r="I826" s="48">
        <v>80</v>
      </c>
      <c r="J826" s="48">
        <v>35</v>
      </c>
      <c r="K826" s="48">
        <v>699</v>
      </c>
      <c r="L826" s="48">
        <v>74</v>
      </c>
      <c r="M826" s="48">
        <v>56</v>
      </c>
      <c r="N826" s="48">
        <v>918</v>
      </c>
      <c r="O826" s="48">
        <v>60</v>
      </c>
      <c r="P826" s="48">
        <v>39</v>
      </c>
      <c r="Q826" s="48">
        <v>647</v>
      </c>
      <c r="R826" s="48">
        <v>79</v>
      </c>
      <c r="S826" s="48">
        <v>28</v>
      </c>
      <c r="T826" s="48">
        <v>539</v>
      </c>
      <c r="U826" s="48">
        <v>66</v>
      </c>
      <c r="V826" s="48">
        <v>28</v>
      </c>
      <c r="W826" s="48">
        <v>519</v>
      </c>
      <c r="X826" s="48">
        <v>458</v>
      </c>
      <c r="Y826" s="48">
        <v>46</v>
      </c>
      <c r="Z826" s="48">
        <v>822</v>
      </c>
    </row>
    <row r="827" spans="1:26" ht="15" hidden="1" customHeight="1">
      <c r="A827" s="48" t="s">
        <v>1742</v>
      </c>
      <c r="B827" s="48" t="s">
        <v>1742</v>
      </c>
      <c r="C827" s="48" t="s">
        <v>1743</v>
      </c>
      <c r="D827" s="48" t="s">
        <v>50</v>
      </c>
      <c r="E827" s="48" t="s">
        <v>240</v>
      </c>
      <c r="F827" s="48">
        <v>103</v>
      </c>
      <c r="G827" s="48">
        <v>36</v>
      </c>
      <c r="H827" s="48">
        <v>606</v>
      </c>
      <c r="I827" s="48">
        <v>70</v>
      </c>
      <c r="J827" s="48">
        <v>49</v>
      </c>
      <c r="K827" s="48">
        <v>815</v>
      </c>
      <c r="L827" s="48">
        <v>110.5</v>
      </c>
      <c r="M827" s="48">
        <v>28</v>
      </c>
      <c r="N827" s="48">
        <v>465</v>
      </c>
      <c r="O827" s="48">
        <v>44</v>
      </c>
      <c r="P827" s="48">
        <v>53</v>
      </c>
      <c r="Q827" s="48">
        <v>885</v>
      </c>
      <c r="R827" s="48">
        <v>76</v>
      </c>
      <c r="S827" s="48">
        <v>35</v>
      </c>
      <c r="T827" s="48">
        <v>642</v>
      </c>
      <c r="U827" s="48">
        <v>54</v>
      </c>
      <c r="V827" s="48">
        <v>54</v>
      </c>
      <c r="W827" s="48">
        <v>817</v>
      </c>
      <c r="X827" s="48">
        <v>457.5</v>
      </c>
      <c r="Y827" s="48">
        <v>51</v>
      </c>
      <c r="Z827" s="48">
        <v>824</v>
      </c>
    </row>
    <row r="828" spans="1:26" ht="15" hidden="1" customHeight="1">
      <c r="A828" s="48" t="s">
        <v>1744</v>
      </c>
      <c r="B828" s="48" t="s">
        <v>1744</v>
      </c>
      <c r="C828" s="48" t="s">
        <v>1745</v>
      </c>
      <c r="D828" s="48" t="s">
        <v>50</v>
      </c>
      <c r="E828" s="48" t="s">
        <v>92</v>
      </c>
      <c r="F828" s="48">
        <v>102</v>
      </c>
      <c r="G828" s="48">
        <v>30</v>
      </c>
      <c r="H828" s="48">
        <v>655</v>
      </c>
      <c r="I828" s="48">
        <v>72</v>
      </c>
      <c r="J828" s="48">
        <v>49</v>
      </c>
      <c r="K828" s="48">
        <v>802</v>
      </c>
      <c r="L828" s="48">
        <v>88</v>
      </c>
      <c r="M828" s="48">
        <v>48</v>
      </c>
      <c r="N828" s="48">
        <v>852</v>
      </c>
      <c r="O828" s="48">
        <v>55</v>
      </c>
      <c r="P828" s="48">
        <v>45</v>
      </c>
      <c r="Q828" s="48">
        <v>748</v>
      </c>
      <c r="R828" s="48">
        <v>74</v>
      </c>
      <c r="S828" s="48">
        <v>46</v>
      </c>
      <c r="T828" s="48">
        <v>702</v>
      </c>
      <c r="U828" s="48">
        <v>66</v>
      </c>
      <c r="V828" s="48">
        <v>36</v>
      </c>
      <c r="W828" s="48">
        <v>519</v>
      </c>
      <c r="X828" s="48">
        <v>457</v>
      </c>
      <c r="Y828" s="48">
        <v>48</v>
      </c>
      <c r="Z828" s="48">
        <v>825</v>
      </c>
    </row>
    <row r="829" spans="1:26" ht="15" hidden="1" customHeight="1">
      <c r="A829" s="48" t="s">
        <v>1746</v>
      </c>
      <c r="B829" s="48" t="s">
        <v>1746</v>
      </c>
      <c r="C829" s="48" t="s">
        <v>1747</v>
      </c>
      <c r="D829" s="48" t="s">
        <v>50</v>
      </c>
      <c r="E829" s="48" t="s">
        <v>169</v>
      </c>
      <c r="F829" s="48">
        <v>112</v>
      </c>
      <c r="G829" s="48">
        <v>12</v>
      </c>
      <c r="H829" s="48">
        <v>226</v>
      </c>
      <c r="I829" s="48"/>
      <c r="J829" s="48" t="s">
        <v>33</v>
      </c>
      <c r="K829" s="48" t="s">
        <v>33</v>
      </c>
      <c r="L829" s="48">
        <v>114.5</v>
      </c>
      <c r="M829" s="48">
        <v>18</v>
      </c>
      <c r="N829" s="48">
        <v>340</v>
      </c>
      <c r="O829" s="48">
        <v>80</v>
      </c>
      <c r="P829" s="48">
        <v>11</v>
      </c>
      <c r="Q829" s="48">
        <v>211</v>
      </c>
      <c r="R829" s="48">
        <v>86</v>
      </c>
      <c r="S829" s="48">
        <v>12</v>
      </c>
      <c r="T829" s="48">
        <v>304</v>
      </c>
      <c r="U829" s="48">
        <v>63</v>
      </c>
      <c r="V829" s="48">
        <v>36</v>
      </c>
      <c r="W829" s="48">
        <v>625</v>
      </c>
      <c r="X829" s="48">
        <v>455.5</v>
      </c>
      <c r="Y829" s="48">
        <v>46</v>
      </c>
      <c r="Z829" s="48">
        <v>826</v>
      </c>
    </row>
    <row r="830" spans="1:26" ht="15" hidden="1" customHeight="1">
      <c r="A830" s="48" t="s">
        <v>1748</v>
      </c>
      <c r="B830" s="48" t="s">
        <v>1748</v>
      </c>
      <c r="C830" s="48" t="s">
        <v>1749</v>
      </c>
      <c r="D830" s="48" t="s">
        <v>50</v>
      </c>
      <c r="E830" s="48" t="s">
        <v>97</v>
      </c>
      <c r="F830" s="48">
        <v>84</v>
      </c>
      <c r="G830" s="48">
        <v>57</v>
      </c>
      <c r="H830" s="48">
        <v>933</v>
      </c>
      <c r="I830" s="48">
        <v>105</v>
      </c>
      <c r="J830" s="48">
        <v>20</v>
      </c>
      <c r="K830" s="48">
        <v>340</v>
      </c>
      <c r="L830" s="48">
        <v>103</v>
      </c>
      <c r="M830" s="48">
        <v>35</v>
      </c>
      <c r="N830" s="48">
        <v>630</v>
      </c>
      <c r="O830" s="48">
        <v>34</v>
      </c>
      <c r="P830" s="48">
        <v>55</v>
      </c>
      <c r="Q830" s="48">
        <v>933</v>
      </c>
      <c r="R830" s="48">
        <v>64</v>
      </c>
      <c r="S830" s="48">
        <v>55</v>
      </c>
      <c r="T830" s="48">
        <v>881</v>
      </c>
      <c r="U830" s="48">
        <v>65</v>
      </c>
      <c r="V830" s="48">
        <v>38</v>
      </c>
      <c r="W830" s="48">
        <v>554</v>
      </c>
      <c r="X830" s="48">
        <v>455</v>
      </c>
      <c r="Y830" s="48">
        <v>48</v>
      </c>
      <c r="Z830" s="48">
        <v>827</v>
      </c>
    </row>
    <row r="831" spans="1:26" ht="15" hidden="1" customHeight="1">
      <c r="A831" s="48" t="s">
        <v>1750</v>
      </c>
      <c r="B831" s="48" t="s">
        <v>1750</v>
      </c>
      <c r="C831" s="48" t="s">
        <v>1751</v>
      </c>
      <c r="D831" s="48" t="s">
        <v>50</v>
      </c>
      <c r="E831" s="48" t="s">
        <v>240</v>
      </c>
      <c r="F831" s="48">
        <v>91</v>
      </c>
      <c r="G831" s="48">
        <v>54</v>
      </c>
      <c r="H831" s="48">
        <v>890</v>
      </c>
      <c r="I831" s="48">
        <v>84</v>
      </c>
      <c r="J831" s="48">
        <v>38</v>
      </c>
      <c r="K831" s="48">
        <v>658</v>
      </c>
      <c r="L831" s="48">
        <v>114</v>
      </c>
      <c r="M831" s="48">
        <v>19</v>
      </c>
      <c r="N831" s="48">
        <v>356</v>
      </c>
      <c r="O831" s="48">
        <v>40</v>
      </c>
      <c r="P831" s="48">
        <v>56</v>
      </c>
      <c r="Q831" s="48">
        <v>909</v>
      </c>
      <c r="R831" s="48">
        <v>67</v>
      </c>
      <c r="S831" s="48">
        <v>49</v>
      </c>
      <c r="T831" s="48">
        <v>837</v>
      </c>
      <c r="U831" s="48">
        <v>59</v>
      </c>
      <c r="V831" s="48">
        <v>49</v>
      </c>
      <c r="W831" s="48">
        <v>729</v>
      </c>
      <c r="X831" s="48">
        <v>455</v>
      </c>
      <c r="Y831" s="48">
        <v>52</v>
      </c>
      <c r="Z831" s="48">
        <v>827</v>
      </c>
    </row>
    <row r="832" spans="1:26" ht="15" hidden="1" customHeight="1">
      <c r="A832" s="48" t="s">
        <v>1752</v>
      </c>
      <c r="B832" s="48" t="s">
        <v>1752</v>
      </c>
      <c r="C832" s="48" t="s">
        <v>1753</v>
      </c>
      <c r="D832" s="48" t="s">
        <v>50</v>
      </c>
      <c r="E832" s="48" t="s">
        <v>172</v>
      </c>
      <c r="F832" s="48">
        <v>94</v>
      </c>
      <c r="G832" s="48">
        <v>52</v>
      </c>
      <c r="H832" s="48">
        <v>856</v>
      </c>
      <c r="I832" s="48">
        <v>58</v>
      </c>
      <c r="J832" s="48">
        <v>55</v>
      </c>
      <c r="K832" s="48">
        <v>893</v>
      </c>
      <c r="L832" s="48">
        <v>110.5</v>
      </c>
      <c r="M832" s="48">
        <v>22</v>
      </c>
      <c r="N832" s="48">
        <v>465</v>
      </c>
      <c r="O832" s="48">
        <v>53</v>
      </c>
      <c r="P832" s="48">
        <v>47</v>
      </c>
      <c r="Q832" s="48">
        <v>786</v>
      </c>
      <c r="R832" s="48">
        <v>73</v>
      </c>
      <c r="S832" s="48">
        <v>39</v>
      </c>
      <c r="T832" s="48">
        <v>717</v>
      </c>
      <c r="U832" s="48">
        <v>66</v>
      </c>
      <c r="V832" s="48">
        <v>37</v>
      </c>
      <c r="W832" s="48">
        <v>519</v>
      </c>
      <c r="X832" s="48">
        <v>454.5</v>
      </c>
      <c r="Y832" s="48">
        <v>49</v>
      </c>
      <c r="Z832" s="48">
        <v>829</v>
      </c>
    </row>
    <row r="833" spans="1:26" ht="15" hidden="1" customHeight="1">
      <c r="A833" s="48" t="s">
        <v>1754</v>
      </c>
      <c r="B833" s="48" t="s">
        <v>1754</v>
      </c>
      <c r="C833" s="48" t="s">
        <v>1755</v>
      </c>
      <c r="D833" s="48" t="s">
        <v>50</v>
      </c>
      <c r="E833" s="48" t="s">
        <v>97</v>
      </c>
      <c r="F833" s="48">
        <v>114</v>
      </c>
      <c r="G833" s="48">
        <v>8</v>
      </c>
      <c r="H833" s="48">
        <v>170</v>
      </c>
      <c r="I833" s="48">
        <v>75</v>
      </c>
      <c r="J833" s="48">
        <v>45</v>
      </c>
      <c r="K833" s="48">
        <v>766</v>
      </c>
      <c r="L833" s="48">
        <v>92.5</v>
      </c>
      <c r="M833" s="48">
        <v>47</v>
      </c>
      <c r="N833" s="48">
        <v>801</v>
      </c>
      <c r="O833" s="48">
        <v>49</v>
      </c>
      <c r="P833" s="48">
        <v>48</v>
      </c>
      <c r="Q833" s="48">
        <v>842</v>
      </c>
      <c r="R833" s="48">
        <v>73</v>
      </c>
      <c r="S833" s="48">
        <v>42</v>
      </c>
      <c r="T833" s="48">
        <v>717</v>
      </c>
      <c r="U833" s="48">
        <v>51</v>
      </c>
      <c r="V833" s="48">
        <v>55</v>
      </c>
      <c r="W833" s="48">
        <v>862</v>
      </c>
      <c r="X833" s="48">
        <v>454.5</v>
      </c>
      <c r="Y833" s="48">
        <v>49</v>
      </c>
      <c r="Z833" s="48">
        <v>829</v>
      </c>
    </row>
    <row r="834" spans="1:26" ht="15" hidden="1" customHeight="1">
      <c r="A834" s="48" t="s">
        <v>1756</v>
      </c>
      <c r="B834" s="48" t="s">
        <v>1756</v>
      </c>
      <c r="C834" s="48" t="s">
        <v>1757</v>
      </c>
      <c r="D834" s="48" t="s">
        <v>50</v>
      </c>
      <c r="E834" s="48" t="s">
        <v>92</v>
      </c>
      <c r="F834" s="48">
        <v>99</v>
      </c>
      <c r="G834" s="48">
        <v>40</v>
      </c>
      <c r="H834" s="48">
        <v>754</v>
      </c>
      <c r="I834" s="48">
        <v>80</v>
      </c>
      <c r="J834" s="48">
        <v>42</v>
      </c>
      <c r="K834" s="48">
        <v>699</v>
      </c>
      <c r="L834" s="48">
        <v>100.5</v>
      </c>
      <c r="M834" s="48">
        <v>34</v>
      </c>
      <c r="N834" s="48">
        <v>675</v>
      </c>
      <c r="O834" s="48">
        <v>56</v>
      </c>
      <c r="P834" s="48">
        <v>43</v>
      </c>
      <c r="Q834" s="48">
        <v>731</v>
      </c>
      <c r="R834" s="48">
        <v>85</v>
      </c>
      <c r="S834" s="48">
        <v>17</v>
      </c>
      <c r="T834" s="48">
        <v>339</v>
      </c>
      <c r="U834" s="48">
        <v>34</v>
      </c>
      <c r="V834" s="48">
        <v>57</v>
      </c>
      <c r="W834" s="48">
        <v>946</v>
      </c>
      <c r="X834" s="48">
        <v>454.5</v>
      </c>
      <c r="Y834" s="48">
        <v>49</v>
      </c>
      <c r="Z834" s="48">
        <v>829</v>
      </c>
    </row>
    <row r="835" spans="1:26" ht="15" hidden="1" customHeight="1">
      <c r="A835" s="48" t="s">
        <v>1758</v>
      </c>
      <c r="B835" s="48" t="s">
        <v>1758</v>
      </c>
      <c r="C835" s="48" t="s">
        <v>1759</v>
      </c>
      <c r="D835" s="48" t="s">
        <v>50</v>
      </c>
      <c r="E835" s="48" t="s">
        <v>97</v>
      </c>
      <c r="F835" s="48">
        <v>103</v>
      </c>
      <c r="G835" s="48">
        <v>39</v>
      </c>
      <c r="H835" s="48">
        <v>606</v>
      </c>
      <c r="I835" s="48">
        <v>57</v>
      </c>
      <c r="J835" s="48">
        <v>54</v>
      </c>
      <c r="K835" s="48">
        <v>902</v>
      </c>
      <c r="L835" s="48">
        <v>85</v>
      </c>
      <c r="M835" s="48">
        <v>51</v>
      </c>
      <c r="N835" s="48">
        <v>870</v>
      </c>
      <c r="O835" s="48">
        <v>47</v>
      </c>
      <c r="P835" s="48">
        <v>49</v>
      </c>
      <c r="Q835" s="48">
        <v>863</v>
      </c>
      <c r="R835" s="48">
        <v>87</v>
      </c>
      <c r="S835" s="48">
        <v>14</v>
      </c>
      <c r="T835" s="48">
        <v>268</v>
      </c>
      <c r="U835" s="48">
        <v>75</v>
      </c>
      <c r="V835" s="48">
        <v>18</v>
      </c>
      <c r="W835" s="48">
        <v>219</v>
      </c>
      <c r="X835" s="48">
        <v>454</v>
      </c>
      <c r="Y835" s="48">
        <v>50</v>
      </c>
      <c r="Z835" s="48">
        <v>832</v>
      </c>
    </row>
    <row r="836" spans="1:26" ht="15" hidden="1" customHeight="1">
      <c r="A836" s="48" t="s">
        <v>1760</v>
      </c>
      <c r="B836" s="48" t="s">
        <v>1760</v>
      </c>
      <c r="C836" s="48" t="s">
        <v>1761</v>
      </c>
      <c r="D836" s="48" t="s">
        <v>50</v>
      </c>
      <c r="E836" s="48" t="s">
        <v>133</v>
      </c>
      <c r="F836" s="48">
        <v>92</v>
      </c>
      <c r="G836" s="48">
        <v>53</v>
      </c>
      <c r="H836" s="48">
        <v>882</v>
      </c>
      <c r="I836" s="48">
        <v>109</v>
      </c>
      <c r="J836" s="48">
        <v>18</v>
      </c>
      <c r="K836" s="48">
        <v>278</v>
      </c>
      <c r="L836" s="48">
        <v>88.5</v>
      </c>
      <c r="M836" s="48">
        <v>50</v>
      </c>
      <c r="N836" s="48">
        <v>848</v>
      </c>
      <c r="O836" s="48">
        <v>33</v>
      </c>
      <c r="P836" s="48">
        <v>57</v>
      </c>
      <c r="Q836" s="48">
        <v>936</v>
      </c>
      <c r="R836" s="48">
        <v>81</v>
      </c>
      <c r="S836" s="48">
        <v>34</v>
      </c>
      <c r="T836" s="48">
        <v>474</v>
      </c>
      <c r="U836" s="48">
        <v>50</v>
      </c>
      <c r="V836" s="48">
        <v>55</v>
      </c>
      <c r="W836" s="48">
        <v>873</v>
      </c>
      <c r="X836" s="48">
        <v>453.5</v>
      </c>
      <c r="Y836" s="48">
        <v>52</v>
      </c>
      <c r="Z836" s="48">
        <v>833</v>
      </c>
    </row>
    <row r="837" spans="1:26" ht="15" hidden="1" customHeight="1">
      <c r="A837" s="48" t="s">
        <v>1762</v>
      </c>
      <c r="B837" s="48" t="s">
        <v>1762</v>
      </c>
      <c r="C837" s="48" t="s">
        <v>1763</v>
      </c>
      <c r="D837" s="48" t="s">
        <v>50</v>
      </c>
      <c r="E837" s="48" t="s">
        <v>203</v>
      </c>
      <c r="F837" s="48">
        <v>98</v>
      </c>
      <c r="G837" s="48">
        <v>47</v>
      </c>
      <c r="H837" s="48">
        <v>774</v>
      </c>
      <c r="I837" s="48">
        <v>70</v>
      </c>
      <c r="J837" s="48">
        <v>45</v>
      </c>
      <c r="K837" s="48">
        <v>815</v>
      </c>
      <c r="L837" s="48">
        <v>110.5</v>
      </c>
      <c r="M837" s="48">
        <v>26</v>
      </c>
      <c r="N837" s="48">
        <v>465</v>
      </c>
      <c r="O837" s="48">
        <v>47</v>
      </c>
      <c r="P837" s="48">
        <v>54</v>
      </c>
      <c r="Q837" s="48">
        <v>863</v>
      </c>
      <c r="R837" s="48">
        <v>61</v>
      </c>
      <c r="S837" s="48">
        <v>53</v>
      </c>
      <c r="T837" s="48">
        <v>901</v>
      </c>
      <c r="U837" s="48">
        <v>67</v>
      </c>
      <c r="V837" s="48">
        <v>25</v>
      </c>
      <c r="W837" s="48">
        <v>489</v>
      </c>
      <c r="X837" s="48">
        <v>453.5</v>
      </c>
      <c r="Y837" s="48">
        <v>47</v>
      </c>
      <c r="Z837" s="48">
        <v>833</v>
      </c>
    </row>
    <row r="838" spans="1:26" ht="15" hidden="1" customHeight="1">
      <c r="A838" s="48" t="s">
        <v>1764</v>
      </c>
      <c r="B838" s="48" t="s">
        <v>1764</v>
      </c>
      <c r="C838" s="48" t="s">
        <v>1765</v>
      </c>
      <c r="D838" s="48" t="s">
        <v>50</v>
      </c>
      <c r="E838" s="48" t="s">
        <v>111</v>
      </c>
      <c r="F838" s="48">
        <v>96</v>
      </c>
      <c r="G838" s="48">
        <v>48</v>
      </c>
      <c r="H838" s="48">
        <v>814</v>
      </c>
      <c r="I838" s="48">
        <v>70</v>
      </c>
      <c r="J838" s="48">
        <v>43</v>
      </c>
      <c r="K838" s="48">
        <v>815</v>
      </c>
      <c r="L838" s="48">
        <v>100</v>
      </c>
      <c r="M838" s="48">
        <v>41</v>
      </c>
      <c r="N838" s="48">
        <v>680</v>
      </c>
      <c r="O838" s="48">
        <v>57</v>
      </c>
      <c r="P838" s="48">
        <v>39</v>
      </c>
      <c r="Q838" s="48">
        <v>713</v>
      </c>
      <c r="R838" s="48">
        <v>68</v>
      </c>
      <c r="S838" s="48">
        <v>46</v>
      </c>
      <c r="T838" s="48">
        <v>824</v>
      </c>
      <c r="U838" s="48">
        <v>62</v>
      </c>
      <c r="V838" s="48">
        <v>33</v>
      </c>
      <c r="W838" s="48">
        <v>657</v>
      </c>
      <c r="X838" s="48">
        <v>453</v>
      </c>
      <c r="Y838" s="48">
        <v>45</v>
      </c>
      <c r="Z838" s="48">
        <v>835</v>
      </c>
    </row>
    <row r="839" spans="1:26" ht="15" hidden="1" customHeight="1">
      <c r="A839" s="48" t="s">
        <v>1766</v>
      </c>
      <c r="B839" s="48" t="s">
        <v>1766</v>
      </c>
      <c r="C839" s="48" t="s">
        <v>1767</v>
      </c>
      <c r="D839" s="48" t="s">
        <v>50</v>
      </c>
      <c r="E839" s="48" t="s">
        <v>84</v>
      </c>
      <c r="F839" s="48">
        <v>84</v>
      </c>
      <c r="G839" s="48">
        <v>55</v>
      </c>
      <c r="H839" s="48">
        <v>933</v>
      </c>
      <c r="I839" s="48">
        <v>75</v>
      </c>
      <c r="J839" s="48">
        <v>46</v>
      </c>
      <c r="K839" s="48">
        <v>766</v>
      </c>
      <c r="L839" s="48">
        <v>102</v>
      </c>
      <c r="M839" s="48">
        <v>43</v>
      </c>
      <c r="N839" s="48">
        <v>642</v>
      </c>
      <c r="O839" s="48">
        <v>60</v>
      </c>
      <c r="P839" s="48">
        <v>41</v>
      </c>
      <c r="Q839" s="48">
        <v>647</v>
      </c>
      <c r="R839" s="48">
        <v>64</v>
      </c>
      <c r="S839" s="48">
        <v>53</v>
      </c>
      <c r="T839" s="48">
        <v>881</v>
      </c>
      <c r="U839" s="48">
        <v>68</v>
      </c>
      <c r="V839" s="48">
        <v>29</v>
      </c>
      <c r="W839" s="48">
        <v>452</v>
      </c>
      <c r="X839" s="48">
        <v>453</v>
      </c>
      <c r="Y839" s="48">
        <v>50</v>
      </c>
      <c r="Z839" s="48">
        <v>835</v>
      </c>
    </row>
    <row r="840" spans="1:26" ht="15" hidden="1" customHeight="1">
      <c r="A840" s="48" t="s">
        <v>1768</v>
      </c>
      <c r="B840" s="48" t="s">
        <v>1768</v>
      </c>
      <c r="C840" s="48" t="s">
        <v>1769</v>
      </c>
      <c r="D840" s="48" t="s">
        <v>50</v>
      </c>
      <c r="E840" s="48" t="s">
        <v>133</v>
      </c>
      <c r="F840" s="48">
        <v>105</v>
      </c>
      <c r="G840" s="48">
        <v>37</v>
      </c>
      <c r="H840" s="48">
        <v>515</v>
      </c>
      <c r="I840" s="48">
        <v>73</v>
      </c>
      <c r="J840" s="48">
        <v>50</v>
      </c>
      <c r="K840" s="48">
        <v>788</v>
      </c>
      <c r="L840" s="48">
        <v>101</v>
      </c>
      <c r="M840" s="48">
        <v>43</v>
      </c>
      <c r="N840" s="48">
        <v>661</v>
      </c>
      <c r="O840" s="48">
        <v>48</v>
      </c>
      <c r="P840" s="48">
        <v>51</v>
      </c>
      <c r="Q840" s="48">
        <v>854</v>
      </c>
      <c r="R840" s="48">
        <v>67</v>
      </c>
      <c r="S840" s="48">
        <v>56</v>
      </c>
      <c r="T840" s="48">
        <v>837</v>
      </c>
      <c r="U840" s="48">
        <v>59</v>
      </c>
      <c r="V840" s="48">
        <v>50</v>
      </c>
      <c r="W840" s="48">
        <v>729</v>
      </c>
      <c r="X840" s="48">
        <v>453</v>
      </c>
      <c r="Y840" s="48">
        <v>53</v>
      </c>
      <c r="Z840" s="48">
        <v>835</v>
      </c>
    </row>
    <row r="841" spans="1:26" ht="15" hidden="1" customHeight="1">
      <c r="A841" s="48" t="s">
        <v>1770</v>
      </c>
      <c r="B841" s="48" t="s">
        <v>1770</v>
      </c>
      <c r="C841" s="48" t="s">
        <v>1771</v>
      </c>
      <c r="D841" s="48" t="s">
        <v>50</v>
      </c>
      <c r="E841" s="48" t="s">
        <v>217</v>
      </c>
      <c r="F841" s="48">
        <v>91</v>
      </c>
      <c r="G841" s="48">
        <v>50</v>
      </c>
      <c r="H841" s="48">
        <v>890</v>
      </c>
      <c r="I841" s="48">
        <v>62</v>
      </c>
      <c r="J841" s="48">
        <v>54</v>
      </c>
      <c r="K841" s="48">
        <v>869</v>
      </c>
      <c r="L841" s="48">
        <v>111</v>
      </c>
      <c r="M841" s="48">
        <v>21</v>
      </c>
      <c r="N841" s="48">
        <v>445</v>
      </c>
      <c r="O841" s="48">
        <v>52</v>
      </c>
      <c r="P841" s="48">
        <v>51</v>
      </c>
      <c r="Q841" s="48">
        <v>798</v>
      </c>
      <c r="R841" s="48">
        <v>73</v>
      </c>
      <c r="S841" s="48">
        <v>43</v>
      </c>
      <c r="T841" s="48">
        <v>717</v>
      </c>
      <c r="U841" s="48">
        <v>64</v>
      </c>
      <c r="V841" s="48">
        <v>32</v>
      </c>
      <c r="W841" s="48">
        <v>593</v>
      </c>
      <c r="X841" s="48">
        <v>453</v>
      </c>
      <c r="Y841" s="48">
        <v>54</v>
      </c>
      <c r="Z841" s="48">
        <v>835</v>
      </c>
    </row>
    <row r="842" spans="1:26" ht="15" hidden="1" customHeight="1">
      <c r="A842" s="48" t="s">
        <v>1772</v>
      </c>
      <c r="B842" s="48" t="s">
        <v>1772</v>
      </c>
      <c r="C842" s="48" t="s">
        <v>1773</v>
      </c>
      <c r="D842" s="48" t="s">
        <v>50</v>
      </c>
      <c r="E842" s="48" t="s">
        <v>217</v>
      </c>
      <c r="F842" s="48">
        <v>113</v>
      </c>
      <c r="G842" s="48">
        <v>13</v>
      </c>
      <c r="H842" s="48">
        <v>196</v>
      </c>
      <c r="I842" s="48">
        <v>73</v>
      </c>
      <c r="J842" s="48">
        <v>49</v>
      </c>
      <c r="K842" s="48">
        <v>788</v>
      </c>
      <c r="L842" s="48">
        <v>111</v>
      </c>
      <c r="M842" s="48">
        <v>21</v>
      </c>
      <c r="N842" s="48">
        <v>445</v>
      </c>
      <c r="O842" s="48">
        <v>54</v>
      </c>
      <c r="P842" s="48">
        <v>47</v>
      </c>
      <c r="Q842" s="48">
        <v>766</v>
      </c>
      <c r="R842" s="48">
        <v>57</v>
      </c>
      <c r="S842" s="48">
        <v>55</v>
      </c>
      <c r="T842" s="48">
        <v>921</v>
      </c>
      <c r="U842" s="48">
        <v>44</v>
      </c>
      <c r="V842" s="48">
        <v>57</v>
      </c>
      <c r="W842" s="48">
        <v>918</v>
      </c>
      <c r="X842" s="48">
        <v>452</v>
      </c>
      <c r="Y842" s="48">
        <v>55</v>
      </c>
      <c r="Z842" s="48">
        <v>839</v>
      </c>
    </row>
    <row r="843" spans="1:26" ht="15" hidden="1" customHeight="1">
      <c r="A843" s="48" t="s">
        <v>1774</v>
      </c>
      <c r="B843" s="48" t="s">
        <v>1774</v>
      </c>
      <c r="C843" s="48" t="s">
        <v>1775</v>
      </c>
      <c r="D843" s="48" t="s">
        <v>50</v>
      </c>
      <c r="E843" s="48" t="s">
        <v>296</v>
      </c>
      <c r="F843" s="48">
        <v>109</v>
      </c>
      <c r="G843" s="48">
        <v>11</v>
      </c>
      <c r="H843" s="48">
        <v>353</v>
      </c>
      <c r="I843" s="48">
        <v>57</v>
      </c>
      <c r="J843" s="48">
        <v>53</v>
      </c>
      <c r="K843" s="48">
        <v>902</v>
      </c>
      <c r="L843" s="48">
        <v>116.5</v>
      </c>
      <c r="M843" s="48">
        <v>14</v>
      </c>
      <c r="N843" s="48">
        <v>298</v>
      </c>
      <c r="O843" s="48">
        <v>33</v>
      </c>
      <c r="P843" s="48">
        <v>56</v>
      </c>
      <c r="Q843" s="48">
        <v>936</v>
      </c>
      <c r="R843" s="48">
        <v>79</v>
      </c>
      <c r="S843" s="48">
        <v>29</v>
      </c>
      <c r="T843" s="48">
        <v>539</v>
      </c>
      <c r="U843" s="48">
        <v>57</v>
      </c>
      <c r="V843" s="48">
        <v>35</v>
      </c>
      <c r="W843" s="48">
        <v>770</v>
      </c>
      <c r="X843" s="48">
        <v>451.5</v>
      </c>
      <c r="Y843" s="48">
        <v>49</v>
      </c>
      <c r="Z843" s="48">
        <v>840</v>
      </c>
    </row>
    <row r="844" spans="1:26" ht="15" hidden="1" customHeight="1">
      <c r="A844" s="48" t="s">
        <v>1776</v>
      </c>
      <c r="B844" s="48" t="s">
        <v>1776</v>
      </c>
      <c r="C844" s="48" t="s">
        <v>1777</v>
      </c>
      <c r="D844" s="48" t="s">
        <v>50</v>
      </c>
      <c r="E844" s="48" t="s">
        <v>169</v>
      </c>
      <c r="F844" s="48">
        <v>101</v>
      </c>
      <c r="G844" s="48">
        <v>46</v>
      </c>
      <c r="H844" s="48">
        <v>688</v>
      </c>
      <c r="I844" s="48">
        <v>85</v>
      </c>
      <c r="J844" s="48">
        <v>35</v>
      </c>
      <c r="K844" s="48">
        <v>643</v>
      </c>
      <c r="L844" s="48">
        <v>83</v>
      </c>
      <c r="M844" s="48">
        <v>53</v>
      </c>
      <c r="N844" s="48">
        <v>881</v>
      </c>
      <c r="O844" s="48">
        <v>51</v>
      </c>
      <c r="P844" s="48">
        <v>49</v>
      </c>
      <c r="Q844" s="48">
        <v>812</v>
      </c>
      <c r="R844" s="48">
        <v>78</v>
      </c>
      <c r="S844" s="48">
        <v>31</v>
      </c>
      <c r="T844" s="48">
        <v>577</v>
      </c>
      <c r="U844" s="48">
        <v>53</v>
      </c>
      <c r="V844" s="48">
        <v>47</v>
      </c>
      <c r="W844" s="48">
        <v>832</v>
      </c>
      <c r="X844" s="48">
        <v>451</v>
      </c>
      <c r="Y844" s="48">
        <v>47</v>
      </c>
      <c r="Z844" s="48">
        <v>841</v>
      </c>
    </row>
    <row r="845" spans="1:26" ht="15" hidden="1" customHeight="1">
      <c r="A845" s="48" t="s">
        <v>1778</v>
      </c>
      <c r="B845" s="48" t="s">
        <v>1778</v>
      </c>
      <c r="C845" s="48" t="s">
        <v>1779</v>
      </c>
      <c r="D845" s="48" t="s">
        <v>50</v>
      </c>
      <c r="E845" s="48" t="s">
        <v>249</v>
      </c>
      <c r="F845" s="48">
        <v>112</v>
      </c>
      <c r="G845" s="48">
        <v>19</v>
      </c>
      <c r="H845" s="48">
        <v>226</v>
      </c>
      <c r="I845" s="48">
        <v>76</v>
      </c>
      <c r="J845" s="48">
        <v>43</v>
      </c>
      <c r="K845" s="48">
        <v>754</v>
      </c>
      <c r="L845" s="48">
        <v>110</v>
      </c>
      <c r="M845" s="48">
        <v>23</v>
      </c>
      <c r="N845" s="48">
        <v>478</v>
      </c>
      <c r="O845" s="48">
        <v>43</v>
      </c>
      <c r="P845" s="48">
        <v>49</v>
      </c>
      <c r="Q845" s="48">
        <v>890</v>
      </c>
      <c r="R845" s="48">
        <v>59</v>
      </c>
      <c r="S845" s="48">
        <v>49</v>
      </c>
      <c r="T845" s="48">
        <v>911</v>
      </c>
      <c r="U845" s="48">
        <v>51</v>
      </c>
      <c r="V845" s="48">
        <v>49</v>
      </c>
      <c r="W845" s="48">
        <v>862</v>
      </c>
      <c r="X845" s="48">
        <v>451</v>
      </c>
      <c r="Y845" s="48">
        <v>46</v>
      </c>
      <c r="Z845" s="48">
        <v>841</v>
      </c>
    </row>
    <row r="846" spans="1:26" ht="15" hidden="1" customHeight="1">
      <c r="A846" s="48" t="s">
        <v>1780</v>
      </c>
      <c r="B846" s="48" t="s">
        <v>1780</v>
      </c>
      <c r="C846" s="48" t="s">
        <v>1781</v>
      </c>
      <c r="D846" s="48" t="s">
        <v>50</v>
      </c>
      <c r="E846" s="48" t="s">
        <v>203</v>
      </c>
      <c r="F846" s="48">
        <v>104</v>
      </c>
      <c r="G846" s="48">
        <v>38</v>
      </c>
      <c r="H846" s="48">
        <v>573</v>
      </c>
      <c r="I846" s="48">
        <v>60</v>
      </c>
      <c r="J846" s="48">
        <v>52</v>
      </c>
      <c r="K846" s="48">
        <v>884</v>
      </c>
      <c r="L846" s="48">
        <v>92</v>
      </c>
      <c r="M846" s="48">
        <v>49</v>
      </c>
      <c r="N846" s="48">
        <v>809</v>
      </c>
      <c r="O846" s="48">
        <v>56</v>
      </c>
      <c r="P846" s="48">
        <v>42</v>
      </c>
      <c r="Q846" s="48">
        <v>731</v>
      </c>
      <c r="R846" s="48">
        <v>67</v>
      </c>
      <c r="S846" s="48">
        <v>47</v>
      </c>
      <c r="T846" s="48">
        <v>837</v>
      </c>
      <c r="U846" s="48">
        <v>70</v>
      </c>
      <c r="V846" s="48">
        <v>18</v>
      </c>
      <c r="W846" s="48">
        <v>380</v>
      </c>
      <c r="X846" s="48">
        <v>449</v>
      </c>
      <c r="Y846" s="48">
        <v>48</v>
      </c>
      <c r="Z846" s="48">
        <v>843</v>
      </c>
    </row>
    <row r="847" spans="1:26" ht="15" hidden="1" customHeight="1">
      <c r="A847" s="48" t="s">
        <v>1782</v>
      </c>
      <c r="B847" s="48" t="s">
        <v>1782</v>
      </c>
      <c r="C847" s="48" t="s">
        <v>1783</v>
      </c>
      <c r="D847" s="48" t="s">
        <v>50</v>
      </c>
      <c r="E847" s="48" t="s">
        <v>84</v>
      </c>
      <c r="F847" s="48">
        <v>98</v>
      </c>
      <c r="G847" s="48">
        <v>44</v>
      </c>
      <c r="H847" s="48">
        <v>774</v>
      </c>
      <c r="I847" s="48">
        <v>74</v>
      </c>
      <c r="J847" s="48">
        <v>47</v>
      </c>
      <c r="K847" s="48">
        <v>778</v>
      </c>
      <c r="L847" s="48">
        <v>82.5</v>
      </c>
      <c r="M847" s="48">
        <v>53</v>
      </c>
      <c r="N847" s="48">
        <v>883</v>
      </c>
      <c r="O847" s="48">
        <v>57</v>
      </c>
      <c r="P847" s="48">
        <v>46</v>
      </c>
      <c r="Q847" s="48">
        <v>713</v>
      </c>
      <c r="R847" s="48">
        <v>71</v>
      </c>
      <c r="S847" s="48">
        <v>44</v>
      </c>
      <c r="T847" s="48">
        <v>773</v>
      </c>
      <c r="U847" s="48">
        <v>66</v>
      </c>
      <c r="V847" s="48">
        <v>31</v>
      </c>
      <c r="W847" s="48">
        <v>519</v>
      </c>
      <c r="X847" s="48">
        <v>448.5</v>
      </c>
      <c r="Y847" s="48">
        <v>51</v>
      </c>
      <c r="Z847" s="48">
        <v>844</v>
      </c>
    </row>
    <row r="848" spans="1:26" ht="15" hidden="1" customHeight="1">
      <c r="A848" s="48" t="s">
        <v>1784</v>
      </c>
      <c r="B848" s="48" t="s">
        <v>1784</v>
      </c>
      <c r="C848" s="48" t="s">
        <v>1785</v>
      </c>
      <c r="D848" s="48" t="s">
        <v>50</v>
      </c>
      <c r="E848" s="48" t="s">
        <v>84</v>
      </c>
      <c r="F848" s="48">
        <v>101</v>
      </c>
      <c r="G848" s="48">
        <v>38</v>
      </c>
      <c r="H848" s="48">
        <v>688</v>
      </c>
      <c r="I848" s="48">
        <v>74</v>
      </c>
      <c r="J848" s="48">
        <v>47</v>
      </c>
      <c r="K848" s="48">
        <v>778</v>
      </c>
      <c r="L848" s="48">
        <v>82.5</v>
      </c>
      <c r="M848" s="48">
        <v>53</v>
      </c>
      <c r="N848" s="48">
        <v>883</v>
      </c>
      <c r="O848" s="48">
        <v>65</v>
      </c>
      <c r="P848" s="48">
        <v>33</v>
      </c>
      <c r="Q848" s="48">
        <v>539</v>
      </c>
      <c r="R848" s="48">
        <v>65</v>
      </c>
      <c r="S848" s="48">
        <v>51</v>
      </c>
      <c r="T848" s="48">
        <v>866</v>
      </c>
      <c r="U848" s="48">
        <v>61</v>
      </c>
      <c r="V848" s="48">
        <v>42</v>
      </c>
      <c r="W848" s="48">
        <v>686</v>
      </c>
      <c r="X848" s="48">
        <v>448.5</v>
      </c>
      <c r="Y848" s="48">
        <v>51</v>
      </c>
      <c r="Z848" s="48">
        <v>844</v>
      </c>
    </row>
    <row r="849" spans="1:26" ht="15" hidden="1" customHeight="1">
      <c r="A849" s="48" t="s">
        <v>1786</v>
      </c>
      <c r="B849" s="48" t="s">
        <v>1786</v>
      </c>
      <c r="C849" s="48" t="s">
        <v>1787</v>
      </c>
      <c r="D849" s="48" t="s">
        <v>50</v>
      </c>
      <c r="E849" s="48" t="s">
        <v>296</v>
      </c>
      <c r="F849" s="48">
        <v>95</v>
      </c>
      <c r="G849" s="48">
        <v>41</v>
      </c>
      <c r="H849" s="48">
        <v>837</v>
      </c>
      <c r="I849" s="48">
        <v>66</v>
      </c>
      <c r="J849" s="48">
        <v>45</v>
      </c>
      <c r="K849" s="48">
        <v>847</v>
      </c>
      <c r="L849" s="48">
        <v>94</v>
      </c>
      <c r="M849" s="48">
        <v>51</v>
      </c>
      <c r="N849" s="48">
        <v>783</v>
      </c>
      <c r="O849" s="48">
        <v>60</v>
      </c>
      <c r="P849" s="48">
        <v>39</v>
      </c>
      <c r="Q849" s="48">
        <v>647</v>
      </c>
      <c r="R849" s="48">
        <v>73</v>
      </c>
      <c r="S849" s="48">
        <v>42</v>
      </c>
      <c r="T849" s="48">
        <v>717</v>
      </c>
      <c r="U849" s="48">
        <v>60</v>
      </c>
      <c r="V849" s="48">
        <v>31</v>
      </c>
      <c r="W849" s="48">
        <v>706</v>
      </c>
      <c r="X849" s="48">
        <v>448</v>
      </c>
      <c r="Y849" s="48">
        <v>50</v>
      </c>
      <c r="Z849" s="48">
        <v>846</v>
      </c>
    </row>
    <row r="850" spans="1:26" ht="15" hidden="1" customHeight="1">
      <c r="A850" s="48" t="s">
        <v>1788</v>
      </c>
      <c r="B850" s="48" t="s">
        <v>1788</v>
      </c>
      <c r="C850" s="48" t="s">
        <v>1789</v>
      </c>
      <c r="D850" s="48" t="s">
        <v>50</v>
      </c>
      <c r="E850" s="48" t="s">
        <v>203</v>
      </c>
      <c r="F850" s="48">
        <v>100</v>
      </c>
      <c r="G850" s="48">
        <v>43</v>
      </c>
      <c r="H850" s="48">
        <v>715</v>
      </c>
      <c r="I850" s="48">
        <v>70</v>
      </c>
      <c r="J850" s="48">
        <v>45</v>
      </c>
      <c r="K850" s="48">
        <v>815</v>
      </c>
      <c r="L850" s="48">
        <v>105</v>
      </c>
      <c r="M850" s="48">
        <v>32</v>
      </c>
      <c r="N850" s="48">
        <v>578</v>
      </c>
      <c r="O850" s="48">
        <v>50</v>
      </c>
      <c r="P850" s="48">
        <v>47</v>
      </c>
      <c r="Q850" s="48">
        <v>826</v>
      </c>
      <c r="R850" s="48">
        <v>59</v>
      </c>
      <c r="S850" s="48">
        <v>54</v>
      </c>
      <c r="T850" s="48">
        <v>911</v>
      </c>
      <c r="U850" s="48">
        <v>64</v>
      </c>
      <c r="V850" s="48">
        <v>31</v>
      </c>
      <c r="W850" s="48">
        <v>593</v>
      </c>
      <c r="X850" s="48">
        <v>448</v>
      </c>
      <c r="Y850" s="48">
        <v>49</v>
      </c>
      <c r="Z850" s="48">
        <v>846</v>
      </c>
    </row>
    <row r="851" spans="1:26" ht="15" hidden="1" customHeight="1">
      <c r="A851" s="48" t="s">
        <v>1790</v>
      </c>
      <c r="B851" s="48" t="s">
        <v>1790</v>
      </c>
      <c r="C851" s="48" t="s">
        <v>1791</v>
      </c>
      <c r="D851" s="48" t="s">
        <v>50</v>
      </c>
      <c r="E851" s="48" t="s">
        <v>169</v>
      </c>
      <c r="F851" s="48">
        <v>104</v>
      </c>
      <c r="G851" s="48">
        <v>36</v>
      </c>
      <c r="H851" s="48">
        <v>573</v>
      </c>
      <c r="I851" s="48">
        <v>81</v>
      </c>
      <c r="J851" s="48">
        <v>38</v>
      </c>
      <c r="K851" s="48">
        <v>688</v>
      </c>
      <c r="L851" s="48">
        <v>99.5</v>
      </c>
      <c r="M851" s="48">
        <v>41</v>
      </c>
      <c r="N851" s="48">
        <v>694</v>
      </c>
      <c r="O851" s="48">
        <v>61</v>
      </c>
      <c r="P851" s="48">
        <v>36</v>
      </c>
      <c r="Q851" s="48">
        <v>627</v>
      </c>
      <c r="R851" s="48">
        <v>37</v>
      </c>
      <c r="S851" s="48">
        <v>56</v>
      </c>
      <c r="T851" s="48">
        <v>950</v>
      </c>
      <c r="U851" s="48">
        <v>65</v>
      </c>
      <c r="V851" s="48">
        <v>31</v>
      </c>
      <c r="W851" s="48">
        <v>554</v>
      </c>
      <c r="X851" s="48">
        <v>447.5</v>
      </c>
      <c r="Y851" s="48">
        <v>48</v>
      </c>
      <c r="Z851" s="48">
        <v>848</v>
      </c>
    </row>
    <row r="852" spans="1:26" ht="15" hidden="1" customHeight="1">
      <c r="A852" s="48" t="s">
        <v>1792</v>
      </c>
      <c r="B852" s="48" t="s">
        <v>1792</v>
      </c>
      <c r="C852" s="48" t="s">
        <v>1793</v>
      </c>
      <c r="D852" s="48" t="s">
        <v>50</v>
      </c>
      <c r="E852" s="48" t="s">
        <v>172</v>
      </c>
      <c r="F852" s="48">
        <v>105</v>
      </c>
      <c r="G852" s="48">
        <v>27</v>
      </c>
      <c r="H852" s="48">
        <v>515</v>
      </c>
      <c r="I852" s="48">
        <v>69</v>
      </c>
      <c r="J852" s="48">
        <v>47</v>
      </c>
      <c r="K852" s="48">
        <v>827</v>
      </c>
      <c r="L852" s="48">
        <v>75.5</v>
      </c>
      <c r="M852" s="48">
        <v>55</v>
      </c>
      <c r="N852" s="48">
        <v>913</v>
      </c>
      <c r="O852" s="48">
        <v>54</v>
      </c>
      <c r="P852" s="48">
        <v>45</v>
      </c>
      <c r="Q852" s="48">
        <v>766</v>
      </c>
      <c r="R852" s="48">
        <v>74</v>
      </c>
      <c r="S852" s="48">
        <v>36</v>
      </c>
      <c r="T852" s="48">
        <v>702</v>
      </c>
      <c r="U852" s="48">
        <v>70</v>
      </c>
      <c r="V852" s="48">
        <v>19</v>
      </c>
      <c r="W852" s="48">
        <v>380</v>
      </c>
      <c r="X852" s="48">
        <v>447.5</v>
      </c>
      <c r="Y852" s="48">
        <v>50</v>
      </c>
      <c r="Z852" s="48">
        <v>848</v>
      </c>
    </row>
    <row r="853" spans="1:26" ht="15" hidden="1" customHeight="1">
      <c r="A853" s="48" t="s">
        <v>1794</v>
      </c>
      <c r="B853" s="48" t="s">
        <v>1794</v>
      </c>
      <c r="C853" s="48" t="s">
        <v>1795</v>
      </c>
      <c r="D853" s="48" t="s">
        <v>50</v>
      </c>
      <c r="E853" s="48" t="s">
        <v>150</v>
      </c>
      <c r="F853" s="48">
        <v>98</v>
      </c>
      <c r="G853" s="48">
        <v>42</v>
      </c>
      <c r="H853" s="48">
        <v>774</v>
      </c>
      <c r="I853" s="48">
        <v>98</v>
      </c>
      <c r="J853" s="48">
        <v>35</v>
      </c>
      <c r="K853" s="48">
        <v>458</v>
      </c>
      <c r="L853" s="48">
        <v>77.5</v>
      </c>
      <c r="M853" s="48">
        <v>52</v>
      </c>
      <c r="N853" s="48">
        <v>902</v>
      </c>
      <c r="O853" s="48">
        <v>33</v>
      </c>
      <c r="P853" s="48">
        <v>56</v>
      </c>
      <c r="Q853" s="48">
        <v>936</v>
      </c>
      <c r="R853" s="48">
        <v>83</v>
      </c>
      <c r="S853" s="48">
        <v>29</v>
      </c>
      <c r="T853" s="48">
        <v>407</v>
      </c>
      <c r="U853" s="48">
        <v>58</v>
      </c>
      <c r="V853" s="48">
        <v>51</v>
      </c>
      <c r="W853" s="48">
        <v>754</v>
      </c>
      <c r="X853" s="48">
        <v>447.5</v>
      </c>
      <c r="Y853" s="48">
        <v>51</v>
      </c>
      <c r="Z853" s="48">
        <v>848</v>
      </c>
    </row>
    <row r="854" spans="1:26" ht="15" hidden="1" customHeight="1">
      <c r="A854" s="48" t="s">
        <v>1796</v>
      </c>
      <c r="B854" s="48" t="s">
        <v>1796</v>
      </c>
      <c r="C854" s="48" t="s">
        <v>1797</v>
      </c>
      <c r="D854" s="48" t="s">
        <v>50</v>
      </c>
      <c r="E854" s="48" t="s">
        <v>84</v>
      </c>
      <c r="F854" s="48">
        <v>92</v>
      </c>
      <c r="G854" s="48">
        <v>50</v>
      </c>
      <c r="H854" s="48">
        <v>882</v>
      </c>
      <c r="I854" s="48">
        <v>83</v>
      </c>
      <c r="J854" s="48">
        <v>39</v>
      </c>
      <c r="K854" s="48">
        <v>667</v>
      </c>
      <c r="L854" s="48">
        <v>89</v>
      </c>
      <c r="M854" s="48">
        <v>51</v>
      </c>
      <c r="N854" s="48">
        <v>841</v>
      </c>
      <c r="O854" s="48">
        <v>55</v>
      </c>
      <c r="P854" s="48">
        <v>48</v>
      </c>
      <c r="Q854" s="48">
        <v>748</v>
      </c>
      <c r="R854" s="48">
        <v>53</v>
      </c>
      <c r="S854" s="48">
        <v>56</v>
      </c>
      <c r="T854" s="48">
        <v>939</v>
      </c>
      <c r="U854" s="48">
        <v>75</v>
      </c>
      <c r="V854" s="48">
        <v>13</v>
      </c>
      <c r="W854" s="48">
        <v>219</v>
      </c>
      <c r="X854" s="48">
        <v>447</v>
      </c>
      <c r="Y854" s="48">
        <v>53</v>
      </c>
      <c r="Z854" s="48">
        <v>851</v>
      </c>
    </row>
    <row r="855" spans="1:26" ht="15" hidden="1" customHeight="1">
      <c r="A855" s="48" t="s">
        <v>1798</v>
      </c>
      <c r="B855" s="48" t="s">
        <v>1798</v>
      </c>
      <c r="C855" s="48" t="s">
        <v>1799</v>
      </c>
      <c r="D855" s="48" t="s">
        <v>50</v>
      </c>
      <c r="E855" s="48" t="s">
        <v>172</v>
      </c>
      <c r="F855" s="48">
        <v>106</v>
      </c>
      <c r="G855" s="48">
        <v>26</v>
      </c>
      <c r="H855" s="48">
        <v>477</v>
      </c>
      <c r="I855" s="48">
        <v>62</v>
      </c>
      <c r="J855" s="48">
        <v>52</v>
      </c>
      <c r="K855" s="48">
        <v>869</v>
      </c>
      <c r="L855" s="48">
        <v>88.5</v>
      </c>
      <c r="M855" s="48">
        <v>47</v>
      </c>
      <c r="N855" s="48">
        <v>848</v>
      </c>
      <c r="O855" s="48">
        <v>41</v>
      </c>
      <c r="P855" s="48">
        <v>56</v>
      </c>
      <c r="Q855" s="48">
        <v>902</v>
      </c>
      <c r="R855" s="48">
        <v>81</v>
      </c>
      <c r="S855" s="48">
        <v>20</v>
      </c>
      <c r="T855" s="48">
        <v>474</v>
      </c>
      <c r="U855" s="48">
        <v>67</v>
      </c>
      <c r="V855" s="48">
        <v>32</v>
      </c>
      <c r="W855" s="48">
        <v>489</v>
      </c>
      <c r="X855" s="48">
        <v>445.5</v>
      </c>
      <c r="Y855" s="48">
        <v>51</v>
      </c>
      <c r="Z855" s="48">
        <v>852</v>
      </c>
    </row>
    <row r="856" spans="1:26" ht="15" hidden="1" customHeight="1">
      <c r="A856" s="48" t="s">
        <v>1800</v>
      </c>
      <c r="B856" s="48" t="s">
        <v>1800</v>
      </c>
      <c r="C856" s="48" t="s">
        <v>1801</v>
      </c>
      <c r="D856" s="48" t="s">
        <v>50</v>
      </c>
      <c r="E856" s="48" t="s">
        <v>169</v>
      </c>
      <c r="F856" s="48">
        <v>103</v>
      </c>
      <c r="G856" s="48">
        <v>37</v>
      </c>
      <c r="H856" s="48">
        <v>606</v>
      </c>
      <c r="I856" s="48">
        <v>77</v>
      </c>
      <c r="J856" s="48">
        <v>41</v>
      </c>
      <c r="K856" s="48">
        <v>741</v>
      </c>
      <c r="L856" s="48">
        <v>93.5</v>
      </c>
      <c r="M856" s="48">
        <v>48</v>
      </c>
      <c r="N856" s="48">
        <v>790</v>
      </c>
      <c r="O856" s="48">
        <v>50</v>
      </c>
      <c r="P856" s="48">
        <v>50</v>
      </c>
      <c r="Q856" s="48">
        <v>826</v>
      </c>
      <c r="R856" s="48">
        <v>61</v>
      </c>
      <c r="S856" s="48">
        <v>51</v>
      </c>
      <c r="T856" s="48">
        <v>901</v>
      </c>
      <c r="U856" s="48">
        <v>60</v>
      </c>
      <c r="V856" s="48">
        <v>39</v>
      </c>
      <c r="W856" s="48">
        <v>706</v>
      </c>
      <c r="X856" s="48">
        <v>444.5</v>
      </c>
      <c r="Y856" s="48">
        <v>49</v>
      </c>
      <c r="Z856" s="48">
        <v>853</v>
      </c>
    </row>
    <row r="857" spans="1:26" ht="15" hidden="1" customHeight="1">
      <c r="A857" s="48" t="s">
        <v>1802</v>
      </c>
      <c r="B857" s="48" t="s">
        <v>1802</v>
      </c>
      <c r="C857" s="48" t="s">
        <v>1803</v>
      </c>
      <c r="D857" s="48" t="s">
        <v>50</v>
      </c>
      <c r="E857" s="48" t="s">
        <v>111</v>
      </c>
      <c r="F857" s="48">
        <v>102</v>
      </c>
      <c r="G857" s="48">
        <v>33</v>
      </c>
      <c r="H857" s="48">
        <v>655</v>
      </c>
      <c r="I857" s="48">
        <v>61</v>
      </c>
      <c r="J857" s="48">
        <v>51</v>
      </c>
      <c r="K857" s="48">
        <v>873</v>
      </c>
      <c r="L857" s="48">
        <v>109.5</v>
      </c>
      <c r="M857" s="48">
        <v>27</v>
      </c>
      <c r="N857" s="48">
        <v>490</v>
      </c>
      <c r="O857" s="48">
        <v>60</v>
      </c>
      <c r="P857" s="48">
        <v>34</v>
      </c>
      <c r="Q857" s="48">
        <v>647</v>
      </c>
      <c r="R857" s="48">
        <v>71</v>
      </c>
      <c r="S857" s="48">
        <v>41</v>
      </c>
      <c r="T857" s="48">
        <v>773</v>
      </c>
      <c r="U857" s="48">
        <v>40</v>
      </c>
      <c r="V857" s="48">
        <v>53</v>
      </c>
      <c r="W857" s="48">
        <v>935</v>
      </c>
      <c r="X857" s="48">
        <v>443.5</v>
      </c>
      <c r="Y857" s="48">
        <v>46</v>
      </c>
      <c r="Z857" s="48">
        <v>854</v>
      </c>
    </row>
    <row r="858" spans="1:26" ht="15" hidden="1" customHeight="1">
      <c r="A858" s="48" t="s">
        <v>1804</v>
      </c>
      <c r="B858" s="48" t="s">
        <v>1804</v>
      </c>
      <c r="C858" s="48" t="s">
        <v>1805</v>
      </c>
      <c r="D858" s="48" t="s">
        <v>50</v>
      </c>
      <c r="E858" s="48" t="s">
        <v>210</v>
      </c>
      <c r="F858" s="48">
        <v>74</v>
      </c>
      <c r="G858" s="48">
        <v>56</v>
      </c>
      <c r="H858" s="48">
        <v>943</v>
      </c>
      <c r="I858" s="48">
        <v>80</v>
      </c>
      <c r="J858" s="48">
        <v>46</v>
      </c>
      <c r="K858" s="48">
        <v>699</v>
      </c>
      <c r="L858" s="48">
        <v>59.5</v>
      </c>
      <c r="M858" s="48">
        <v>56</v>
      </c>
      <c r="N858" s="48">
        <v>943</v>
      </c>
      <c r="O858" s="48">
        <v>64</v>
      </c>
      <c r="P858" s="48">
        <v>39</v>
      </c>
      <c r="Q858" s="48">
        <v>559</v>
      </c>
      <c r="R858" s="48">
        <v>91</v>
      </c>
      <c r="S858" s="48">
        <v>5</v>
      </c>
      <c r="T858" s="48">
        <v>151</v>
      </c>
      <c r="U858" s="48">
        <v>75</v>
      </c>
      <c r="V858" s="48">
        <v>11</v>
      </c>
      <c r="W858" s="48">
        <v>219</v>
      </c>
      <c r="X858" s="48">
        <v>443.5</v>
      </c>
      <c r="Y858" s="48">
        <v>53</v>
      </c>
      <c r="Z858" s="48">
        <v>854</v>
      </c>
    </row>
    <row r="859" spans="1:26" ht="15" hidden="1" customHeight="1">
      <c r="A859" s="48" t="s">
        <v>1806</v>
      </c>
      <c r="B859" s="48" t="s">
        <v>1806</v>
      </c>
      <c r="C859" s="48" t="s">
        <v>1807</v>
      </c>
      <c r="D859" s="48" t="s">
        <v>50</v>
      </c>
      <c r="E859" s="48" t="s">
        <v>150</v>
      </c>
      <c r="F859" s="48">
        <v>85</v>
      </c>
      <c r="G859" s="48">
        <v>53</v>
      </c>
      <c r="H859" s="48">
        <v>930</v>
      </c>
      <c r="I859" s="48">
        <v>100</v>
      </c>
      <c r="J859" s="48">
        <v>31</v>
      </c>
      <c r="K859" s="48">
        <v>421</v>
      </c>
      <c r="L859" s="48">
        <v>83.5</v>
      </c>
      <c r="M859" s="48">
        <v>51</v>
      </c>
      <c r="N859" s="48">
        <v>877</v>
      </c>
      <c r="O859" s="48">
        <v>49</v>
      </c>
      <c r="P859" s="48">
        <v>48</v>
      </c>
      <c r="Q859" s="48">
        <v>842</v>
      </c>
      <c r="R859" s="48">
        <v>77</v>
      </c>
      <c r="S859" s="48">
        <v>43</v>
      </c>
      <c r="T859" s="48">
        <v>608</v>
      </c>
      <c r="U859" s="48">
        <v>49</v>
      </c>
      <c r="V859" s="48">
        <v>56</v>
      </c>
      <c r="W859" s="48">
        <v>883</v>
      </c>
      <c r="X859" s="48">
        <v>443.5</v>
      </c>
      <c r="Y859" s="48">
        <v>52</v>
      </c>
      <c r="Z859" s="48">
        <v>854</v>
      </c>
    </row>
    <row r="860" spans="1:26" ht="15" hidden="1" customHeight="1">
      <c r="A860" s="48" t="s">
        <v>1808</v>
      </c>
      <c r="B860" s="48" t="s">
        <v>1808</v>
      </c>
      <c r="C860" s="48" t="s">
        <v>1809</v>
      </c>
      <c r="D860" s="48" t="s">
        <v>50</v>
      </c>
      <c r="E860" s="48" t="s">
        <v>92</v>
      </c>
      <c r="F860" s="48">
        <v>63</v>
      </c>
      <c r="G860" s="48">
        <v>56</v>
      </c>
      <c r="H860" s="48">
        <v>949</v>
      </c>
      <c r="I860" s="48">
        <v>83</v>
      </c>
      <c r="J860" s="48">
        <v>38</v>
      </c>
      <c r="K860" s="48">
        <v>667</v>
      </c>
      <c r="L860" s="48">
        <v>107.5</v>
      </c>
      <c r="M860" s="48">
        <v>25</v>
      </c>
      <c r="N860" s="48">
        <v>532</v>
      </c>
      <c r="O860" s="48">
        <v>51</v>
      </c>
      <c r="P860" s="48">
        <v>48</v>
      </c>
      <c r="Q860" s="48">
        <v>812</v>
      </c>
      <c r="R860" s="48">
        <v>79</v>
      </c>
      <c r="S860" s="48">
        <v>31</v>
      </c>
      <c r="T860" s="48">
        <v>539</v>
      </c>
      <c r="U860" s="48">
        <v>60</v>
      </c>
      <c r="V860" s="48">
        <v>47</v>
      </c>
      <c r="W860" s="48">
        <v>706</v>
      </c>
      <c r="X860" s="48">
        <v>443.5</v>
      </c>
      <c r="Y860" s="48">
        <v>50</v>
      </c>
      <c r="Z860" s="48">
        <v>854</v>
      </c>
    </row>
    <row r="861" spans="1:26" ht="15" hidden="1" customHeight="1">
      <c r="A861" s="48" t="s">
        <v>1810</v>
      </c>
      <c r="B861" s="48" t="s">
        <v>1810</v>
      </c>
      <c r="C861" s="48" t="s">
        <v>1811</v>
      </c>
      <c r="D861" s="48" t="s">
        <v>50</v>
      </c>
      <c r="E861" s="48" t="s">
        <v>203</v>
      </c>
      <c r="F861" s="48">
        <v>100</v>
      </c>
      <c r="G861" s="48">
        <v>43</v>
      </c>
      <c r="H861" s="48">
        <v>715</v>
      </c>
      <c r="I861" s="48">
        <v>76</v>
      </c>
      <c r="J861" s="48">
        <v>40</v>
      </c>
      <c r="K861" s="48">
        <v>754</v>
      </c>
      <c r="L861" s="48">
        <v>101</v>
      </c>
      <c r="M861" s="48">
        <v>38</v>
      </c>
      <c r="N861" s="48">
        <v>661</v>
      </c>
      <c r="O861" s="48">
        <v>45</v>
      </c>
      <c r="P861" s="48">
        <v>56</v>
      </c>
      <c r="Q861" s="48">
        <v>878</v>
      </c>
      <c r="R861" s="48">
        <v>71</v>
      </c>
      <c r="S861" s="48">
        <v>43</v>
      </c>
      <c r="T861" s="48">
        <v>773</v>
      </c>
      <c r="U861" s="48">
        <v>50</v>
      </c>
      <c r="V861" s="48">
        <v>47</v>
      </c>
      <c r="W861" s="48">
        <v>873</v>
      </c>
      <c r="X861" s="48">
        <v>443</v>
      </c>
      <c r="Y861" s="48">
        <v>50</v>
      </c>
      <c r="Z861" s="48">
        <v>858</v>
      </c>
    </row>
    <row r="862" spans="1:26" ht="15" hidden="1" customHeight="1">
      <c r="A862" s="48" t="s">
        <v>1812</v>
      </c>
      <c r="B862" s="48" t="s">
        <v>1812</v>
      </c>
      <c r="C862" s="48" t="s">
        <v>1813</v>
      </c>
      <c r="D862" s="48" t="s">
        <v>50</v>
      </c>
      <c r="E862" s="48" t="s">
        <v>210</v>
      </c>
      <c r="F862" s="48">
        <v>100</v>
      </c>
      <c r="G862" s="48">
        <v>47</v>
      </c>
      <c r="H862" s="48">
        <v>715</v>
      </c>
      <c r="I862" s="48">
        <v>65</v>
      </c>
      <c r="J862" s="48">
        <v>51</v>
      </c>
      <c r="K862" s="48">
        <v>853</v>
      </c>
      <c r="L862" s="48">
        <v>114.5</v>
      </c>
      <c r="M862" s="48">
        <v>23</v>
      </c>
      <c r="N862" s="48">
        <v>340</v>
      </c>
      <c r="O862" s="48">
        <v>59</v>
      </c>
      <c r="P862" s="48">
        <v>45</v>
      </c>
      <c r="Q862" s="48">
        <v>672</v>
      </c>
      <c r="R862" s="48">
        <v>47</v>
      </c>
      <c r="S862" s="48">
        <v>56</v>
      </c>
      <c r="T862" s="48">
        <v>948</v>
      </c>
      <c r="U862" s="48">
        <v>57</v>
      </c>
      <c r="V862" s="48">
        <v>44</v>
      </c>
      <c r="W862" s="48">
        <v>770</v>
      </c>
      <c r="X862" s="48">
        <v>442.5</v>
      </c>
      <c r="Y862" s="48">
        <v>54</v>
      </c>
      <c r="Z862" s="48">
        <v>859</v>
      </c>
    </row>
    <row r="863" spans="1:26" ht="15" hidden="1" customHeight="1">
      <c r="A863" s="48" t="s">
        <v>1814</v>
      </c>
      <c r="B863" s="48" t="s">
        <v>1814</v>
      </c>
      <c r="C863" s="48" t="s">
        <v>40</v>
      </c>
      <c r="D863" s="48" t="s">
        <v>50</v>
      </c>
      <c r="E863" s="48" t="s">
        <v>240</v>
      </c>
      <c r="F863" s="48">
        <v>99</v>
      </c>
      <c r="G863" s="48">
        <v>43</v>
      </c>
      <c r="H863" s="48">
        <v>754</v>
      </c>
      <c r="I863" s="48">
        <v>73</v>
      </c>
      <c r="J863" s="48">
        <v>47</v>
      </c>
      <c r="K863" s="48">
        <v>788</v>
      </c>
      <c r="L863" s="48">
        <v>102</v>
      </c>
      <c r="M863" s="48">
        <v>41</v>
      </c>
      <c r="N863" s="48">
        <v>642</v>
      </c>
      <c r="O863" s="48">
        <v>48</v>
      </c>
      <c r="P863" s="48">
        <v>49</v>
      </c>
      <c r="Q863" s="48">
        <v>854</v>
      </c>
      <c r="R863" s="48">
        <v>62</v>
      </c>
      <c r="S863" s="48">
        <v>53</v>
      </c>
      <c r="T863" s="48">
        <v>895</v>
      </c>
      <c r="U863" s="48">
        <v>58</v>
      </c>
      <c r="V863" s="48">
        <v>51</v>
      </c>
      <c r="W863" s="48">
        <v>754</v>
      </c>
      <c r="X863" s="48">
        <v>442</v>
      </c>
      <c r="Y863" s="48">
        <v>53</v>
      </c>
      <c r="Z863" s="48">
        <v>860</v>
      </c>
    </row>
    <row r="864" spans="1:26" ht="15" hidden="1" customHeight="1">
      <c r="A864" s="48" t="s">
        <v>1815</v>
      </c>
      <c r="B864" s="48" t="s">
        <v>1815</v>
      </c>
      <c r="C864" s="48" t="s">
        <v>1816</v>
      </c>
      <c r="D864" s="48" t="s">
        <v>50</v>
      </c>
      <c r="E864" s="48" t="s">
        <v>106</v>
      </c>
      <c r="F864" s="48">
        <v>97</v>
      </c>
      <c r="G864" s="48">
        <v>49</v>
      </c>
      <c r="H864" s="48">
        <v>795</v>
      </c>
      <c r="I864" s="48">
        <v>49</v>
      </c>
      <c r="J864" s="48">
        <v>53</v>
      </c>
      <c r="K864" s="48">
        <v>927</v>
      </c>
      <c r="L864" s="48">
        <v>106.5</v>
      </c>
      <c r="M864" s="48">
        <v>30</v>
      </c>
      <c r="N864" s="48">
        <v>554</v>
      </c>
      <c r="O864" s="48">
        <v>68</v>
      </c>
      <c r="P864" s="48">
        <v>19</v>
      </c>
      <c r="Q864" s="48">
        <v>474</v>
      </c>
      <c r="R864" s="48">
        <v>68</v>
      </c>
      <c r="S864" s="48">
        <v>45</v>
      </c>
      <c r="T864" s="48">
        <v>824</v>
      </c>
      <c r="U864" s="48">
        <v>53</v>
      </c>
      <c r="V864" s="48">
        <v>42</v>
      </c>
      <c r="W864" s="48">
        <v>832</v>
      </c>
      <c r="X864" s="48">
        <v>441.5</v>
      </c>
      <c r="Y864" s="48">
        <v>47</v>
      </c>
      <c r="Z864" s="48">
        <v>861</v>
      </c>
    </row>
    <row r="865" spans="1:26" ht="15" hidden="1" customHeight="1">
      <c r="A865" s="48" t="s">
        <v>1817</v>
      </c>
      <c r="B865" s="48" t="s">
        <v>1817</v>
      </c>
      <c r="C865" s="48" t="s">
        <v>1818</v>
      </c>
      <c r="D865" s="48" t="s">
        <v>50</v>
      </c>
      <c r="E865" s="48" t="s">
        <v>111</v>
      </c>
      <c r="F865" s="48">
        <v>102</v>
      </c>
      <c r="G865" s="48">
        <v>33</v>
      </c>
      <c r="H865" s="48">
        <v>655</v>
      </c>
      <c r="I865" s="48">
        <v>55</v>
      </c>
      <c r="J865" s="48">
        <v>53</v>
      </c>
      <c r="K865" s="48">
        <v>910</v>
      </c>
      <c r="L865" s="48">
        <v>111</v>
      </c>
      <c r="M865" s="48">
        <v>26</v>
      </c>
      <c r="N865" s="48">
        <v>445</v>
      </c>
      <c r="O865" s="48">
        <v>65</v>
      </c>
      <c r="P865" s="48">
        <v>26</v>
      </c>
      <c r="Q865" s="48">
        <v>539</v>
      </c>
      <c r="R865" s="48">
        <v>68</v>
      </c>
      <c r="S865" s="48">
        <v>46</v>
      </c>
      <c r="T865" s="48">
        <v>824</v>
      </c>
      <c r="U865" s="48">
        <v>40</v>
      </c>
      <c r="V865" s="48">
        <v>53</v>
      </c>
      <c r="W865" s="48">
        <v>935</v>
      </c>
      <c r="X865" s="48">
        <v>441</v>
      </c>
      <c r="Y865" s="48">
        <v>47</v>
      </c>
      <c r="Z865" s="48">
        <v>862</v>
      </c>
    </row>
    <row r="866" spans="1:26" ht="15" hidden="1" customHeight="1">
      <c r="A866" s="48" t="s">
        <v>1819</v>
      </c>
      <c r="B866" s="48" t="s">
        <v>1819</v>
      </c>
      <c r="C866" s="48" t="s">
        <v>1820</v>
      </c>
      <c r="D866" s="48" t="s">
        <v>50</v>
      </c>
      <c r="E866" s="48" t="s">
        <v>172</v>
      </c>
      <c r="F866" s="48">
        <v>108</v>
      </c>
      <c r="G866" s="48">
        <v>19</v>
      </c>
      <c r="H866" s="48">
        <v>391</v>
      </c>
      <c r="I866" s="48">
        <v>41</v>
      </c>
      <c r="J866" s="48">
        <v>57</v>
      </c>
      <c r="K866" s="48">
        <v>944</v>
      </c>
      <c r="L866" s="48">
        <v>111.5</v>
      </c>
      <c r="M866" s="48">
        <v>20</v>
      </c>
      <c r="N866" s="48">
        <v>427</v>
      </c>
      <c r="O866" s="48">
        <v>55</v>
      </c>
      <c r="P866" s="48">
        <v>42</v>
      </c>
      <c r="Q866" s="48">
        <v>748</v>
      </c>
      <c r="R866" s="48">
        <v>71</v>
      </c>
      <c r="S866" s="48">
        <v>44</v>
      </c>
      <c r="T866" s="48">
        <v>773</v>
      </c>
      <c r="U866" s="48">
        <v>54</v>
      </c>
      <c r="V866" s="48">
        <v>50</v>
      </c>
      <c r="W866" s="48">
        <v>817</v>
      </c>
      <c r="X866" s="48">
        <v>440.5</v>
      </c>
      <c r="Y866" s="48">
        <v>52</v>
      </c>
      <c r="Z866" s="48">
        <v>863</v>
      </c>
    </row>
    <row r="867" spans="1:26" ht="15" hidden="1" customHeight="1">
      <c r="A867" s="48" t="s">
        <v>1821</v>
      </c>
      <c r="B867" s="48" t="s">
        <v>1821</v>
      </c>
      <c r="C867" s="48" t="s">
        <v>1822</v>
      </c>
      <c r="D867" s="48" t="s">
        <v>50</v>
      </c>
      <c r="E867" s="48" t="s">
        <v>106</v>
      </c>
      <c r="F867" s="48">
        <v>109</v>
      </c>
      <c r="G867" s="48">
        <v>27</v>
      </c>
      <c r="H867" s="48">
        <v>353</v>
      </c>
      <c r="I867" s="48">
        <v>66</v>
      </c>
      <c r="J867" s="48">
        <v>44</v>
      </c>
      <c r="K867" s="48">
        <v>847</v>
      </c>
      <c r="L867" s="48">
        <v>103</v>
      </c>
      <c r="M867" s="48">
        <v>35</v>
      </c>
      <c r="N867" s="48">
        <v>630</v>
      </c>
      <c r="O867" s="48">
        <v>54</v>
      </c>
      <c r="P867" s="48">
        <v>42</v>
      </c>
      <c r="Q867" s="48">
        <v>766</v>
      </c>
      <c r="R867" s="48">
        <v>68</v>
      </c>
      <c r="S867" s="48">
        <v>45</v>
      </c>
      <c r="T867" s="48">
        <v>824</v>
      </c>
      <c r="U867" s="48">
        <v>40</v>
      </c>
      <c r="V867" s="48">
        <v>55</v>
      </c>
      <c r="W867" s="48">
        <v>935</v>
      </c>
      <c r="X867" s="48">
        <v>440</v>
      </c>
      <c r="Y867" s="48">
        <v>48</v>
      </c>
      <c r="Z867" s="48">
        <v>864</v>
      </c>
    </row>
    <row r="868" spans="1:26" ht="15" hidden="1" customHeight="1">
      <c r="A868" s="48" t="s">
        <v>1823</v>
      </c>
      <c r="B868" s="48" t="s">
        <v>1823</v>
      </c>
      <c r="C868" s="48" t="s">
        <v>1824</v>
      </c>
      <c r="D868" s="48" t="s">
        <v>50</v>
      </c>
      <c r="E868" s="48" t="s">
        <v>133</v>
      </c>
      <c r="F868" s="48">
        <v>105</v>
      </c>
      <c r="G868" s="48">
        <v>37</v>
      </c>
      <c r="H868" s="48">
        <v>515</v>
      </c>
      <c r="I868" s="48">
        <v>43</v>
      </c>
      <c r="J868" s="48">
        <v>57</v>
      </c>
      <c r="K868" s="48">
        <v>942</v>
      </c>
      <c r="L868" s="48">
        <v>105</v>
      </c>
      <c r="M868" s="48">
        <v>34</v>
      </c>
      <c r="N868" s="48">
        <v>578</v>
      </c>
      <c r="O868" s="48">
        <v>48</v>
      </c>
      <c r="P868" s="48">
        <v>51</v>
      </c>
      <c r="Q868" s="48">
        <v>854</v>
      </c>
      <c r="R868" s="48">
        <v>78</v>
      </c>
      <c r="S868" s="48">
        <v>41</v>
      </c>
      <c r="T868" s="48">
        <v>577</v>
      </c>
      <c r="U868" s="48">
        <v>61</v>
      </c>
      <c r="V868" s="48">
        <v>48</v>
      </c>
      <c r="W868" s="48">
        <v>686</v>
      </c>
      <c r="X868" s="48">
        <v>440</v>
      </c>
      <c r="Y868" s="48">
        <v>54</v>
      </c>
      <c r="Z868" s="48">
        <v>864</v>
      </c>
    </row>
    <row r="869" spans="1:26" ht="15" hidden="1" customHeight="1">
      <c r="A869" s="48" t="s">
        <v>1825</v>
      </c>
      <c r="B869" s="48" t="s">
        <v>1825</v>
      </c>
      <c r="C869" s="48" t="s">
        <v>1826</v>
      </c>
      <c r="D869" s="48" t="s">
        <v>50</v>
      </c>
      <c r="E869" s="48" t="s">
        <v>92</v>
      </c>
      <c r="F869" s="48">
        <v>109</v>
      </c>
      <c r="G869" s="48">
        <v>13</v>
      </c>
      <c r="H869" s="48">
        <v>353</v>
      </c>
      <c r="I869" s="48">
        <v>65</v>
      </c>
      <c r="J869" s="48">
        <v>52</v>
      </c>
      <c r="K869" s="48">
        <v>853</v>
      </c>
      <c r="L869" s="48">
        <v>112.5</v>
      </c>
      <c r="M869" s="48">
        <v>19</v>
      </c>
      <c r="N869" s="48">
        <v>401</v>
      </c>
      <c r="O869" s="48">
        <v>31</v>
      </c>
      <c r="P869" s="48">
        <v>56</v>
      </c>
      <c r="Q869" s="48">
        <v>941</v>
      </c>
      <c r="R869" s="48">
        <v>62</v>
      </c>
      <c r="S869" s="48">
        <v>56</v>
      </c>
      <c r="T869" s="48">
        <v>895</v>
      </c>
      <c r="U869" s="48">
        <v>60</v>
      </c>
      <c r="V869" s="48">
        <v>47</v>
      </c>
      <c r="W869" s="48">
        <v>706</v>
      </c>
      <c r="X869" s="48">
        <v>439.5</v>
      </c>
      <c r="Y869" s="48">
        <v>51</v>
      </c>
      <c r="Z869" s="48">
        <v>866</v>
      </c>
    </row>
    <row r="870" spans="1:26" ht="15" hidden="1" customHeight="1">
      <c r="A870" s="48" t="s">
        <v>1827</v>
      </c>
      <c r="B870" s="48" t="s">
        <v>1827</v>
      </c>
      <c r="C870" s="48" t="s">
        <v>1828</v>
      </c>
      <c r="D870" s="48" t="s">
        <v>50</v>
      </c>
      <c r="E870" s="48" t="s">
        <v>92</v>
      </c>
      <c r="F870" s="48">
        <v>93</v>
      </c>
      <c r="G870" s="48">
        <v>47</v>
      </c>
      <c r="H870" s="48">
        <v>868</v>
      </c>
      <c r="I870" s="48">
        <v>61</v>
      </c>
      <c r="J870" s="48">
        <v>53</v>
      </c>
      <c r="K870" s="48">
        <v>873</v>
      </c>
      <c r="L870" s="48">
        <v>79.5</v>
      </c>
      <c r="M870" s="48">
        <v>53</v>
      </c>
      <c r="N870" s="48">
        <v>897</v>
      </c>
      <c r="O870" s="48">
        <v>64</v>
      </c>
      <c r="P870" s="48">
        <v>31</v>
      </c>
      <c r="Q870" s="48">
        <v>559</v>
      </c>
      <c r="R870" s="48">
        <v>79</v>
      </c>
      <c r="S870" s="48">
        <v>31</v>
      </c>
      <c r="T870" s="48">
        <v>539</v>
      </c>
      <c r="U870" s="48">
        <v>63</v>
      </c>
      <c r="V870" s="48">
        <v>41</v>
      </c>
      <c r="W870" s="48">
        <v>625</v>
      </c>
      <c r="X870" s="48">
        <v>439.5</v>
      </c>
      <c r="Y870" s="48">
        <v>51</v>
      </c>
      <c r="Z870" s="48">
        <v>866</v>
      </c>
    </row>
    <row r="871" spans="1:26" ht="15" hidden="1" customHeight="1">
      <c r="A871" s="48" t="s">
        <v>1829</v>
      </c>
      <c r="B871" s="48" t="s">
        <v>1829</v>
      </c>
      <c r="C871" s="48" t="s">
        <v>1830</v>
      </c>
      <c r="D871" s="48" t="s">
        <v>50</v>
      </c>
      <c r="E871" s="48" t="s">
        <v>133</v>
      </c>
      <c r="F871" s="48">
        <v>100</v>
      </c>
      <c r="G871" s="48">
        <v>46</v>
      </c>
      <c r="H871" s="48">
        <v>715</v>
      </c>
      <c r="I871" s="48">
        <v>58</v>
      </c>
      <c r="J871" s="48">
        <v>56</v>
      </c>
      <c r="K871" s="48">
        <v>893</v>
      </c>
      <c r="L871" s="48">
        <v>81.5</v>
      </c>
      <c r="M871" s="48">
        <v>51</v>
      </c>
      <c r="N871" s="48">
        <v>886</v>
      </c>
      <c r="O871" s="48">
        <v>66</v>
      </c>
      <c r="P871" s="48">
        <v>31</v>
      </c>
      <c r="Q871" s="48">
        <v>513</v>
      </c>
      <c r="R871" s="48">
        <v>70</v>
      </c>
      <c r="S871" s="48">
        <v>54</v>
      </c>
      <c r="T871" s="48">
        <v>787</v>
      </c>
      <c r="U871" s="48">
        <v>64</v>
      </c>
      <c r="V871" s="48">
        <v>40</v>
      </c>
      <c r="W871" s="48">
        <v>593</v>
      </c>
      <c r="X871" s="48">
        <v>439.5</v>
      </c>
      <c r="Y871" s="48">
        <v>55</v>
      </c>
      <c r="Z871" s="48">
        <v>866</v>
      </c>
    </row>
    <row r="872" spans="1:26" ht="15" hidden="1" customHeight="1">
      <c r="A872" s="48" t="s">
        <v>1831</v>
      </c>
      <c r="B872" s="48" t="s">
        <v>1831</v>
      </c>
      <c r="C872" s="48" t="s">
        <v>1832</v>
      </c>
      <c r="D872" s="48" t="s">
        <v>50</v>
      </c>
      <c r="E872" s="48" t="s">
        <v>84</v>
      </c>
      <c r="F872" s="48">
        <v>102</v>
      </c>
      <c r="G872" s="48">
        <v>36</v>
      </c>
      <c r="H872" s="48">
        <v>655</v>
      </c>
      <c r="I872" s="48">
        <v>48</v>
      </c>
      <c r="J872" s="48">
        <v>56</v>
      </c>
      <c r="K872" s="48">
        <v>929</v>
      </c>
      <c r="L872" s="48">
        <v>116.5</v>
      </c>
      <c r="M872" s="48">
        <v>18</v>
      </c>
      <c r="N872" s="48">
        <v>298</v>
      </c>
      <c r="O872" s="48">
        <v>37</v>
      </c>
      <c r="P872" s="48">
        <v>56</v>
      </c>
      <c r="Q872" s="48">
        <v>921</v>
      </c>
      <c r="R872" s="48">
        <v>79</v>
      </c>
      <c r="S872" s="48">
        <v>29</v>
      </c>
      <c r="T872" s="48">
        <v>539</v>
      </c>
      <c r="U872" s="48">
        <v>57</v>
      </c>
      <c r="V872" s="48">
        <v>49</v>
      </c>
      <c r="W872" s="48">
        <v>770</v>
      </c>
      <c r="X872" s="48">
        <v>439.5</v>
      </c>
      <c r="Y872" s="48">
        <v>54</v>
      </c>
      <c r="Z872" s="48">
        <v>866</v>
      </c>
    </row>
    <row r="873" spans="1:26" ht="15" hidden="1" customHeight="1">
      <c r="A873" s="48" t="s">
        <v>1833</v>
      </c>
      <c r="B873" s="48" t="s">
        <v>1833</v>
      </c>
      <c r="C873" s="48" t="s">
        <v>1834</v>
      </c>
      <c r="D873" s="48" t="s">
        <v>50</v>
      </c>
      <c r="E873" s="48" t="s">
        <v>97</v>
      </c>
      <c r="F873" s="48">
        <v>98</v>
      </c>
      <c r="G873" s="48">
        <v>46</v>
      </c>
      <c r="H873" s="48">
        <v>774</v>
      </c>
      <c r="I873" s="48">
        <v>58</v>
      </c>
      <c r="J873" s="48">
        <v>53</v>
      </c>
      <c r="K873" s="48">
        <v>893</v>
      </c>
      <c r="L873" s="48">
        <v>91</v>
      </c>
      <c r="M873" s="48">
        <v>48</v>
      </c>
      <c r="N873" s="48">
        <v>817</v>
      </c>
      <c r="O873" s="48">
        <v>57</v>
      </c>
      <c r="P873" s="48">
        <v>39</v>
      </c>
      <c r="Q873" s="48">
        <v>713</v>
      </c>
      <c r="R873" s="48">
        <v>78</v>
      </c>
      <c r="S873" s="48">
        <v>37</v>
      </c>
      <c r="T873" s="48">
        <v>577</v>
      </c>
      <c r="U873" s="48">
        <v>56</v>
      </c>
      <c r="V873" s="48">
        <v>50</v>
      </c>
      <c r="W873" s="48">
        <v>789</v>
      </c>
      <c r="X873" s="48">
        <v>438</v>
      </c>
      <c r="Y873" s="48">
        <v>51</v>
      </c>
      <c r="Z873" s="48">
        <v>870</v>
      </c>
    </row>
    <row r="874" spans="1:26" ht="15" hidden="1" customHeight="1">
      <c r="A874" s="48" t="s">
        <v>1835</v>
      </c>
      <c r="B874" s="48" t="s">
        <v>1835</v>
      </c>
      <c r="C874" s="48" t="s">
        <v>1836</v>
      </c>
      <c r="D874" s="48" t="s">
        <v>50</v>
      </c>
      <c r="E874" s="48" t="s">
        <v>106</v>
      </c>
      <c r="F874" s="48">
        <v>118</v>
      </c>
      <c r="G874" s="48">
        <v>6</v>
      </c>
      <c r="H874" s="48">
        <v>69</v>
      </c>
      <c r="I874" s="48">
        <v>44</v>
      </c>
      <c r="J874" s="48">
        <v>55</v>
      </c>
      <c r="K874" s="48">
        <v>939</v>
      </c>
      <c r="L874" s="48">
        <v>95.5</v>
      </c>
      <c r="M874" s="48">
        <v>41</v>
      </c>
      <c r="N874" s="48">
        <v>769</v>
      </c>
      <c r="O874" s="48">
        <v>63</v>
      </c>
      <c r="P874" s="48">
        <v>27</v>
      </c>
      <c r="Q874" s="48">
        <v>581</v>
      </c>
      <c r="R874" s="48">
        <v>79</v>
      </c>
      <c r="S874" s="48">
        <v>19</v>
      </c>
      <c r="T874" s="48">
        <v>539</v>
      </c>
      <c r="U874" s="48">
        <v>38</v>
      </c>
      <c r="V874" s="48">
        <v>56</v>
      </c>
      <c r="W874" s="48">
        <v>943</v>
      </c>
      <c r="X874" s="48">
        <v>437.5</v>
      </c>
      <c r="Y874" s="48">
        <v>49</v>
      </c>
      <c r="Z874" s="48">
        <v>871</v>
      </c>
    </row>
    <row r="875" spans="1:26" ht="15" hidden="1" customHeight="1">
      <c r="A875" s="48" t="s">
        <v>1837</v>
      </c>
      <c r="B875" s="48" t="s">
        <v>1837</v>
      </c>
      <c r="C875" s="48" t="s">
        <v>1838</v>
      </c>
      <c r="D875" s="48" t="s">
        <v>50</v>
      </c>
      <c r="E875" s="48" t="s">
        <v>172</v>
      </c>
      <c r="F875" s="48">
        <v>100</v>
      </c>
      <c r="G875" s="48">
        <v>41</v>
      </c>
      <c r="H875" s="48">
        <v>715</v>
      </c>
      <c r="I875" s="48">
        <v>61</v>
      </c>
      <c r="J875" s="48">
        <v>53</v>
      </c>
      <c r="K875" s="48">
        <v>873</v>
      </c>
      <c r="L875" s="48">
        <v>100.5</v>
      </c>
      <c r="M875" s="48">
        <v>38</v>
      </c>
      <c r="N875" s="48">
        <v>675</v>
      </c>
      <c r="O875" s="48">
        <v>64</v>
      </c>
      <c r="P875" s="48">
        <v>31</v>
      </c>
      <c r="Q875" s="48">
        <v>559</v>
      </c>
      <c r="R875" s="48">
        <v>64</v>
      </c>
      <c r="S875" s="48">
        <v>53</v>
      </c>
      <c r="T875" s="48">
        <v>881</v>
      </c>
      <c r="U875" s="48">
        <v>48</v>
      </c>
      <c r="V875" s="48">
        <v>56</v>
      </c>
      <c r="W875" s="48">
        <v>893</v>
      </c>
      <c r="X875" s="48">
        <v>437.5</v>
      </c>
      <c r="Y875" s="48">
        <v>53</v>
      </c>
      <c r="Z875" s="48">
        <v>871</v>
      </c>
    </row>
    <row r="876" spans="1:26" ht="15" hidden="1" customHeight="1">
      <c r="A876" s="48" t="s">
        <v>1839</v>
      </c>
      <c r="B876" s="48" t="s">
        <v>1839</v>
      </c>
      <c r="C876" s="48" t="s">
        <v>1840</v>
      </c>
      <c r="D876" s="48" t="s">
        <v>50</v>
      </c>
      <c r="E876" s="48" t="s">
        <v>111</v>
      </c>
      <c r="F876" s="48">
        <v>102</v>
      </c>
      <c r="G876" s="48">
        <v>33</v>
      </c>
      <c r="H876" s="48">
        <v>655</v>
      </c>
      <c r="I876" s="48">
        <v>63</v>
      </c>
      <c r="J876" s="48">
        <v>50</v>
      </c>
      <c r="K876" s="48">
        <v>861</v>
      </c>
      <c r="L876" s="48">
        <v>90</v>
      </c>
      <c r="M876" s="48">
        <v>50</v>
      </c>
      <c r="N876" s="48">
        <v>829</v>
      </c>
      <c r="O876" s="48">
        <v>53</v>
      </c>
      <c r="P876" s="48">
        <v>44</v>
      </c>
      <c r="Q876" s="48">
        <v>786</v>
      </c>
      <c r="R876" s="48">
        <v>70</v>
      </c>
      <c r="S876" s="48">
        <v>43</v>
      </c>
      <c r="T876" s="48">
        <v>787</v>
      </c>
      <c r="U876" s="48">
        <v>59</v>
      </c>
      <c r="V876" s="48">
        <v>38</v>
      </c>
      <c r="W876" s="48">
        <v>729</v>
      </c>
      <c r="X876" s="48">
        <v>437</v>
      </c>
      <c r="Y876" s="48">
        <v>48</v>
      </c>
      <c r="Z876" s="48">
        <v>873</v>
      </c>
    </row>
    <row r="877" spans="1:26" ht="15" hidden="1" customHeight="1">
      <c r="A877" s="48" t="s">
        <v>1841</v>
      </c>
      <c r="B877" s="48" t="s">
        <v>1841</v>
      </c>
      <c r="C877" s="48" t="s">
        <v>1842</v>
      </c>
      <c r="D877" s="48" t="s">
        <v>50</v>
      </c>
      <c r="E877" s="48" t="s">
        <v>106</v>
      </c>
      <c r="F877" s="48">
        <v>117</v>
      </c>
      <c r="G877" s="48">
        <v>9</v>
      </c>
      <c r="H877" s="48">
        <v>86</v>
      </c>
      <c r="I877" s="48">
        <v>41</v>
      </c>
      <c r="J877" s="48">
        <v>56</v>
      </c>
      <c r="K877" s="48">
        <v>944</v>
      </c>
      <c r="L877" s="48">
        <v>92.5</v>
      </c>
      <c r="M877" s="48">
        <v>43</v>
      </c>
      <c r="N877" s="48">
        <v>801</v>
      </c>
      <c r="O877" s="48">
        <v>64</v>
      </c>
      <c r="P877" s="48">
        <v>26</v>
      </c>
      <c r="Q877" s="48">
        <v>559</v>
      </c>
      <c r="R877" s="48">
        <v>70</v>
      </c>
      <c r="S877" s="48">
        <v>39</v>
      </c>
      <c r="T877" s="48">
        <v>787</v>
      </c>
      <c r="U877" s="48">
        <v>52</v>
      </c>
      <c r="V877" s="48">
        <v>46</v>
      </c>
      <c r="W877" s="48">
        <v>849</v>
      </c>
      <c r="X877" s="48">
        <v>436.5</v>
      </c>
      <c r="Y877" s="48">
        <v>50</v>
      </c>
      <c r="Z877" s="48">
        <v>874</v>
      </c>
    </row>
    <row r="878" spans="1:26" ht="15" hidden="1" customHeight="1">
      <c r="A878" s="48" t="s">
        <v>1843</v>
      </c>
      <c r="B878" s="48" t="s">
        <v>1843</v>
      </c>
      <c r="C878" s="48" t="s">
        <v>1844</v>
      </c>
      <c r="D878" s="48" t="s">
        <v>50</v>
      </c>
      <c r="E878" s="48" t="s">
        <v>133</v>
      </c>
      <c r="F878" s="48">
        <v>91</v>
      </c>
      <c r="G878" s="48">
        <v>54</v>
      </c>
      <c r="H878" s="48">
        <v>890</v>
      </c>
      <c r="I878" s="48">
        <v>67</v>
      </c>
      <c r="J878" s="48">
        <v>54</v>
      </c>
      <c r="K878" s="48">
        <v>839</v>
      </c>
      <c r="L878" s="48">
        <v>94.5</v>
      </c>
      <c r="M878" s="48">
        <v>47</v>
      </c>
      <c r="N878" s="48">
        <v>779</v>
      </c>
      <c r="O878" s="48">
        <v>43</v>
      </c>
      <c r="P878" s="48">
        <v>54</v>
      </c>
      <c r="Q878" s="48">
        <v>890</v>
      </c>
      <c r="R878" s="48">
        <v>77</v>
      </c>
      <c r="S878" s="48">
        <v>43</v>
      </c>
      <c r="T878" s="48">
        <v>608</v>
      </c>
      <c r="U878" s="48">
        <v>64</v>
      </c>
      <c r="V878" s="48">
        <v>40</v>
      </c>
      <c r="W878" s="48">
        <v>593</v>
      </c>
      <c r="X878" s="48">
        <v>436.5</v>
      </c>
      <c r="Y878" s="48">
        <v>56</v>
      </c>
      <c r="Z878" s="48">
        <v>874</v>
      </c>
    </row>
    <row r="879" spans="1:26" ht="15" hidden="1" customHeight="1">
      <c r="A879" s="48" t="s">
        <v>1845</v>
      </c>
      <c r="B879" s="48" t="s">
        <v>1845</v>
      </c>
      <c r="C879" s="48" t="s">
        <v>1846</v>
      </c>
      <c r="D879" s="48" t="s">
        <v>50</v>
      </c>
      <c r="E879" s="48" t="s">
        <v>97</v>
      </c>
      <c r="F879" s="48">
        <v>89</v>
      </c>
      <c r="G879" s="48">
        <v>55</v>
      </c>
      <c r="H879" s="48">
        <v>909</v>
      </c>
      <c r="I879" s="48">
        <v>71</v>
      </c>
      <c r="J879" s="48">
        <v>48</v>
      </c>
      <c r="K879" s="48">
        <v>808</v>
      </c>
      <c r="L879" s="48">
        <v>113.5</v>
      </c>
      <c r="M879" s="48">
        <v>17</v>
      </c>
      <c r="N879" s="48">
        <v>374</v>
      </c>
      <c r="O879" s="48">
        <v>28</v>
      </c>
      <c r="P879" s="48">
        <v>57</v>
      </c>
      <c r="Q879" s="48">
        <v>946</v>
      </c>
      <c r="R879" s="48">
        <v>72</v>
      </c>
      <c r="S879" s="48">
        <v>45</v>
      </c>
      <c r="T879" s="48">
        <v>751</v>
      </c>
      <c r="U879" s="48">
        <v>63</v>
      </c>
      <c r="V879" s="48">
        <v>40</v>
      </c>
      <c r="W879" s="48">
        <v>625</v>
      </c>
      <c r="X879" s="48">
        <v>436.5</v>
      </c>
      <c r="Y879" s="48">
        <v>52</v>
      </c>
      <c r="Z879" s="48">
        <v>874</v>
      </c>
    </row>
    <row r="880" spans="1:26" ht="15" hidden="1" customHeight="1">
      <c r="A880" s="48" t="s">
        <v>1847</v>
      </c>
      <c r="B880" s="48" t="s">
        <v>1847</v>
      </c>
      <c r="C880" s="48" t="s">
        <v>1848</v>
      </c>
      <c r="D880" s="48" t="s">
        <v>50</v>
      </c>
      <c r="E880" s="48" t="s">
        <v>172</v>
      </c>
      <c r="F880" s="48">
        <v>100</v>
      </c>
      <c r="G880" s="48">
        <v>41</v>
      </c>
      <c r="H880" s="48">
        <v>715</v>
      </c>
      <c r="I880" s="48">
        <v>63</v>
      </c>
      <c r="J880" s="48">
        <v>51</v>
      </c>
      <c r="K880" s="48">
        <v>861</v>
      </c>
      <c r="L880" s="48">
        <v>103.5</v>
      </c>
      <c r="M880" s="48">
        <v>34</v>
      </c>
      <c r="N880" s="48">
        <v>612</v>
      </c>
      <c r="O880" s="48">
        <v>46</v>
      </c>
      <c r="P880" s="48">
        <v>55</v>
      </c>
      <c r="Q880" s="48">
        <v>875</v>
      </c>
      <c r="R880" s="48">
        <v>72</v>
      </c>
      <c r="S880" s="48">
        <v>42</v>
      </c>
      <c r="T880" s="48">
        <v>751</v>
      </c>
      <c r="U880" s="48">
        <v>51</v>
      </c>
      <c r="V880" s="48">
        <v>54</v>
      </c>
      <c r="W880" s="48">
        <v>862</v>
      </c>
      <c r="X880" s="48">
        <v>435.5</v>
      </c>
      <c r="Y880" s="48">
        <v>54</v>
      </c>
      <c r="Z880" s="48">
        <v>877</v>
      </c>
    </row>
    <row r="881" spans="1:26" ht="15" hidden="1" customHeight="1">
      <c r="A881" s="48" t="s">
        <v>1849</v>
      </c>
      <c r="B881" s="48" t="s">
        <v>1849</v>
      </c>
      <c r="C881" s="48" t="s">
        <v>1850</v>
      </c>
      <c r="D881" s="48" t="s">
        <v>50</v>
      </c>
      <c r="E881" s="48" t="s">
        <v>111</v>
      </c>
      <c r="F881" s="48">
        <v>97</v>
      </c>
      <c r="G881" s="48">
        <v>46</v>
      </c>
      <c r="H881" s="48">
        <v>795</v>
      </c>
      <c r="I881" s="48">
        <v>53</v>
      </c>
      <c r="J881" s="48">
        <v>54</v>
      </c>
      <c r="K881" s="48">
        <v>916</v>
      </c>
      <c r="L881" s="48">
        <v>99.5</v>
      </c>
      <c r="M881" s="48">
        <v>42</v>
      </c>
      <c r="N881" s="48">
        <v>694</v>
      </c>
      <c r="O881" s="48">
        <v>64</v>
      </c>
      <c r="P881" s="48">
        <v>28</v>
      </c>
      <c r="Q881" s="48">
        <v>559</v>
      </c>
      <c r="R881" s="48">
        <v>75</v>
      </c>
      <c r="S881" s="48">
        <v>36</v>
      </c>
      <c r="T881" s="48">
        <v>671</v>
      </c>
      <c r="U881" s="48">
        <v>46</v>
      </c>
      <c r="V881" s="48">
        <v>51</v>
      </c>
      <c r="W881" s="48">
        <v>909</v>
      </c>
      <c r="X881" s="48">
        <v>434.5</v>
      </c>
      <c r="Y881" s="48">
        <v>49</v>
      </c>
      <c r="Z881" s="48">
        <v>878</v>
      </c>
    </row>
    <row r="882" spans="1:26" ht="15" hidden="1" customHeight="1">
      <c r="A882" s="48" t="s">
        <v>1851</v>
      </c>
      <c r="B882" s="48" t="s">
        <v>1851</v>
      </c>
      <c r="C882" s="48" t="s">
        <v>1852</v>
      </c>
      <c r="D882" s="48" t="s">
        <v>50</v>
      </c>
      <c r="E882" s="48" t="s">
        <v>84</v>
      </c>
      <c r="F882" s="48">
        <v>109</v>
      </c>
      <c r="G882" s="48">
        <v>19</v>
      </c>
      <c r="H882" s="48">
        <v>353</v>
      </c>
      <c r="I882" s="48">
        <v>54</v>
      </c>
      <c r="J882" s="48">
        <v>54</v>
      </c>
      <c r="K882" s="48">
        <v>914</v>
      </c>
      <c r="L882" s="48">
        <v>108.5</v>
      </c>
      <c r="M882" s="48">
        <v>34</v>
      </c>
      <c r="N882" s="48">
        <v>508</v>
      </c>
      <c r="O882" s="48">
        <v>45</v>
      </c>
      <c r="P882" s="48">
        <v>53</v>
      </c>
      <c r="Q882" s="48">
        <v>878</v>
      </c>
      <c r="R882" s="48">
        <v>59</v>
      </c>
      <c r="S882" s="48">
        <v>55</v>
      </c>
      <c r="T882" s="48">
        <v>911</v>
      </c>
      <c r="U882" s="48">
        <v>59</v>
      </c>
      <c r="V882" s="48">
        <v>46</v>
      </c>
      <c r="W882" s="48">
        <v>729</v>
      </c>
      <c r="X882" s="48">
        <v>434.5</v>
      </c>
      <c r="Y882" s="48">
        <v>55</v>
      </c>
      <c r="Z882" s="48">
        <v>878</v>
      </c>
    </row>
    <row r="883" spans="1:26" ht="15" hidden="1" customHeight="1">
      <c r="A883" s="48" t="s">
        <v>1853</v>
      </c>
      <c r="B883" s="48" t="s">
        <v>1853</v>
      </c>
      <c r="C883" s="48" t="s">
        <v>39</v>
      </c>
      <c r="D883" s="48" t="s">
        <v>50</v>
      </c>
      <c r="E883" s="48" t="s">
        <v>203</v>
      </c>
      <c r="F883" s="48">
        <v>106</v>
      </c>
      <c r="G883" s="48">
        <v>34</v>
      </c>
      <c r="H883" s="48">
        <v>477</v>
      </c>
      <c r="I883" s="48">
        <v>70</v>
      </c>
      <c r="J883" s="48">
        <v>45</v>
      </c>
      <c r="K883" s="48">
        <v>815</v>
      </c>
      <c r="L883" s="48">
        <v>113</v>
      </c>
      <c r="M883" s="48">
        <v>20</v>
      </c>
      <c r="N883" s="48">
        <v>396</v>
      </c>
      <c r="O883" s="48">
        <v>49</v>
      </c>
      <c r="P883" s="48">
        <v>52</v>
      </c>
      <c r="Q883" s="48">
        <v>842</v>
      </c>
      <c r="R883" s="48">
        <v>62</v>
      </c>
      <c r="S883" s="48">
        <v>51</v>
      </c>
      <c r="T883" s="48">
        <v>895</v>
      </c>
      <c r="U883" s="48">
        <v>34</v>
      </c>
      <c r="V883" s="48">
        <v>54</v>
      </c>
      <c r="W883" s="48">
        <v>946</v>
      </c>
      <c r="X883" s="48">
        <v>434</v>
      </c>
      <c r="Y883" s="48">
        <v>51</v>
      </c>
      <c r="Z883" s="48">
        <v>880</v>
      </c>
    </row>
    <row r="884" spans="1:26" ht="15" hidden="1" customHeight="1">
      <c r="A884" s="48" t="s">
        <v>1854</v>
      </c>
      <c r="B884" s="48" t="s">
        <v>1854</v>
      </c>
      <c r="C884" s="48" t="s">
        <v>1855</v>
      </c>
      <c r="D884" s="48" t="s">
        <v>50</v>
      </c>
      <c r="E884" s="48" t="s">
        <v>249</v>
      </c>
      <c r="F884" s="48">
        <v>105</v>
      </c>
      <c r="G884" s="48">
        <v>40</v>
      </c>
      <c r="H884" s="48">
        <v>515</v>
      </c>
      <c r="I884" s="48">
        <v>51</v>
      </c>
      <c r="J884" s="48">
        <v>53</v>
      </c>
      <c r="K884" s="48">
        <v>921</v>
      </c>
      <c r="L884" s="48">
        <v>108</v>
      </c>
      <c r="M884" s="48">
        <v>25</v>
      </c>
      <c r="N884" s="48">
        <v>519</v>
      </c>
      <c r="O884" s="48">
        <v>34</v>
      </c>
      <c r="P884" s="48">
        <v>56</v>
      </c>
      <c r="Q884" s="48">
        <v>933</v>
      </c>
      <c r="R884" s="48">
        <v>73</v>
      </c>
      <c r="S884" s="48">
        <v>33</v>
      </c>
      <c r="T884" s="48">
        <v>717</v>
      </c>
      <c r="U884" s="48">
        <v>63</v>
      </c>
      <c r="V884" s="48">
        <v>27</v>
      </c>
      <c r="W884" s="48">
        <v>625</v>
      </c>
      <c r="X884" s="48">
        <v>434</v>
      </c>
      <c r="Y884" s="48">
        <v>47</v>
      </c>
      <c r="Z884" s="48">
        <v>880</v>
      </c>
    </row>
    <row r="885" spans="1:26" ht="15" hidden="1" customHeight="1">
      <c r="A885" s="48" t="s">
        <v>1856</v>
      </c>
      <c r="B885" s="48" t="s">
        <v>1856</v>
      </c>
      <c r="C885" s="48" t="s">
        <v>1857</v>
      </c>
      <c r="D885" s="48" t="s">
        <v>50</v>
      </c>
      <c r="E885" s="48" t="s">
        <v>249</v>
      </c>
      <c r="F885" s="48">
        <v>104</v>
      </c>
      <c r="G885" s="48">
        <v>45</v>
      </c>
      <c r="H885" s="48">
        <v>573</v>
      </c>
      <c r="I885" s="48">
        <v>56</v>
      </c>
      <c r="J885" s="48">
        <v>50</v>
      </c>
      <c r="K885" s="48">
        <v>904</v>
      </c>
      <c r="L885" s="48">
        <v>76.5</v>
      </c>
      <c r="M885" s="48">
        <v>54</v>
      </c>
      <c r="N885" s="48">
        <v>907</v>
      </c>
      <c r="O885" s="48">
        <v>55</v>
      </c>
      <c r="P885" s="48">
        <v>41</v>
      </c>
      <c r="Q885" s="48">
        <v>748</v>
      </c>
      <c r="R885" s="48">
        <v>78</v>
      </c>
      <c r="S885" s="48">
        <v>23</v>
      </c>
      <c r="T885" s="48">
        <v>577</v>
      </c>
      <c r="U885" s="48">
        <v>63</v>
      </c>
      <c r="V885" s="48">
        <v>27</v>
      </c>
      <c r="W885" s="48">
        <v>625</v>
      </c>
      <c r="X885" s="48">
        <v>432.5</v>
      </c>
      <c r="Y885" s="48">
        <v>48</v>
      </c>
      <c r="Z885" s="48">
        <v>882</v>
      </c>
    </row>
    <row r="886" spans="1:26" ht="15" hidden="1" customHeight="1">
      <c r="A886" s="48" t="s">
        <v>1858</v>
      </c>
      <c r="B886" s="48" t="s">
        <v>1858</v>
      </c>
      <c r="C886" s="48" t="s">
        <v>1859</v>
      </c>
      <c r="D886" s="48" t="s">
        <v>50</v>
      </c>
      <c r="E886" s="48" t="s">
        <v>106</v>
      </c>
      <c r="F886" s="48">
        <v>96</v>
      </c>
      <c r="G886" s="48">
        <v>50</v>
      </c>
      <c r="H886" s="48">
        <v>814</v>
      </c>
      <c r="I886" s="48">
        <v>56</v>
      </c>
      <c r="J886" s="48">
        <v>49</v>
      </c>
      <c r="K886" s="48">
        <v>904</v>
      </c>
      <c r="L886" s="48">
        <v>90</v>
      </c>
      <c r="M886" s="48">
        <v>47</v>
      </c>
      <c r="N886" s="48">
        <v>829</v>
      </c>
      <c r="O886" s="48">
        <v>50</v>
      </c>
      <c r="P886" s="48">
        <v>50</v>
      </c>
      <c r="Q886" s="48">
        <v>826</v>
      </c>
      <c r="R886" s="48">
        <v>75</v>
      </c>
      <c r="S886" s="48">
        <v>34</v>
      </c>
      <c r="T886" s="48">
        <v>671</v>
      </c>
      <c r="U886" s="48">
        <v>65</v>
      </c>
      <c r="V886" s="48">
        <v>25</v>
      </c>
      <c r="W886" s="48">
        <v>554</v>
      </c>
      <c r="X886" s="48">
        <v>432</v>
      </c>
      <c r="Y886" s="48">
        <v>51</v>
      </c>
      <c r="Z886" s="48">
        <v>883</v>
      </c>
    </row>
    <row r="887" spans="1:26" ht="15" hidden="1" customHeight="1">
      <c r="A887" s="48" t="s">
        <v>1860</v>
      </c>
      <c r="B887" s="48" t="s">
        <v>1860</v>
      </c>
      <c r="C887" s="48" t="s">
        <v>1861</v>
      </c>
      <c r="D887" s="48" t="s">
        <v>50</v>
      </c>
      <c r="E887" s="48" t="s">
        <v>150</v>
      </c>
      <c r="F887" s="48">
        <v>101</v>
      </c>
      <c r="G887" s="48">
        <v>33</v>
      </c>
      <c r="H887" s="48">
        <v>688</v>
      </c>
      <c r="I887" s="48">
        <v>55</v>
      </c>
      <c r="J887" s="48">
        <v>57</v>
      </c>
      <c r="K887" s="48">
        <v>910</v>
      </c>
      <c r="L887" s="48">
        <v>91</v>
      </c>
      <c r="M887" s="48">
        <v>45</v>
      </c>
      <c r="N887" s="48">
        <v>817</v>
      </c>
      <c r="O887" s="48">
        <v>60</v>
      </c>
      <c r="P887" s="48">
        <v>37</v>
      </c>
      <c r="Q887" s="48">
        <v>647</v>
      </c>
      <c r="R887" s="48">
        <v>67</v>
      </c>
      <c r="S887" s="48">
        <v>52</v>
      </c>
      <c r="T887" s="48">
        <v>837</v>
      </c>
      <c r="U887" s="48">
        <v>57</v>
      </c>
      <c r="V887" s="48">
        <v>52</v>
      </c>
      <c r="W887" s="48">
        <v>770</v>
      </c>
      <c r="X887" s="48">
        <v>431</v>
      </c>
      <c r="Y887" s="48">
        <v>53</v>
      </c>
      <c r="Z887" s="48">
        <v>884</v>
      </c>
    </row>
    <row r="888" spans="1:26" ht="15" hidden="1" customHeight="1">
      <c r="A888" s="48" t="s">
        <v>1862</v>
      </c>
      <c r="B888" s="48" t="s">
        <v>1862</v>
      </c>
      <c r="C888" s="48" t="s">
        <v>1863</v>
      </c>
      <c r="D888" s="48" t="s">
        <v>50</v>
      </c>
      <c r="E888" s="48" t="s">
        <v>111</v>
      </c>
      <c r="F888" s="48">
        <v>102</v>
      </c>
      <c r="G888" s="48">
        <v>33</v>
      </c>
      <c r="H888" s="48">
        <v>655</v>
      </c>
      <c r="I888" s="48">
        <v>78</v>
      </c>
      <c r="J888" s="48">
        <v>36</v>
      </c>
      <c r="K888" s="48">
        <v>729</v>
      </c>
      <c r="L888" s="48">
        <v>123</v>
      </c>
      <c r="M888" s="48">
        <v>10</v>
      </c>
      <c r="N888" s="48">
        <v>132</v>
      </c>
      <c r="O888" s="48">
        <v>35</v>
      </c>
      <c r="P888" s="48">
        <v>54</v>
      </c>
      <c r="Q888" s="48">
        <v>929</v>
      </c>
      <c r="R888" s="48">
        <v>54</v>
      </c>
      <c r="S888" s="48">
        <v>54</v>
      </c>
      <c r="T888" s="48">
        <v>934</v>
      </c>
      <c r="U888" s="48">
        <v>39</v>
      </c>
      <c r="V888" s="48">
        <v>55</v>
      </c>
      <c r="W888" s="48">
        <v>940</v>
      </c>
      <c r="X888" s="48">
        <v>431</v>
      </c>
      <c r="Y888" s="48">
        <v>50</v>
      </c>
      <c r="Z888" s="48">
        <v>884</v>
      </c>
    </row>
    <row r="889" spans="1:26" ht="15" hidden="1" customHeight="1">
      <c r="A889" s="48" t="s">
        <v>1864</v>
      </c>
      <c r="B889" s="48" t="s">
        <v>1864</v>
      </c>
      <c r="C889" s="48" t="s">
        <v>1865</v>
      </c>
      <c r="D889" s="48" t="s">
        <v>50</v>
      </c>
      <c r="E889" s="48" t="s">
        <v>84</v>
      </c>
      <c r="F889" s="48">
        <v>88</v>
      </c>
      <c r="G889" s="48">
        <v>52</v>
      </c>
      <c r="H889" s="48">
        <v>918</v>
      </c>
      <c r="I889" s="48">
        <v>49</v>
      </c>
      <c r="J889" s="48">
        <v>55</v>
      </c>
      <c r="K889" s="48">
        <v>927</v>
      </c>
      <c r="L889" s="48">
        <v>96</v>
      </c>
      <c r="M889" s="48">
        <v>50</v>
      </c>
      <c r="N889" s="48">
        <v>762</v>
      </c>
      <c r="O889" s="48">
        <v>39</v>
      </c>
      <c r="P889" s="48">
        <v>55</v>
      </c>
      <c r="Q889" s="48">
        <v>912</v>
      </c>
      <c r="R889" s="48">
        <v>89</v>
      </c>
      <c r="S889" s="48">
        <v>8</v>
      </c>
      <c r="T889" s="48">
        <v>200</v>
      </c>
      <c r="U889" s="48">
        <v>69</v>
      </c>
      <c r="V889" s="48">
        <v>23</v>
      </c>
      <c r="W889" s="48">
        <v>420</v>
      </c>
      <c r="X889" s="48">
        <v>430</v>
      </c>
      <c r="Y889" s="48">
        <v>56</v>
      </c>
      <c r="Z889" s="48">
        <v>886</v>
      </c>
    </row>
    <row r="890" spans="1:26" ht="15" hidden="1" customHeight="1">
      <c r="A890" s="48" t="s">
        <v>1866</v>
      </c>
      <c r="B890" s="48" t="s">
        <v>1866</v>
      </c>
      <c r="C890" s="48" t="s">
        <v>1867</v>
      </c>
      <c r="D890" s="48" t="s">
        <v>50</v>
      </c>
      <c r="E890" s="48" t="s">
        <v>296</v>
      </c>
      <c r="F890" s="48">
        <v>109</v>
      </c>
      <c r="G890" s="48">
        <v>11</v>
      </c>
      <c r="H890" s="48">
        <v>353</v>
      </c>
      <c r="I890" s="48">
        <v>61</v>
      </c>
      <c r="J890" s="48">
        <v>49</v>
      </c>
      <c r="K890" s="48">
        <v>873</v>
      </c>
      <c r="L890" s="48">
        <v>108</v>
      </c>
      <c r="M890" s="48">
        <v>28</v>
      </c>
      <c r="N890" s="48">
        <v>519</v>
      </c>
      <c r="O890" s="48">
        <v>35</v>
      </c>
      <c r="P890" s="48">
        <v>55</v>
      </c>
      <c r="Q890" s="48">
        <v>929</v>
      </c>
      <c r="R890" s="48">
        <v>66</v>
      </c>
      <c r="S890" s="48">
        <v>51</v>
      </c>
      <c r="T890" s="48">
        <v>849</v>
      </c>
      <c r="U890" s="48">
        <v>51</v>
      </c>
      <c r="V890" s="48">
        <v>45</v>
      </c>
      <c r="W890" s="48">
        <v>862</v>
      </c>
      <c r="X890" s="48">
        <v>430</v>
      </c>
      <c r="Y890" s="48">
        <v>51</v>
      </c>
      <c r="Z890" s="48">
        <v>886</v>
      </c>
    </row>
    <row r="891" spans="1:26" ht="15" hidden="1" customHeight="1">
      <c r="A891" s="48" t="s">
        <v>1868</v>
      </c>
      <c r="B891" s="48" t="s">
        <v>1868</v>
      </c>
      <c r="C891" s="48" t="s">
        <v>1869</v>
      </c>
      <c r="D891" s="48" t="s">
        <v>50</v>
      </c>
      <c r="E891" s="48" t="s">
        <v>97</v>
      </c>
      <c r="F891" s="48">
        <v>103</v>
      </c>
      <c r="G891" s="48">
        <v>39</v>
      </c>
      <c r="H891" s="48">
        <v>606</v>
      </c>
      <c r="I891" s="48">
        <v>56</v>
      </c>
      <c r="J891" s="48">
        <v>55</v>
      </c>
      <c r="K891" s="48">
        <v>904</v>
      </c>
      <c r="L891" s="48">
        <v>101</v>
      </c>
      <c r="M891" s="48">
        <v>37</v>
      </c>
      <c r="N891" s="48">
        <v>661</v>
      </c>
      <c r="O891" s="48">
        <v>47</v>
      </c>
      <c r="P891" s="48">
        <v>49</v>
      </c>
      <c r="Q891" s="48">
        <v>863</v>
      </c>
      <c r="R891" s="48">
        <v>64</v>
      </c>
      <c r="S891" s="48">
        <v>55</v>
      </c>
      <c r="T891" s="48">
        <v>881</v>
      </c>
      <c r="U891" s="48">
        <v>59</v>
      </c>
      <c r="V891" s="48">
        <v>49</v>
      </c>
      <c r="W891" s="48">
        <v>729</v>
      </c>
      <c r="X891" s="48">
        <v>430</v>
      </c>
      <c r="Y891" s="48">
        <v>53</v>
      </c>
      <c r="Z891" s="48">
        <v>886</v>
      </c>
    </row>
    <row r="892" spans="1:26" ht="15" hidden="1" customHeight="1">
      <c r="A892" s="48" t="s">
        <v>1870</v>
      </c>
      <c r="B892" s="48" t="s">
        <v>1870</v>
      </c>
      <c r="C892" s="48" t="s">
        <v>1871</v>
      </c>
      <c r="D892" s="48" t="s">
        <v>50</v>
      </c>
      <c r="E892" s="48" t="s">
        <v>92</v>
      </c>
      <c r="F892" s="48">
        <v>98</v>
      </c>
      <c r="G892" s="48">
        <v>41</v>
      </c>
      <c r="H892" s="48">
        <v>774</v>
      </c>
      <c r="I892" s="48">
        <v>59</v>
      </c>
      <c r="J892" s="48">
        <v>55</v>
      </c>
      <c r="K892" s="48">
        <v>890</v>
      </c>
      <c r="L892" s="48">
        <v>90</v>
      </c>
      <c r="M892" s="48">
        <v>46</v>
      </c>
      <c r="N892" s="48">
        <v>829</v>
      </c>
      <c r="O892" s="48">
        <v>43</v>
      </c>
      <c r="P892" s="48">
        <v>54</v>
      </c>
      <c r="Q892" s="48">
        <v>890</v>
      </c>
      <c r="R892" s="48">
        <v>73</v>
      </c>
      <c r="S892" s="48">
        <v>47</v>
      </c>
      <c r="T892" s="48">
        <v>717</v>
      </c>
      <c r="U892" s="48">
        <v>67</v>
      </c>
      <c r="V892" s="48">
        <v>33</v>
      </c>
      <c r="W892" s="48">
        <v>489</v>
      </c>
      <c r="X892" s="48">
        <v>430</v>
      </c>
      <c r="Y892" s="48">
        <v>53</v>
      </c>
      <c r="Z892" s="48">
        <v>886</v>
      </c>
    </row>
    <row r="893" spans="1:26" ht="15" hidden="1" customHeight="1">
      <c r="A893" s="48" t="s">
        <v>1872</v>
      </c>
      <c r="B893" s="48" t="s">
        <v>1872</v>
      </c>
      <c r="C893" s="48" t="s">
        <v>1873</v>
      </c>
      <c r="D893" s="48" t="s">
        <v>50</v>
      </c>
      <c r="E893" s="48" t="s">
        <v>249</v>
      </c>
      <c r="F893" s="48">
        <v>107</v>
      </c>
      <c r="G893" s="48">
        <v>35</v>
      </c>
      <c r="H893" s="48">
        <v>429</v>
      </c>
      <c r="I893" s="48">
        <v>61</v>
      </c>
      <c r="J893" s="48">
        <v>48</v>
      </c>
      <c r="K893" s="48">
        <v>873</v>
      </c>
      <c r="L893" s="48">
        <v>90.5</v>
      </c>
      <c r="M893" s="48">
        <v>47</v>
      </c>
      <c r="N893" s="48">
        <v>822</v>
      </c>
      <c r="O893" s="48">
        <v>44</v>
      </c>
      <c r="P893" s="48">
        <v>48</v>
      </c>
      <c r="Q893" s="48">
        <v>885</v>
      </c>
      <c r="R893" s="48">
        <v>68</v>
      </c>
      <c r="S893" s="48">
        <v>40</v>
      </c>
      <c r="T893" s="48">
        <v>824</v>
      </c>
      <c r="U893" s="48">
        <v>59</v>
      </c>
      <c r="V893" s="48">
        <v>36</v>
      </c>
      <c r="W893" s="48">
        <v>729</v>
      </c>
      <c r="X893" s="48">
        <v>429.5</v>
      </c>
      <c r="Y893" s="48">
        <v>49</v>
      </c>
      <c r="Z893" s="48">
        <v>890</v>
      </c>
    </row>
    <row r="894" spans="1:26" ht="15" hidden="1" customHeight="1">
      <c r="A894" s="48" t="s">
        <v>1874</v>
      </c>
      <c r="B894" s="48" t="s">
        <v>1874</v>
      </c>
      <c r="C894" s="48" t="s">
        <v>1875</v>
      </c>
      <c r="D894" s="48" t="s">
        <v>50</v>
      </c>
      <c r="E894" s="48" t="s">
        <v>172</v>
      </c>
      <c r="F894" s="48">
        <v>96</v>
      </c>
      <c r="G894" s="48">
        <v>48</v>
      </c>
      <c r="H894" s="48">
        <v>814</v>
      </c>
      <c r="I894" s="48">
        <v>64</v>
      </c>
      <c r="J894" s="48">
        <v>50</v>
      </c>
      <c r="K894" s="48">
        <v>858</v>
      </c>
      <c r="L894" s="48">
        <v>83.5</v>
      </c>
      <c r="M894" s="48">
        <v>53</v>
      </c>
      <c r="N894" s="48">
        <v>877</v>
      </c>
      <c r="O894" s="48">
        <v>60</v>
      </c>
      <c r="P894" s="48">
        <v>34</v>
      </c>
      <c r="Q894" s="48">
        <v>647</v>
      </c>
      <c r="R894" s="48">
        <v>63</v>
      </c>
      <c r="S894" s="48">
        <v>54</v>
      </c>
      <c r="T894" s="48">
        <v>888</v>
      </c>
      <c r="U894" s="48">
        <v>63</v>
      </c>
      <c r="V894" s="48">
        <v>43</v>
      </c>
      <c r="W894" s="48">
        <v>625</v>
      </c>
      <c r="X894" s="48">
        <v>429.5</v>
      </c>
      <c r="Y894" s="48">
        <v>55</v>
      </c>
      <c r="Z894" s="48">
        <v>890</v>
      </c>
    </row>
    <row r="895" spans="1:26" ht="15" hidden="1" customHeight="1">
      <c r="A895" s="48" t="s">
        <v>1876</v>
      </c>
      <c r="B895" s="48" t="s">
        <v>1876</v>
      </c>
      <c r="C895" s="48" t="s">
        <v>1877</v>
      </c>
      <c r="D895" s="48" t="s">
        <v>50</v>
      </c>
      <c r="E895" s="48" t="s">
        <v>249</v>
      </c>
      <c r="F895" s="48">
        <v>117</v>
      </c>
      <c r="G895" s="48">
        <v>5</v>
      </c>
      <c r="H895" s="48">
        <v>86</v>
      </c>
      <c r="I895" s="48">
        <v>42</v>
      </c>
      <c r="J895" s="48">
        <v>57</v>
      </c>
      <c r="K895" s="48">
        <v>943</v>
      </c>
      <c r="L895" s="48">
        <v>92</v>
      </c>
      <c r="M895" s="48">
        <v>46</v>
      </c>
      <c r="N895" s="48">
        <v>809</v>
      </c>
      <c r="O895" s="48">
        <v>38</v>
      </c>
      <c r="P895" s="48">
        <v>52</v>
      </c>
      <c r="Q895" s="48">
        <v>917</v>
      </c>
      <c r="R895" s="48">
        <v>75</v>
      </c>
      <c r="S895" s="48">
        <v>27</v>
      </c>
      <c r="T895" s="48">
        <v>671</v>
      </c>
      <c r="U895" s="48">
        <v>65</v>
      </c>
      <c r="V895" s="48">
        <v>21</v>
      </c>
      <c r="W895" s="48">
        <v>554</v>
      </c>
      <c r="X895" s="48">
        <v>429</v>
      </c>
      <c r="Y895" s="48">
        <v>50</v>
      </c>
      <c r="Z895" s="48">
        <v>892</v>
      </c>
    </row>
    <row r="896" spans="1:26" ht="15" hidden="1" customHeight="1">
      <c r="A896" s="48" t="s">
        <v>1878</v>
      </c>
      <c r="B896" s="48" t="s">
        <v>1878</v>
      </c>
      <c r="C896" s="48" t="s">
        <v>1879</v>
      </c>
      <c r="D896" s="48" t="s">
        <v>50</v>
      </c>
      <c r="E896" s="48" t="s">
        <v>203</v>
      </c>
      <c r="F896" s="48">
        <v>110</v>
      </c>
      <c r="G896" s="48">
        <v>17</v>
      </c>
      <c r="H896" s="48">
        <v>310</v>
      </c>
      <c r="I896" s="48">
        <v>70</v>
      </c>
      <c r="J896" s="48">
        <v>45</v>
      </c>
      <c r="K896" s="48">
        <v>815</v>
      </c>
      <c r="L896" s="48">
        <v>96</v>
      </c>
      <c r="M896" s="48">
        <v>44</v>
      </c>
      <c r="N896" s="48">
        <v>762</v>
      </c>
      <c r="O896" s="48">
        <v>53</v>
      </c>
      <c r="P896" s="48">
        <v>44</v>
      </c>
      <c r="Q896" s="48">
        <v>786</v>
      </c>
      <c r="R896" s="48">
        <v>57</v>
      </c>
      <c r="S896" s="48">
        <v>55</v>
      </c>
      <c r="T896" s="48">
        <v>921</v>
      </c>
      <c r="U896" s="48">
        <v>43</v>
      </c>
      <c r="V896" s="48">
        <v>51</v>
      </c>
      <c r="W896" s="48">
        <v>922</v>
      </c>
      <c r="X896" s="48">
        <v>429</v>
      </c>
      <c r="Y896" s="48">
        <v>52</v>
      </c>
      <c r="Z896" s="48">
        <v>892</v>
      </c>
    </row>
    <row r="897" spans="1:26" ht="15" hidden="1" customHeight="1">
      <c r="A897" s="48" t="s">
        <v>1880</v>
      </c>
      <c r="B897" s="48" t="s">
        <v>1880</v>
      </c>
      <c r="C897" s="48" t="s">
        <v>1881</v>
      </c>
      <c r="D897" s="48" t="s">
        <v>50</v>
      </c>
      <c r="E897" s="48" t="s">
        <v>249</v>
      </c>
      <c r="F897" s="48">
        <v>115</v>
      </c>
      <c r="G897" s="48">
        <v>12</v>
      </c>
      <c r="H897" s="48">
        <v>140</v>
      </c>
      <c r="I897" s="48">
        <v>61</v>
      </c>
      <c r="J897" s="48">
        <v>48</v>
      </c>
      <c r="K897" s="48">
        <v>873</v>
      </c>
      <c r="L897" s="48">
        <v>97.5</v>
      </c>
      <c r="M897" s="48">
        <v>38</v>
      </c>
      <c r="N897" s="48">
        <v>737</v>
      </c>
      <c r="O897" s="48">
        <v>38</v>
      </c>
      <c r="P897" s="48">
        <v>52</v>
      </c>
      <c r="Q897" s="48">
        <v>917</v>
      </c>
      <c r="R897" s="48">
        <v>64</v>
      </c>
      <c r="S897" s="48">
        <v>46</v>
      </c>
      <c r="T897" s="48">
        <v>881</v>
      </c>
      <c r="U897" s="48">
        <v>53</v>
      </c>
      <c r="V897" s="48">
        <v>46</v>
      </c>
      <c r="W897" s="48">
        <v>832</v>
      </c>
      <c r="X897" s="48">
        <v>428.5</v>
      </c>
      <c r="Y897" s="48">
        <v>51</v>
      </c>
      <c r="Z897" s="48">
        <v>894</v>
      </c>
    </row>
    <row r="898" spans="1:26" ht="15" hidden="1" customHeight="1">
      <c r="A898" s="48" t="s">
        <v>1882</v>
      </c>
      <c r="B898" s="48" t="s">
        <v>1882</v>
      </c>
      <c r="C898" s="48" t="s">
        <v>1883</v>
      </c>
      <c r="D898" s="48" t="s">
        <v>50</v>
      </c>
      <c r="E898" s="48" t="s">
        <v>172</v>
      </c>
      <c r="F898" s="48">
        <v>88</v>
      </c>
      <c r="G898" s="48">
        <v>55</v>
      </c>
      <c r="H898" s="48">
        <v>918</v>
      </c>
      <c r="I898" s="48">
        <v>76</v>
      </c>
      <c r="J898" s="48">
        <v>44</v>
      </c>
      <c r="K898" s="48">
        <v>754</v>
      </c>
      <c r="L898" s="48">
        <v>87.5</v>
      </c>
      <c r="M898" s="48">
        <v>48</v>
      </c>
      <c r="N898" s="48">
        <v>855</v>
      </c>
      <c r="O898" s="48">
        <v>57</v>
      </c>
      <c r="P898" s="48">
        <v>41</v>
      </c>
      <c r="Q898" s="48">
        <v>713</v>
      </c>
      <c r="R898" s="48">
        <v>73</v>
      </c>
      <c r="S898" s="48">
        <v>39</v>
      </c>
      <c r="T898" s="48">
        <v>717</v>
      </c>
      <c r="U898" s="48">
        <v>47</v>
      </c>
      <c r="V898" s="48">
        <v>57</v>
      </c>
      <c r="W898" s="48">
        <v>901</v>
      </c>
      <c r="X898" s="48">
        <v>428.5</v>
      </c>
      <c r="Y898" s="48">
        <v>56</v>
      </c>
      <c r="Z898" s="48">
        <v>894</v>
      </c>
    </row>
    <row r="899" spans="1:26" ht="15" hidden="1" customHeight="1">
      <c r="A899" s="48" t="s">
        <v>1884</v>
      </c>
      <c r="B899" s="48" t="s">
        <v>1884</v>
      </c>
      <c r="C899" s="48" t="s">
        <v>1885</v>
      </c>
      <c r="D899" s="48" t="s">
        <v>50</v>
      </c>
      <c r="E899" s="48" t="s">
        <v>133</v>
      </c>
      <c r="F899" s="48">
        <v>97</v>
      </c>
      <c r="G899" s="48">
        <v>47</v>
      </c>
      <c r="H899" s="48">
        <v>795</v>
      </c>
      <c r="I899" s="48">
        <v>79</v>
      </c>
      <c r="J899" s="48">
        <v>45</v>
      </c>
      <c r="K899" s="48">
        <v>713</v>
      </c>
      <c r="L899" s="48">
        <v>67.5</v>
      </c>
      <c r="M899" s="48">
        <v>56</v>
      </c>
      <c r="N899" s="48">
        <v>931</v>
      </c>
      <c r="O899" s="48">
        <v>58</v>
      </c>
      <c r="P899" s="48">
        <v>40</v>
      </c>
      <c r="Q899" s="48">
        <v>698</v>
      </c>
      <c r="R899" s="48">
        <v>63</v>
      </c>
      <c r="S899" s="48">
        <v>57</v>
      </c>
      <c r="T899" s="48">
        <v>888</v>
      </c>
      <c r="U899" s="48">
        <v>64</v>
      </c>
      <c r="V899" s="48">
        <v>40</v>
      </c>
      <c r="W899" s="48">
        <v>593</v>
      </c>
      <c r="X899" s="48">
        <v>428.5</v>
      </c>
      <c r="Y899" s="48">
        <v>57</v>
      </c>
      <c r="Z899" s="48">
        <v>894</v>
      </c>
    </row>
    <row r="900" spans="1:26" ht="15" hidden="1" customHeight="1">
      <c r="A900" s="48" t="s">
        <v>1886</v>
      </c>
      <c r="B900" s="48" t="s">
        <v>1886</v>
      </c>
      <c r="C900" s="48" t="s">
        <v>1887</v>
      </c>
      <c r="D900" s="48" t="s">
        <v>50</v>
      </c>
      <c r="E900" s="48" t="s">
        <v>106</v>
      </c>
      <c r="F900" s="48">
        <v>112</v>
      </c>
      <c r="G900" s="48">
        <v>19</v>
      </c>
      <c r="H900" s="48">
        <v>226</v>
      </c>
      <c r="I900" s="48">
        <v>58</v>
      </c>
      <c r="J900" s="48">
        <v>47</v>
      </c>
      <c r="K900" s="48">
        <v>893</v>
      </c>
      <c r="L900" s="48">
        <v>92</v>
      </c>
      <c r="M900" s="48">
        <v>45</v>
      </c>
      <c r="N900" s="48">
        <v>809</v>
      </c>
      <c r="O900" s="48">
        <v>56</v>
      </c>
      <c r="P900" s="48">
        <v>41</v>
      </c>
      <c r="Q900" s="48">
        <v>731</v>
      </c>
      <c r="R900" s="48">
        <v>52</v>
      </c>
      <c r="S900" s="48">
        <v>56</v>
      </c>
      <c r="T900" s="48">
        <v>942</v>
      </c>
      <c r="U900" s="48">
        <v>58</v>
      </c>
      <c r="V900" s="48">
        <v>37</v>
      </c>
      <c r="W900" s="48">
        <v>754</v>
      </c>
      <c r="X900" s="48">
        <v>428</v>
      </c>
      <c r="Y900" s="48">
        <v>52</v>
      </c>
      <c r="Z900" s="48">
        <v>897</v>
      </c>
    </row>
    <row r="901" spans="1:26" ht="15" hidden="1" customHeight="1">
      <c r="A901" s="48" t="s">
        <v>1888</v>
      </c>
      <c r="B901" s="48" t="s">
        <v>1888</v>
      </c>
      <c r="C901" s="48" t="s">
        <v>1889</v>
      </c>
      <c r="D901" s="48" t="s">
        <v>50</v>
      </c>
      <c r="E901" s="48" t="s">
        <v>240</v>
      </c>
      <c r="F901" s="48">
        <v>104</v>
      </c>
      <c r="G901" s="48">
        <v>34</v>
      </c>
      <c r="H901" s="48">
        <v>573</v>
      </c>
      <c r="I901" s="48">
        <v>67</v>
      </c>
      <c r="J901" s="48">
        <v>52</v>
      </c>
      <c r="K901" s="48">
        <v>839</v>
      </c>
      <c r="L901" s="48">
        <v>90.5</v>
      </c>
      <c r="M901" s="48">
        <v>53</v>
      </c>
      <c r="N901" s="48">
        <v>822</v>
      </c>
      <c r="O901" s="48">
        <v>52</v>
      </c>
      <c r="P901" s="48">
        <v>46</v>
      </c>
      <c r="Q901" s="48">
        <v>798</v>
      </c>
      <c r="R901" s="48">
        <v>61</v>
      </c>
      <c r="S901" s="48">
        <v>54</v>
      </c>
      <c r="T901" s="48">
        <v>901</v>
      </c>
      <c r="U901" s="48">
        <v>53</v>
      </c>
      <c r="V901" s="48">
        <v>55</v>
      </c>
      <c r="W901" s="48">
        <v>832</v>
      </c>
      <c r="X901" s="48">
        <v>427.5</v>
      </c>
      <c r="Y901" s="48">
        <v>54</v>
      </c>
      <c r="Z901" s="48">
        <v>898</v>
      </c>
    </row>
    <row r="902" spans="1:26" ht="15" hidden="1" customHeight="1">
      <c r="A902" s="48" t="s">
        <v>1890</v>
      </c>
      <c r="B902" s="48" t="s">
        <v>1890</v>
      </c>
      <c r="C902" s="48" t="s">
        <v>1891</v>
      </c>
      <c r="D902" s="48" t="s">
        <v>50</v>
      </c>
      <c r="E902" s="48" t="s">
        <v>296</v>
      </c>
      <c r="F902" s="48">
        <v>98</v>
      </c>
      <c r="G902" s="48">
        <v>38</v>
      </c>
      <c r="H902" s="48">
        <v>774</v>
      </c>
      <c r="I902" s="48">
        <v>63</v>
      </c>
      <c r="J902" s="48">
        <v>47</v>
      </c>
      <c r="K902" s="48">
        <v>861</v>
      </c>
      <c r="L902" s="48">
        <v>96.5</v>
      </c>
      <c r="M902" s="48">
        <v>49</v>
      </c>
      <c r="N902" s="48">
        <v>750</v>
      </c>
      <c r="O902" s="48">
        <v>65</v>
      </c>
      <c r="P902" s="48">
        <v>32</v>
      </c>
      <c r="Q902" s="48">
        <v>539</v>
      </c>
      <c r="R902" s="48">
        <v>63</v>
      </c>
      <c r="S902" s="48">
        <v>53</v>
      </c>
      <c r="T902" s="48">
        <v>888</v>
      </c>
      <c r="U902" s="48">
        <v>42</v>
      </c>
      <c r="V902" s="48">
        <v>53</v>
      </c>
      <c r="W902" s="48">
        <v>925</v>
      </c>
      <c r="X902" s="48">
        <v>427.5</v>
      </c>
      <c r="Y902" s="48">
        <v>52</v>
      </c>
      <c r="Z902" s="48">
        <v>898</v>
      </c>
    </row>
    <row r="903" spans="1:26" ht="15" hidden="1" customHeight="1">
      <c r="A903" s="48" t="s">
        <v>1892</v>
      </c>
      <c r="B903" s="48" t="s">
        <v>1892</v>
      </c>
      <c r="C903" s="48" t="s">
        <v>1893</v>
      </c>
      <c r="D903" s="48" t="s">
        <v>50</v>
      </c>
      <c r="E903" s="48" t="s">
        <v>203</v>
      </c>
      <c r="F903" s="48">
        <v>116</v>
      </c>
      <c r="G903" s="48">
        <v>9</v>
      </c>
      <c r="H903" s="48">
        <v>117</v>
      </c>
      <c r="I903" s="48">
        <v>46</v>
      </c>
      <c r="J903" s="48">
        <v>56</v>
      </c>
      <c r="K903" s="48">
        <v>934</v>
      </c>
      <c r="L903" s="48">
        <v>93</v>
      </c>
      <c r="M903" s="48">
        <v>47</v>
      </c>
      <c r="N903" s="48">
        <v>796</v>
      </c>
      <c r="O903" s="48">
        <v>52</v>
      </c>
      <c r="P903" s="48">
        <v>45</v>
      </c>
      <c r="Q903" s="48">
        <v>798</v>
      </c>
      <c r="R903" s="48">
        <v>70</v>
      </c>
      <c r="S903" s="48">
        <v>44</v>
      </c>
      <c r="T903" s="48">
        <v>787</v>
      </c>
      <c r="U903" s="48">
        <v>50</v>
      </c>
      <c r="V903" s="48">
        <v>47</v>
      </c>
      <c r="W903" s="48">
        <v>873</v>
      </c>
      <c r="X903" s="48">
        <v>427</v>
      </c>
      <c r="Y903" s="48">
        <v>53</v>
      </c>
      <c r="Z903" s="48">
        <v>900</v>
      </c>
    </row>
    <row r="904" spans="1:26" ht="15" hidden="1" customHeight="1">
      <c r="A904" s="48" t="s">
        <v>1894</v>
      </c>
      <c r="B904" s="48" t="s">
        <v>1894</v>
      </c>
      <c r="C904" s="48" t="s">
        <v>1895</v>
      </c>
      <c r="D904" s="48" t="s">
        <v>50</v>
      </c>
      <c r="E904" s="48" t="s">
        <v>111</v>
      </c>
      <c r="F904" s="48">
        <v>96</v>
      </c>
      <c r="G904" s="48">
        <v>48</v>
      </c>
      <c r="H904" s="48">
        <v>814</v>
      </c>
      <c r="I904" s="48">
        <v>89</v>
      </c>
      <c r="J904" s="48">
        <v>29</v>
      </c>
      <c r="K904" s="48">
        <v>587</v>
      </c>
      <c r="L904" s="48">
        <v>95.5</v>
      </c>
      <c r="M904" s="48">
        <v>47</v>
      </c>
      <c r="N904" s="48">
        <v>769</v>
      </c>
      <c r="O904" s="48">
        <v>42</v>
      </c>
      <c r="P904" s="48">
        <v>51</v>
      </c>
      <c r="Q904" s="48">
        <v>898</v>
      </c>
      <c r="R904" s="48">
        <v>52</v>
      </c>
      <c r="S904" s="48">
        <v>56</v>
      </c>
      <c r="T904" s="48">
        <v>942</v>
      </c>
      <c r="U904" s="48">
        <v>52</v>
      </c>
      <c r="V904" s="48">
        <v>47</v>
      </c>
      <c r="W904" s="48">
        <v>849</v>
      </c>
      <c r="X904" s="48">
        <v>426.5</v>
      </c>
      <c r="Y904" s="48">
        <v>51</v>
      </c>
      <c r="Z904" s="48">
        <v>901</v>
      </c>
    </row>
    <row r="905" spans="1:26" ht="15" hidden="1" customHeight="1">
      <c r="A905" s="48" t="s">
        <v>1896</v>
      </c>
      <c r="B905" s="48" t="s">
        <v>1896</v>
      </c>
      <c r="C905" s="48" t="s">
        <v>1897</v>
      </c>
      <c r="D905" s="48" t="s">
        <v>50</v>
      </c>
      <c r="E905" s="48" t="s">
        <v>169</v>
      </c>
      <c r="F905" s="48">
        <v>100</v>
      </c>
      <c r="G905" s="48">
        <v>49</v>
      </c>
      <c r="H905" s="48">
        <v>715</v>
      </c>
      <c r="I905" s="48">
        <v>76</v>
      </c>
      <c r="J905" s="48">
        <v>43</v>
      </c>
      <c r="K905" s="48">
        <v>754</v>
      </c>
      <c r="L905" s="48">
        <v>103.5</v>
      </c>
      <c r="M905" s="48">
        <v>35</v>
      </c>
      <c r="N905" s="48">
        <v>612</v>
      </c>
      <c r="O905" s="48">
        <v>52</v>
      </c>
      <c r="P905" s="48">
        <v>47</v>
      </c>
      <c r="Q905" s="48">
        <v>798</v>
      </c>
      <c r="R905" s="48">
        <v>53</v>
      </c>
      <c r="S905" s="48">
        <v>55</v>
      </c>
      <c r="T905" s="48">
        <v>939</v>
      </c>
      <c r="U905" s="48">
        <v>41</v>
      </c>
      <c r="V905" s="48">
        <v>55</v>
      </c>
      <c r="W905" s="48">
        <v>931</v>
      </c>
      <c r="X905" s="48">
        <v>425.5</v>
      </c>
      <c r="Y905" s="48">
        <v>50</v>
      </c>
      <c r="Z905" s="48">
        <v>902</v>
      </c>
    </row>
    <row r="906" spans="1:26" ht="15" hidden="1" customHeight="1">
      <c r="A906" s="48" t="s">
        <v>1898</v>
      </c>
      <c r="B906" s="48" t="s">
        <v>1898</v>
      </c>
      <c r="C906" s="48" t="s">
        <v>1899</v>
      </c>
      <c r="D906" s="48" t="s">
        <v>50</v>
      </c>
      <c r="E906" s="48" t="s">
        <v>97</v>
      </c>
      <c r="F906" s="48">
        <v>92</v>
      </c>
      <c r="G906" s="48">
        <v>52</v>
      </c>
      <c r="H906" s="48">
        <v>882</v>
      </c>
      <c r="I906" s="48">
        <v>70</v>
      </c>
      <c r="J906" s="48">
        <v>50</v>
      </c>
      <c r="K906" s="48">
        <v>815</v>
      </c>
      <c r="L906" s="48">
        <v>111</v>
      </c>
      <c r="M906" s="48">
        <v>25</v>
      </c>
      <c r="N906" s="48">
        <v>445</v>
      </c>
      <c r="O906" s="48">
        <v>38</v>
      </c>
      <c r="P906" s="48">
        <v>53</v>
      </c>
      <c r="Q906" s="48">
        <v>917</v>
      </c>
      <c r="R906" s="48">
        <v>65</v>
      </c>
      <c r="S906" s="48">
        <v>53</v>
      </c>
      <c r="T906" s="48">
        <v>866</v>
      </c>
      <c r="U906" s="48">
        <v>49</v>
      </c>
      <c r="V906" s="48">
        <v>56</v>
      </c>
      <c r="W906" s="48">
        <v>883</v>
      </c>
      <c r="X906" s="48">
        <v>425</v>
      </c>
      <c r="Y906" s="48">
        <v>54</v>
      </c>
      <c r="Z906" s="48">
        <v>903</v>
      </c>
    </row>
    <row r="907" spans="1:26" ht="15" hidden="1" customHeight="1">
      <c r="A907" s="48" t="s">
        <v>1900</v>
      </c>
      <c r="B907" s="48" t="s">
        <v>1900</v>
      </c>
      <c r="C907" s="48" t="s">
        <v>1901</v>
      </c>
      <c r="D907" s="48" t="s">
        <v>50</v>
      </c>
      <c r="E907" s="48" t="s">
        <v>111</v>
      </c>
      <c r="F907" s="48">
        <v>101</v>
      </c>
      <c r="G907" s="48">
        <v>40</v>
      </c>
      <c r="H907" s="48">
        <v>688</v>
      </c>
      <c r="I907" s="48">
        <v>58</v>
      </c>
      <c r="J907" s="48">
        <v>52</v>
      </c>
      <c r="K907" s="48">
        <v>893</v>
      </c>
      <c r="L907" s="48">
        <v>90.5</v>
      </c>
      <c r="M907" s="48">
        <v>49</v>
      </c>
      <c r="N907" s="48">
        <v>822</v>
      </c>
      <c r="O907" s="48">
        <v>63</v>
      </c>
      <c r="P907" s="48">
        <v>29</v>
      </c>
      <c r="Q907" s="48">
        <v>581</v>
      </c>
      <c r="R907" s="48">
        <v>54</v>
      </c>
      <c r="S907" s="48">
        <v>54</v>
      </c>
      <c r="T907" s="48">
        <v>934</v>
      </c>
      <c r="U907" s="48">
        <v>58</v>
      </c>
      <c r="V907" s="48">
        <v>40</v>
      </c>
      <c r="W907" s="48">
        <v>754</v>
      </c>
      <c r="X907" s="48">
        <v>424.5</v>
      </c>
      <c r="Y907" s="48">
        <v>52</v>
      </c>
      <c r="Z907" s="48">
        <v>904</v>
      </c>
    </row>
    <row r="908" spans="1:26" ht="15" hidden="1" customHeight="1">
      <c r="A908" s="48" t="s">
        <v>1902</v>
      </c>
      <c r="B908" s="48" t="s">
        <v>1902</v>
      </c>
      <c r="C908" s="48" t="s">
        <v>1903</v>
      </c>
      <c r="D908" s="48" t="s">
        <v>50</v>
      </c>
      <c r="E908" s="48" t="s">
        <v>203</v>
      </c>
      <c r="F908" s="48">
        <v>100</v>
      </c>
      <c r="G908" s="48">
        <v>43</v>
      </c>
      <c r="H908" s="48">
        <v>715</v>
      </c>
      <c r="I908" s="48">
        <v>80</v>
      </c>
      <c r="J908" s="48">
        <v>35</v>
      </c>
      <c r="K908" s="48">
        <v>699</v>
      </c>
      <c r="L908" s="48">
        <v>103.5</v>
      </c>
      <c r="M908" s="48">
        <v>34</v>
      </c>
      <c r="N908" s="48">
        <v>612</v>
      </c>
      <c r="O908" s="48">
        <v>50</v>
      </c>
      <c r="P908" s="48">
        <v>47</v>
      </c>
      <c r="Q908" s="48">
        <v>826</v>
      </c>
      <c r="R908" s="48">
        <v>66</v>
      </c>
      <c r="S908" s="48">
        <v>48</v>
      </c>
      <c r="T908" s="48">
        <v>849</v>
      </c>
      <c r="U908" s="48">
        <v>25</v>
      </c>
      <c r="V908" s="48">
        <v>57</v>
      </c>
      <c r="W908" s="48">
        <v>951</v>
      </c>
      <c r="X908" s="48">
        <v>424.5</v>
      </c>
      <c r="Y908" s="48">
        <v>54</v>
      </c>
      <c r="Z908" s="48">
        <v>904</v>
      </c>
    </row>
    <row r="909" spans="1:26" ht="15" hidden="1" customHeight="1">
      <c r="A909" s="48" t="s">
        <v>1904</v>
      </c>
      <c r="B909" s="48" t="s">
        <v>1904</v>
      </c>
      <c r="C909" s="48" t="s">
        <v>1905</v>
      </c>
      <c r="D909" s="48" t="s">
        <v>50</v>
      </c>
      <c r="E909" s="48" t="s">
        <v>296</v>
      </c>
      <c r="F909" s="48">
        <v>93</v>
      </c>
      <c r="G909" s="48">
        <v>49</v>
      </c>
      <c r="H909" s="48">
        <v>868</v>
      </c>
      <c r="I909" s="48">
        <v>54</v>
      </c>
      <c r="J909" s="48">
        <v>54</v>
      </c>
      <c r="K909" s="48">
        <v>914</v>
      </c>
      <c r="L909" s="48">
        <v>96</v>
      </c>
      <c r="M909" s="48">
        <v>50</v>
      </c>
      <c r="N909" s="48">
        <v>762</v>
      </c>
      <c r="O909" s="48">
        <v>51</v>
      </c>
      <c r="P909" s="48">
        <v>48</v>
      </c>
      <c r="Q909" s="48">
        <v>812</v>
      </c>
      <c r="R909" s="48">
        <v>71</v>
      </c>
      <c r="S909" s="48">
        <v>46</v>
      </c>
      <c r="T909" s="48">
        <v>773</v>
      </c>
      <c r="U909" s="48">
        <v>59</v>
      </c>
      <c r="V909" s="48">
        <v>33</v>
      </c>
      <c r="W909" s="48">
        <v>729</v>
      </c>
      <c r="X909" s="48">
        <v>424</v>
      </c>
      <c r="Y909" s="48">
        <v>53</v>
      </c>
      <c r="Z909" s="48">
        <v>906</v>
      </c>
    </row>
    <row r="910" spans="1:26" ht="15" hidden="1" customHeight="1">
      <c r="A910" s="48" t="s">
        <v>1906</v>
      </c>
      <c r="B910" s="48" t="s">
        <v>1906</v>
      </c>
      <c r="C910" s="48" t="s">
        <v>1907</v>
      </c>
      <c r="D910" s="48" t="s">
        <v>50</v>
      </c>
      <c r="E910" s="48" t="s">
        <v>97</v>
      </c>
      <c r="F910" s="48">
        <v>98</v>
      </c>
      <c r="G910" s="48">
        <v>46</v>
      </c>
      <c r="H910" s="48">
        <v>774</v>
      </c>
      <c r="I910" s="48">
        <v>55</v>
      </c>
      <c r="J910" s="48">
        <v>56</v>
      </c>
      <c r="K910" s="48">
        <v>910</v>
      </c>
      <c r="L910" s="48">
        <v>90</v>
      </c>
      <c r="M910" s="48">
        <v>49</v>
      </c>
      <c r="N910" s="48">
        <v>829</v>
      </c>
      <c r="O910" s="48">
        <v>58</v>
      </c>
      <c r="P910" s="48">
        <v>37</v>
      </c>
      <c r="Q910" s="48">
        <v>698</v>
      </c>
      <c r="R910" s="48">
        <v>69</v>
      </c>
      <c r="S910" s="48">
        <v>49</v>
      </c>
      <c r="T910" s="48">
        <v>810</v>
      </c>
      <c r="U910" s="48">
        <v>54</v>
      </c>
      <c r="V910" s="48">
        <v>51</v>
      </c>
      <c r="W910" s="48">
        <v>817</v>
      </c>
      <c r="X910" s="48">
        <v>424</v>
      </c>
      <c r="Y910" s="48">
        <v>55</v>
      </c>
      <c r="Z910" s="48">
        <v>906</v>
      </c>
    </row>
    <row r="911" spans="1:26" ht="15" hidden="1" customHeight="1">
      <c r="A911" s="48" t="s">
        <v>1908</v>
      </c>
      <c r="B911" s="48" t="s">
        <v>1908</v>
      </c>
      <c r="C911" s="48" t="s">
        <v>1909</v>
      </c>
      <c r="D911" s="48" t="s">
        <v>50</v>
      </c>
      <c r="E911" s="48" t="s">
        <v>240</v>
      </c>
      <c r="F911" s="48">
        <v>96</v>
      </c>
      <c r="G911" s="48">
        <v>48</v>
      </c>
      <c r="H911" s="48">
        <v>814</v>
      </c>
      <c r="I911" s="48">
        <v>36</v>
      </c>
      <c r="J911" s="48">
        <v>57</v>
      </c>
      <c r="K911" s="48">
        <v>948</v>
      </c>
      <c r="L911" s="48">
        <v>115</v>
      </c>
      <c r="M911" s="48">
        <v>16</v>
      </c>
      <c r="N911" s="48">
        <v>330</v>
      </c>
      <c r="O911" s="48">
        <v>48</v>
      </c>
      <c r="P911" s="48">
        <v>49</v>
      </c>
      <c r="Q911" s="48">
        <v>854</v>
      </c>
      <c r="R911" s="48">
        <v>70</v>
      </c>
      <c r="S911" s="48">
        <v>45</v>
      </c>
      <c r="T911" s="48">
        <v>787</v>
      </c>
      <c r="U911" s="48">
        <v>58</v>
      </c>
      <c r="V911" s="48">
        <v>51</v>
      </c>
      <c r="W911" s="48">
        <v>754</v>
      </c>
      <c r="X911" s="48">
        <v>423</v>
      </c>
      <c r="Y911" s="48">
        <v>55</v>
      </c>
      <c r="Z911" s="48">
        <v>908</v>
      </c>
    </row>
    <row r="912" spans="1:26" ht="15" hidden="1" customHeight="1">
      <c r="A912" s="48" t="s">
        <v>1910</v>
      </c>
      <c r="B912" s="48" t="s">
        <v>1910</v>
      </c>
      <c r="C912" s="48" t="s">
        <v>1911</v>
      </c>
      <c r="D912" s="48" t="s">
        <v>50</v>
      </c>
      <c r="E912" s="48" t="s">
        <v>150</v>
      </c>
      <c r="F912" s="48">
        <v>83</v>
      </c>
      <c r="G912" s="48">
        <v>54</v>
      </c>
      <c r="H912" s="48">
        <v>937</v>
      </c>
      <c r="I912" s="48">
        <v>67</v>
      </c>
      <c r="J912" s="48">
        <v>52</v>
      </c>
      <c r="K912" s="48">
        <v>839</v>
      </c>
      <c r="L912" s="48">
        <v>70.5</v>
      </c>
      <c r="M912" s="48">
        <v>53</v>
      </c>
      <c r="N912" s="48">
        <v>926</v>
      </c>
      <c r="O912" s="48">
        <v>77</v>
      </c>
      <c r="P912" s="48">
        <v>12</v>
      </c>
      <c r="Q912" s="48">
        <v>278</v>
      </c>
      <c r="R912" s="48">
        <v>78</v>
      </c>
      <c r="S912" s="48">
        <v>41</v>
      </c>
      <c r="T912" s="48">
        <v>577</v>
      </c>
      <c r="U912" s="48">
        <v>47</v>
      </c>
      <c r="V912" s="48">
        <v>57</v>
      </c>
      <c r="W912" s="48">
        <v>901</v>
      </c>
      <c r="X912" s="48">
        <v>422.5</v>
      </c>
      <c r="Y912" s="48">
        <v>54</v>
      </c>
      <c r="Z912" s="48">
        <v>909</v>
      </c>
    </row>
    <row r="913" spans="1:26" ht="15" hidden="1" customHeight="1">
      <c r="A913" s="48" t="s">
        <v>1912</v>
      </c>
      <c r="B913" s="48" t="s">
        <v>1912</v>
      </c>
      <c r="C913" s="48" t="s">
        <v>1913</v>
      </c>
      <c r="D913" s="48" t="s">
        <v>50</v>
      </c>
      <c r="E913" s="48" t="s">
        <v>203</v>
      </c>
      <c r="F913" s="48">
        <v>105</v>
      </c>
      <c r="G913" s="48">
        <v>35</v>
      </c>
      <c r="H913" s="48">
        <v>515</v>
      </c>
      <c r="I913" s="48">
        <v>53</v>
      </c>
      <c r="J913" s="48">
        <v>54</v>
      </c>
      <c r="K913" s="48">
        <v>916</v>
      </c>
      <c r="L913" s="48">
        <v>97.5</v>
      </c>
      <c r="M913" s="48">
        <v>42</v>
      </c>
      <c r="N913" s="48">
        <v>737</v>
      </c>
      <c r="O913" s="48">
        <v>50</v>
      </c>
      <c r="P913" s="48">
        <v>47</v>
      </c>
      <c r="Q913" s="48">
        <v>826</v>
      </c>
      <c r="R913" s="48">
        <v>69</v>
      </c>
      <c r="S913" s="48">
        <v>45</v>
      </c>
      <c r="T913" s="48">
        <v>810</v>
      </c>
      <c r="U913" s="48">
        <v>47</v>
      </c>
      <c r="V913" s="48">
        <v>50</v>
      </c>
      <c r="W913" s="48">
        <v>901</v>
      </c>
      <c r="X913" s="48">
        <v>421.5</v>
      </c>
      <c r="Y913" s="48">
        <v>55</v>
      </c>
      <c r="Z913" s="48">
        <v>910</v>
      </c>
    </row>
    <row r="914" spans="1:26" ht="15" hidden="1" customHeight="1">
      <c r="A914" s="48" t="s">
        <v>1914</v>
      </c>
      <c r="B914" s="48" t="s">
        <v>1914</v>
      </c>
      <c r="C914" s="48" t="s">
        <v>1915</v>
      </c>
      <c r="D914" s="48" t="s">
        <v>50</v>
      </c>
      <c r="E914" s="48" t="s">
        <v>97</v>
      </c>
      <c r="F914" s="48">
        <v>104</v>
      </c>
      <c r="G914" s="48">
        <v>35</v>
      </c>
      <c r="H914" s="48">
        <v>573</v>
      </c>
      <c r="I914" s="48">
        <v>93</v>
      </c>
      <c r="J914" s="48">
        <v>30</v>
      </c>
      <c r="K914" s="48">
        <v>540</v>
      </c>
      <c r="L914" s="48">
        <v>62</v>
      </c>
      <c r="M914" s="48">
        <v>57</v>
      </c>
      <c r="N914" s="48">
        <v>939</v>
      </c>
      <c r="O914" s="48">
        <v>37</v>
      </c>
      <c r="P914" s="48">
        <v>54</v>
      </c>
      <c r="Q914" s="48">
        <v>921</v>
      </c>
      <c r="R914" s="48">
        <v>79</v>
      </c>
      <c r="S914" s="48">
        <v>35</v>
      </c>
      <c r="T914" s="48">
        <v>539</v>
      </c>
      <c r="U914" s="48">
        <v>46</v>
      </c>
      <c r="V914" s="48">
        <v>57</v>
      </c>
      <c r="W914" s="48">
        <v>909</v>
      </c>
      <c r="X914" s="48">
        <v>421</v>
      </c>
      <c r="Y914" s="48">
        <v>56</v>
      </c>
      <c r="Z914" s="48">
        <v>911</v>
      </c>
    </row>
    <row r="915" spans="1:26" ht="15" hidden="1" customHeight="1">
      <c r="A915" s="48" t="s">
        <v>1916</v>
      </c>
      <c r="B915" s="48" t="s">
        <v>1916</v>
      </c>
      <c r="C915" s="48" t="s">
        <v>1917</v>
      </c>
      <c r="D915" s="48" t="s">
        <v>50</v>
      </c>
      <c r="E915" s="48" t="s">
        <v>150</v>
      </c>
      <c r="F915" s="48">
        <v>96</v>
      </c>
      <c r="G915" s="48">
        <v>47</v>
      </c>
      <c r="H915" s="48">
        <v>814</v>
      </c>
      <c r="I915" s="48">
        <v>62</v>
      </c>
      <c r="J915" s="48">
        <v>55</v>
      </c>
      <c r="K915" s="48">
        <v>869</v>
      </c>
      <c r="L915" s="48">
        <v>89.5</v>
      </c>
      <c r="M915" s="48">
        <v>47</v>
      </c>
      <c r="N915" s="48">
        <v>836</v>
      </c>
      <c r="O915" s="48">
        <v>45</v>
      </c>
      <c r="P915" s="48">
        <v>52</v>
      </c>
      <c r="Q915" s="48">
        <v>878</v>
      </c>
      <c r="R915" s="48">
        <v>72</v>
      </c>
      <c r="S915" s="48">
        <v>51</v>
      </c>
      <c r="T915" s="48">
        <v>751</v>
      </c>
      <c r="U915" s="48">
        <v>56</v>
      </c>
      <c r="V915" s="48">
        <v>53</v>
      </c>
      <c r="W915" s="48">
        <v>789</v>
      </c>
      <c r="X915" s="48">
        <v>420.5</v>
      </c>
      <c r="Y915" s="48">
        <v>55</v>
      </c>
      <c r="Z915" s="48">
        <v>912</v>
      </c>
    </row>
    <row r="916" spans="1:26" ht="15" hidden="1" customHeight="1">
      <c r="A916" s="48" t="s">
        <v>1918</v>
      </c>
      <c r="B916" s="48" t="s">
        <v>1918</v>
      </c>
      <c r="C916" s="48" t="s">
        <v>1919</v>
      </c>
      <c r="D916" s="48" t="s">
        <v>50</v>
      </c>
      <c r="E916" s="48" t="s">
        <v>106</v>
      </c>
      <c r="F916" s="48">
        <v>103</v>
      </c>
      <c r="G916" s="48">
        <v>38</v>
      </c>
      <c r="H916" s="48">
        <v>606</v>
      </c>
      <c r="I916" s="48">
        <v>51</v>
      </c>
      <c r="J916" s="48">
        <v>51</v>
      </c>
      <c r="K916" s="48">
        <v>921</v>
      </c>
      <c r="L916" s="48">
        <v>84</v>
      </c>
      <c r="M916" s="48">
        <v>51</v>
      </c>
      <c r="N916" s="48">
        <v>875</v>
      </c>
      <c r="O916" s="48">
        <v>52</v>
      </c>
      <c r="P916" s="48">
        <v>47</v>
      </c>
      <c r="Q916" s="48">
        <v>798</v>
      </c>
      <c r="R916" s="48">
        <v>70</v>
      </c>
      <c r="S916" s="48">
        <v>39</v>
      </c>
      <c r="T916" s="48">
        <v>787</v>
      </c>
      <c r="U916" s="48">
        <v>59</v>
      </c>
      <c r="V916" s="48">
        <v>34</v>
      </c>
      <c r="W916" s="48">
        <v>729</v>
      </c>
      <c r="X916" s="48">
        <v>419</v>
      </c>
      <c r="Y916" s="48">
        <v>53</v>
      </c>
      <c r="Z916" s="48">
        <v>913</v>
      </c>
    </row>
    <row r="917" spans="1:26" ht="15" hidden="1" customHeight="1">
      <c r="A917" s="48" t="s">
        <v>1920</v>
      </c>
      <c r="B917" s="48" t="s">
        <v>1920</v>
      </c>
      <c r="C917" s="48" t="s">
        <v>1921</v>
      </c>
      <c r="D917" s="48" t="s">
        <v>50</v>
      </c>
      <c r="E917" s="48" t="s">
        <v>111</v>
      </c>
      <c r="F917" s="48">
        <v>94</v>
      </c>
      <c r="G917" s="48">
        <v>50</v>
      </c>
      <c r="H917" s="48">
        <v>856</v>
      </c>
      <c r="I917" s="48">
        <v>65</v>
      </c>
      <c r="J917" s="48">
        <v>49</v>
      </c>
      <c r="K917" s="48">
        <v>853</v>
      </c>
      <c r="L917" s="48">
        <v>99.5</v>
      </c>
      <c r="M917" s="48">
        <v>42</v>
      </c>
      <c r="N917" s="48">
        <v>694</v>
      </c>
      <c r="O917" s="48">
        <v>46</v>
      </c>
      <c r="P917" s="48">
        <v>49</v>
      </c>
      <c r="Q917" s="48">
        <v>875</v>
      </c>
      <c r="R917" s="48">
        <v>65</v>
      </c>
      <c r="S917" s="48">
        <v>49</v>
      </c>
      <c r="T917" s="48">
        <v>866</v>
      </c>
      <c r="U917" s="48">
        <v>49</v>
      </c>
      <c r="V917" s="48">
        <v>49</v>
      </c>
      <c r="W917" s="48">
        <v>883</v>
      </c>
      <c r="X917" s="48">
        <v>418.5</v>
      </c>
      <c r="Y917" s="48">
        <v>53</v>
      </c>
      <c r="Z917" s="48">
        <v>914</v>
      </c>
    </row>
    <row r="918" spans="1:26" ht="15" hidden="1" customHeight="1">
      <c r="A918" s="48" t="s">
        <v>1922</v>
      </c>
      <c r="B918" s="48" t="s">
        <v>1922</v>
      </c>
      <c r="C918" s="48" t="s">
        <v>1923</v>
      </c>
      <c r="D918" s="48" t="s">
        <v>50</v>
      </c>
      <c r="E918" s="48" t="s">
        <v>106</v>
      </c>
      <c r="F918" s="48">
        <v>110</v>
      </c>
      <c r="G918" s="48">
        <v>25</v>
      </c>
      <c r="H918" s="48">
        <v>310</v>
      </c>
      <c r="I918" s="48">
        <v>86</v>
      </c>
      <c r="J918" s="48">
        <v>31</v>
      </c>
      <c r="K918" s="48">
        <v>626</v>
      </c>
      <c r="L918" s="48">
        <v>61</v>
      </c>
      <c r="M918" s="48">
        <v>55</v>
      </c>
      <c r="N918" s="48">
        <v>941</v>
      </c>
      <c r="O918" s="48">
        <v>59</v>
      </c>
      <c r="P918" s="48">
        <v>36</v>
      </c>
      <c r="Q918" s="48">
        <v>672</v>
      </c>
      <c r="R918" s="48">
        <v>61</v>
      </c>
      <c r="S918" s="48">
        <v>53</v>
      </c>
      <c r="T918" s="48">
        <v>901</v>
      </c>
      <c r="U918" s="48">
        <v>41</v>
      </c>
      <c r="V918" s="48">
        <v>54</v>
      </c>
      <c r="W918" s="48">
        <v>931</v>
      </c>
      <c r="X918" s="48">
        <v>418</v>
      </c>
      <c r="Y918" s="48">
        <v>54</v>
      </c>
      <c r="Z918" s="48">
        <v>915</v>
      </c>
    </row>
    <row r="919" spans="1:26" ht="15" hidden="1" customHeight="1">
      <c r="A919" s="48" t="s">
        <v>1924</v>
      </c>
      <c r="B919" s="48" t="s">
        <v>1924</v>
      </c>
      <c r="C919" s="48" t="s">
        <v>1925</v>
      </c>
      <c r="D919" s="48" t="s">
        <v>50</v>
      </c>
      <c r="E919" s="48" t="s">
        <v>92</v>
      </c>
      <c r="F919" s="48">
        <v>87</v>
      </c>
      <c r="G919" s="48">
        <v>52</v>
      </c>
      <c r="H919" s="48">
        <v>922</v>
      </c>
      <c r="I919" s="48">
        <v>80</v>
      </c>
      <c r="J919" s="48">
        <v>42</v>
      </c>
      <c r="K919" s="48">
        <v>699</v>
      </c>
      <c r="L919" s="48">
        <v>96.5</v>
      </c>
      <c r="M919" s="48">
        <v>42</v>
      </c>
      <c r="N919" s="48">
        <v>750</v>
      </c>
      <c r="O919" s="48">
        <v>39</v>
      </c>
      <c r="P919" s="48">
        <v>55</v>
      </c>
      <c r="Q919" s="48">
        <v>912</v>
      </c>
      <c r="R919" s="48">
        <v>70</v>
      </c>
      <c r="S919" s="48">
        <v>52</v>
      </c>
      <c r="T919" s="48">
        <v>787</v>
      </c>
      <c r="U919" s="48">
        <v>44</v>
      </c>
      <c r="V919" s="48">
        <v>55</v>
      </c>
      <c r="W919" s="48">
        <v>918</v>
      </c>
      <c r="X919" s="48">
        <v>416.5</v>
      </c>
      <c r="Y919" s="48">
        <v>54</v>
      </c>
      <c r="Z919" s="48">
        <v>916</v>
      </c>
    </row>
    <row r="920" spans="1:26" ht="15" hidden="1" customHeight="1">
      <c r="A920" s="48" t="s">
        <v>1926</v>
      </c>
      <c r="B920" s="48" t="s">
        <v>1926</v>
      </c>
      <c r="C920" s="48" t="s">
        <v>1927</v>
      </c>
      <c r="D920" s="48" t="s">
        <v>50</v>
      </c>
      <c r="E920" s="48" t="s">
        <v>169</v>
      </c>
      <c r="F920" s="48">
        <v>102</v>
      </c>
      <c r="G920" s="48">
        <v>41</v>
      </c>
      <c r="H920" s="48">
        <v>655</v>
      </c>
      <c r="I920" s="48">
        <v>63</v>
      </c>
      <c r="J920" s="48">
        <v>51</v>
      </c>
      <c r="K920" s="48">
        <v>861</v>
      </c>
      <c r="L920" s="48">
        <v>87</v>
      </c>
      <c r="M920" s="48">
        <v>52</v>
      </c>
      <c r="N920" s="48">
        <v>861</v>
      </c>
      <c r="O920" s="48">
        <v>46</v>
      </c>
      <c r="P920" s="48">
        <v>52</v>
      </c>
      <c r="Q920" s="48">
        <v>875</v>
      </c>
      <c r="R920" s="48">
        <v>67</v>
      </c>
      <c r="S920" s="48">
        <v>49</v>
      </c>
      <c r="T920" s="48">
        <v>837</v>
      </c>
      <c r="U920" s="48">
        <v>51</v>
      </c>
      <c r="V920" s="48">
        <v>48</v>
      </c>
      <c r="W920" s="48">
        <v>862</v>
      </c>
      <c r="X920" s="48">
        <v>416</v>
      </c>
      <c r="Y920" s="48">
        <v>51</v>
      </c>
      <c r="Z920" s="48">
        <v>917</v>
      </c>
    </row>
    <row r="921" spans="1:26" ht="15" hidden="1" customHeight="1">
      <c r="A921" s="48" t="s">
        <v>1928</v>
      </c>
      <c r="B921" s="48" t="s">
        <v>1928</v>
      </c>
      <c r="C921" s="48" t="s">
        <v>1929</v>
      </c>
      <c r="D921" s="48" t="s">
        <v>50</v>
      </c>
      <c r="E921" s="48" t="s">
        <v>240</v>
      </c>
      <c r="F921" s="48">
        <v>103</v>
      </c>
      <c r="G921" s="48">
        <v>36</v>
      </c>
      <c r="H921" s="48">
        <v>606</v>
      </c>
      <c r="I921" s="48">
        <v>69</v>
      </c>
      <c r="J921" s="48">
        <v>50</v>
      </c>
      <c r="K921" s="48">
        <v>827</v>
      </c>
      <c r="L921" s="48">
        <v>96.5</v>
      </c>
      <c r="M921" s="48">
        <v>48</v>
      </c>
      <c r="N921" s="48">
        <v>750</v>
      </c>
      <c r="O921" s="48">
        <v>41</v>
      </c>
      <c r="P921" s="48">
        <v>55</v>
      </c>
      <c r="Q921" s="48">
        <v>902</v>
      </c>
      <c r="R921" s="48">
        <v>63</v>
      </c>
      <c r="S921" s="48">
        <v>52</v>
      </c>
      <c r="T921" s="48">
        <v>888</v>
      </c>
      <c r="U921" s="48">
        <v>43</v>
      </c>
      <c r="V921" s="48">
        <v>57</v>
      </c>
      <c r="W921" s="48">
        <v>922</v>
      </c>
      <c r="X921" s="48">
        <v>415.5</v>
      </c>
      <c r="Y921" s="48">
        <v>56</v>
      </c>
      <c r="Z921" s="48">
        <v>918</v>
      </c>
    </row>
    <row r="922" spans="1:26" ht="15" hidden="1" customHeight="1">
      <c r="A922" s="48" t="s">
        <v>1930</v>
      </c>
      <c r="B922" s="48" t="s">
        <v>1930</v>
      </c>
      <c r="C922" s="48" t="s">
        <v>1931</v>
      </c>
      <c r="D922" s="48" t="s">
        <v>50</v>
      </c>
      <c r="E922" s="48" t="s">
        <v>249</v>
      </c>
      <c r="F922" s="48">
        <v>116</v>
      </c>
      <c r="G922" s="48">
        <v>8</v>
      </c>
      <c r="H922" s="48">
        <v>117</v>
      </c>
      <c r="I922" s="48">
        <v>44</v>
      </c>
      <c r="J922" s="48">
        <v>56</v>
      </c>
      <c r="K922" s="48">
        <v>939</v>
      </c>
      <c r="L922" s="48">
        <v>117</v>
      </c>
      <c r="M922" s="48">
        <v>13</v>
      </c>
      <c r="N922" s="48">
        <v>291</v>
      </c>
      <c r="O922" s="48">
        <v>35</v>
      </c>
      <c r="P922" s="48">
        <v>54</v>
      </c>
      <c r="Q922" s="48">
        <v>929</v>
      </c>
      <c r="R922" s="48">
        <v>57</v>
      </c>
      <c r="S922" s="48">
        <v>52</v>
      </c>
      <c r="T922" s="48">
        <v>921</v>
      </c>
      <c r="U922" s="48">
        <v>45</v>
      </c>
      <c r="V922" s="48">
        <v>56</v>
      </c>
      <c r="W922" s="48">
        <v>916</v>
      </c>
      <c r="X922" s="48">
        <v>414</v>
      </c>
      <c r="Y922" s="48">
        <v>52</v>
      </c>
      <c r="Z922" s="48">
        <v>919</v>
      </c>
    </row>
    <row r="923" spans="1:26" ht="15" hidden="1" customHeight="1">
      <c r="A923" s="48" t="s">
        <v>1932</v>
      </c>
      <c r="B923" s="48" t="s">
        <v>1932</v>
      </c>
      <c r="C923" s="48" t="s">
        <v>1933</v>
      </c>
      <c r="D923" s="48" t="s">
        <v>50</v>
      </c>
      <c r="E923" s="48" t="s">
        <v>172</v>
      </c>
      <c r="F923" s="48">
        <v>110</v>
      </c>
      <c r="G923" s="48">
        <v>14</v>
      </c>
      <c r="H923" s="48">
        <v>310</v>
      </c>
      <c r="I923" s="48">
        <v>52</v>
      </c>
      <c r="J923" s="48">
        <v>56</v>
      </c>
      <c r="K923" s="48">
        <v>920</v>
      </c>
      <c r="L923" s="48">
        <v>84.5</v>
      </c>
      <c r="M923" s="48">
        <v>52</v>
      </c>
      <c r="N923" s="48">
        <v>873</v>
      </c>
      <c r="O923" s="48">
        <v>47</v>
      </c>
      <c r="P923" s="48">
        <v>53</v>
      </c>
      <c r="Q923" s="48">
        <v>863</v>
      </c>
      <c r="R923" s="48">
        <v>67</v>
      </c>
      <c r="S923" s="48">
        <v>50</v>
      </c>
      <c r="T923" s="48">
        <v>837</v>
      </c>
      <c r="U923" s="48">
        <v>53</v>
      </c>
      <c r="V923" s="48">
        <v>52</v>
      </c>
      <c r="W923" s="48">
        <v>832</v>
      </c>
      <c r="X923" s="48">
        <v>413.5</v>
      </c>
      <c r="Y923" s="48">
        <v>57</v>
      </c>
      <c r="Z923" s="48">
        <v>920</v>
      </c>
    </row>
    <row r="924" spans="1:26" ht="15" hidden="1" customHeight="1">
      <c r="A924" s="48" t="s">
        <v>1934</v>
      </c>
      <c r="B924" s="48" t="s">
        <v>1934</v>
      </c>
      <c r="C924" s="48" t="s">
        <v>1935</v>
      </c>
      <c r="D924" s="48" t="s">
        <v>50</v>
      </c>
      <c r="E924" s="48" t="s">
        <v>169</v>
      </c>
      <c r="F924" s="48">
        <v>98</v>
      </c>
      <c r="G924" s="48">
        <v>52</v>
      </c>
      <c r="H924" s="48">
        <v>774</v>
      </c>
      <c r="I924" s="48">
        <v>77</v>
      </c>
      <c r="J924" s="48">
        <v>41</v>
      </c>
      <c r="K924" s="48">
        <v>741</v>
      </c>
      <c r="L924" s="48">
        <v>50</v>
      </c>
      <c r="M924" s="48">
        <v>56</v>
      </c>
      <c r="N924" s="48">
        <v>948</v>
      </c>
      <c r="O924" s="48">
        <v>70</v>
      </c>
      <c r="P924" s="48">
        <v>24</v>
      </c>
      <c r="Q924" s="48">
        <v>429</v>
      </c>
      <c r="R924" s="48">
        <v>74</v>
      </c>
      <c r="S924" s="48">
        <v>39</v>
      </c>
      <c r="T924" s="48">
        <v>702</v>
      </c>
      <c r="U924" s="48">
        <v>42</v>
      </c>
      <c r="V924" s="48">
        <v>54</v>
      </c>
      <c r="W924" s="48">
        <v>925</v>
      </c>
      <c r="X924" s="48">
        <v>411</v>
      </c>
      <c r="Y924" s="48">
        <v>52</v>
      </c>
      <c r="Z924" s="48">
        <v>921</v>
      </c>
    </row>
    <row r="925" spans="1:26" ht="15" hidden="1" customHeight="1">
      <c r="A925" s="48" t="s">
        <v>1936</v>
      </c>
      <c r="B925" s="48" t="s">
        <v>1936</v>
      </c>
      <c r="C925" s="48" t="s">
        <v>1937</v>
      </c>
      <c r="D925" s="48" t="s">
        <v>50</v>
      </c>
      <c r="E925" s="48" t="s">
        <v>150</v>
      </c>
      <c r="F925" s="48">
        <v>99</v>
      </c>
      <c r="G925" s="48">
        <v>39</v>
      </c>
      <c r="H925" s="48">
        <v>754</v>
      </c>
      <c r="I925" s="48">
        <v>63</v>
      </c>
      <c r="J925" s="48">
        <v>53</v>
      </c>
      <c r="K925" s="48">
        <v>861</v>
      </c>
      <c r="L925" s="48">
        <v>69</v>
      </c>
      <c r="M925" s="48">
        <v>54</v>
      </c>
      <c r="N925" s="48">
        <v>929</v>
      </c>
      <c r="O925" s="48">
        <v>47</v>
      </c>
      <c r="P925" s="48">
        <v>50</v>
      </c>
      <c r="Q925" s="48">
        <v>863</v>
      </c>
      <c r="R925" s="48">
        <v>62</v>
      </c>
      <c r="S925" s="48">
        <v>56</v>
      </c>
      <c r="T925" s="48">
        <v>895</v>
      </c>
      <c r="U925" s="48">
        <v>70</v>
      </c>
      <c r="V925" s="48">
        <v>37</v>
      </c>
      <c r="W925" s="48">
        <v>380</v>
      </c>
      <c r="X925" s="48">
        <v>410</v>
      </c>
      <c r="Y925" s="48">
        <v>56</v>
      </c>
      <c r="Z925" s="48">
        <v>922</v>
      </c>
    </row>
    <row r="926" spans="1:26" ht="15" hidden="1" customHeight="1">
      <c r="A926" s="48" t="s">
        <v>1938</v>
      </c>
      <c r="B926" s="48" t="s">
        <v>1938</v>
      </c>
      <c r="C926" s="48" t="s">
        <v>1939</v>
      </c>
      <c r="D926" s="48" t="s">
        <v>50</v>
      </c>
      <c r="E926" s="48" t="s">
        <v>203</v>
      </c>
      <c r="F926" s="48">
        <v>107</v>
      </c>
      <c r="G926" s="48">
        <v>26</v>
      </c>
      <c r="H926" s="48">
        <v>429</v>
      </c>
      <c r="I926" s="48">
        <v>48</v>
      </c>
      <c r="J926" s="48">
        <v>55</v>
      </c>
      <c r="K926" s="48">
        <v>929</v>
      </c>
      <c r="L926" s="48">
        <v>105.5</v>
      </c>
      <c r="M926" s="48">
        <v>30</v>
      </c>
      <c r="N926" s="48">
        <v>568</v>
      </c>
      <c r="O926" s="48">
        <v>50</v>
      </c>
      <c r="P926" s="48">
        <v>47</v>
      </c>
      <c r="Q926" s="48">
        <v>826</v>
      </c>
      <c r="R926" s="48">
        <v>62</v>
      </c>
      <c r="S926" s="48">
        <v>51</v>
      </c>
      <c r="T926" s="48">
        <v>895</v>
      </c>
      <c r="U926" s="48">
        <v>35</v>
      </c>
      <c r="V926" s="48">
        <v>53</v>
      </c>
      <c r="W926" s="48">
        <v>945</v>
      </c>
      <c r="X926" s="48">
        <v>407.5</v>
      </c>
      <c r="Y926" s="48">
        <v>56</v>
      </c>
      <c r="Z926" s="48">
        <v>923</v>
      </c>
    </row>
    <row r="927" spans="1:26" ht="15" hidden="1" customHeight="1">
      <c r="A927" s="48" t="s">
        <v>1940</v>
      </c>
      <c r="B927" s="48" t="s">
        <v>1940</v>
      </c>
      <c r="C927" s="48" t="s">
        <v>1941</v>
      </c>
      <c r="D927" s="48" t="s">
        <v>50</v>
      </c>
      <c r="E927" s="48" t="s">
        <v>169</v>
      </c>
      <c r="F927" s="48">
        <v>95</v>
      </c>
      <c r="G927" s="48">
        <v>54</v>
      </c>
      <c r="H927" s="48">
        <v>837</v>
      </c>
      <c r="I927" s="48">
        <v>75</v>
      </c>
      <c r="J927" s="48">
        <v>45</v>
      </c>
      <c r="K927" s="48">
        <v>766</v>
      </c>
      <c r="L927" s="48">
        <v>87.5</v>
      </c>
      <c r="M927" s="48">
        <v>51</v>
      </c>
      <c r="N927" s="48">
        <v>855</v>
      </c>
      <c r="O927" s="48">
        <v>41</v>
      </c>
      <c r="P927" s="48">
        <v>54</v>
      </c>
      <c r="Q927" s="48">
        <v>902</v>
      </c>
      <c r="R927" s="48">
        <v>58</v>
      </c>
      <c r="S927" s="48">
        <v>52</v>
      </c>
      <c r="T927" s="48">
        <v>918</v>
      </c>
      <c r="U927" s="48">
        <v>50</v>
      </c>
      <c r="V927" s="48">
        <v>50</v>
      </c>
      <c r="W927" s="48">
        <v>873</v>
      </c>
      <c r="X927" s="48">
        <v>406.5</v>
      </c>
      <c r="Y927" s="48">
        <v>53</v>
      </c>
      <c r="Z927" s="48">
        <v>924</v>
      </c>
    </row>
    <row r="928" spans="1:26" ht="15" hidden="1" customHeight="1">
      <c r="A928" s="48" t="s">
        <v>1942</v>
      </c>
      <c r="B928" s="48" t="s">
        <v>1942</v>
      </c>
      <c r="C928" s="48" t="s">
        <v>1943</v>
      </c>
      <c r="D928" s="48" t="s">
        <v>50</v>
      </c>
      <c r="E928" s="48" t="s">
        <v>249</v>
      </c>
      <c r="F928" s="48">
        <v>115</v>
      </c>
      <c r="G928" s="48">
        <v>12</v>
      </c>
      <c r="H928" s="48">
        <v>140</v>
      </c>
      <c r="I928" s="48">
        <v>56</v>
      </c>
      <c r="J928" s="48">
        <v>50</v>
      </c>
      <c r="K928" s="48">
        <v>904</v>
      </c>
      <c r="L928" s="48">
        <v>101</v>
      </c>
      <c r="M928" s="48">
        <v>33</v>
      </c>
      <c r="N928" s="48">
        <v>661</v>
      </c>
      <c r="O928" s="48">
        <v>31</v>
      </c>
      <c r="P928" s="48">
        <v>57</v>
      </c>
      <c r="Q928" s="48">
        <v>941</v>
      </c>
      <c r="R928" s="48">
        <v>57</v>
      </c>
      <c r="S928" s="48">
        <v>52</v>
      </c>
      <c r="T928" s="48">
        <v>921</v>
      </c>
      <c r="U928" s="48">
        <v>46</v>
      </c>
      <c r="V928" s="48">
        <v>55</v>
      </c>
      <c r="W928" s="48">
        <v>909</v>
      </c>
      <c r="X928" s="48">
        <v>406</v>
      </c>
      <c r="Y928" s="48">
        <v>53</v>
      </c>
      <c r="Z928" s="48">
        <v>925</v>
      </c>
    </row>
    <row r="929" spans="1:26" ht="15" hidden="1" customHeight="1">
      <c r="A929" s="48" t="s">
        <v>1944</v>
      </c>
      <c r="B929" s="48" t="s">
        <v>1944</v>
      </c>
      <c r="C929" s="48" t="s">
        <v>1945</v>
      </c>
      <c r="D929" s="48" t="s">
        <v>50</v>
      </c>
      <c r="E929" s="48" t="s">
        <v>240</v>
      </c>
      <c r="F929" s="48">
        <v>84</v>
      </c>
      <c r="G929" s="48">
        <v>56</v>
      </c>
      <c r="H929" s="48">
        <v>933</v>
      </c>
      <c r="I929" s="48">
        <v>73</v>
      </c>
      <c r="J929" s="48">
        <v>47</v>
      </c>
      <c r="K929" s="48">
        <v>788</v>
      </c>
      <c r="L929" s="48">
        <v>65.5</v>
      </c>
      <c r="M929" s="48">
        <v>57</v>
      </c>
      <c r="N929" s="48">
        <v>934</v>
      </c>
      <c r="O929" s="48">
        <v>47</v>
      </c>
      <c r="P929" s="48">
        <v>51</v>
      </c>
      <c r="Q929" s="48">
        <v>863</v>
      </c>
      <c r="R929" s="48">
        <v>73</v>
      </c>
      <c r="S929" s="48">
        <v>40</v>
      </c>
      <c r="T929" s="48">
        <v>717</v>
      </c>
      <c r="U929" s="48">
        <v>63</v>
      </c>
      <c r="V929" s="48">
        <v>39</v>
      </c>
      <c r="W929" s="48">
        <v>625</v>
      </c>
      <c r="X929" s="48">
        <v>405.5</v>
      </c>
      <c r="Y929" s="48">
        <v>57</v>
      </c>
      <c r="Z929" s="48">
        <v>926</v>
      </c>
    </row>
    <row r="930" spans="1:26" ht="15" hidden="1" customHeight="1">
      <c r="A930" s="48" t="s">
        <v>1946</v>
      </c>
      <c r="B930" s="48" t="s">
        <v>1946</v>
      </c>
      <c r="C930" s="48" t="s">
        <v>1947</v>
      </c>
      <c r="D930" s="48" t="s">
        <v>50</v>
      </c>
      <c r="E930" s="48" t="s">
        <v>210</v>
      </c>
      <c r="F930" s="48">
        <v>104</v>
      </c>
      <c r="G930" s="48">
        <v>37</v>
      </c>
      <c r="H930" s="48">
        <v>573</v>
      </c>
      <c r="I930" s="48">
        <v>81</v>
      </c>
      <c r="J930" s="48">
        <v>44</v>
      </c>
      <c r="K930" s="48">
        <v>688</v>
      </c>
      <c r="L930" s="48">
        <v>77.5</v>
      </c>
      <c r="M930" s="48">
        <v>54</v>
      </c>
      <c r="N930" s="48">
        <v>902</v>
      </c>
      <c r="O930" s="48">
        <v>36</v>
      </c>
      <c r="P930" s="48">
        <v>55</v>
      </c>
      <c r="Q930" s="48">
        <v>925</v>
      </c>
      <c r="R930" s="48">
        <v>65</v>
      </c>
      <c r="S930" s="48">
        <v>53</v>
      </c>
      <c r="T930" s="48">
        <v>866</v>
      </c>
      <c r="U930" s="48">
        <v>42</v>
      </c>
      <c r="V930" s="48">
        <v>53</v>
      </c>
      <c r="W930" s="48">
        <v>925</v>
      </c>
      <c r="X930" s="48">
        <v>405.5</v>
      </c>
      <c r="Y930" s="48">
        <v>55</v>
      </c>
      <c r="Z930" s="48">
        <v>926</v>
      </c>
    </row>
    <row r="931" spans="1:26" ht="15" hidden="1" customHeight="1">
      <c r="A931" s="48" t="s">
        <v>1948</v>
      </c>
      <c r="B931" s="48" t="s">
        <v>1948</v>
      </c>
      <c r="C931" s="48" t="s">
        <v>1949</v>
      </c>
      <c r="D931" s="48" t="s">
        <v>50</v>
      </c>
      <c r="E931" s="48" t="s">
        <v>169</v>
      </c>
      <c r="F931" s="48">
        <v>103</v>
      </c>
      <c r="G931" s="48">
        <v>37</v>
      </c>
      <c r="H931" s="48">
        <v>606</v>
      </c>
      <c r="I931" s="48">
        <v>38</v>
      </c>
      <c r="J931" s="48">
        <v>55</v>
      </c>
      <c r="K931" s="48">
        <v>947</v>
      </c>
      <c r="L931" s="48">
        <v>108.5</v>
      </c>
      <c r="M931" s="48">
        <v>30</v>
      </c>
      <c r="N931" s="48">
        <v>508</v>
      </c>
      <c r="O931" s="48">
        <v>55</v>
      </c>
      <c r="P931" s="48">
        <v>43</v>
      </c>
      <c r="Q931" s="48">
        <v>748</v>
      </c>
      <c r="R931" s="48">
        <v>57</v>
      </c>
      <c r="S931" s="48">
        <v>53</v>
      </c>
      <c r="T931" s="48">
        <v>921</v>
      </c>
      <c r="U931" s="48">
        <v>40</v>
      </c>
      <c r="V931" s="48">
        <v>56</v>
      </c>
      <c r="W931" s="48">
        <v>935</v>
      </c>
      <c r="X931" s="48">
        <v>401.5</v>
      </c>
      <c r="Y931" s="48">
        <v>54</v>
      </c>
      <c r="Z931" s="48">
        <v>928</v>
      </c>
    </row>
    <row r="932" spans="1:26" ht="15" hidden="1" customHeight="1">
      <c r="A932" s="48" t="s">
        <v>1950</v>
      </c>
      <c r="B932" s="48" t="s">
        <v>1950</v>
      </c>
      <c r="C932" s="48" t="s">
        <v>1951</v>
      </c>
      <c r="D932" s="48" t="s">
        <v>50</v>
      </c>
      <c r="E932" s="48" t="s">
        <v>296</v>
      </c>
      <c r="F932" s="48">
        <v>95</v>
      </c>
      <c r="G932" s="48">
        <v>41</v>
      </c>
      <c r="H932" s="48">
        <v>837</v>
      </c>
      <c r="I932" s="48">
        <v>72</v>
      </c>
      <c r="J932" s="48">
        <v>44</v>
      </c>
      <c r="K932" s="48">
        <v>802</v>
      </c>
      <c r="L932" s="48">
        <v>98</v>
      </c>
      <c r="M932" s="48">
        <v>47</v>
      </c>
      <c r="N932" s="48">
        <v>728</v>
      </c>
      <c r="O932" s="48">
        <v>40</v>
      </c>
      <c r="P932" s="48">
        <v>52</v>
      </c>
      <c r="Q932" s="48">
        <v>909</v>
      </c>
      <c r="R932" s="48">
        <v>55</v>
      </c>
      <c r="S932" s="48">
        <v>56</v>
      </c>
      <c r="T932" s="48">
        <v>932</v>
      </c>
      <c r="U932" s="48">
        <v>41</v>
      </c>
      <c r="V932" s="48">
        <v>55</v>
      </c>
      <c r="W932" s="48">
        <v>931</v>
      </c>
      <c r="X932" s="48">
        <v>401</v>
      </c>
      <c r="Y932" s="48">
        <v>54</v>
      </c>
      <c r="Z932" s="48">
        <v>929</v>
      </c>
    </row>
    <row r="933" spans="1:26" ht="15" hidden="1" customHeight="1">
      <c r="A933" s="48" t="s">
        <v>1952</v>
      </c>
      <c r="B933" s="48" t="s">
        <v>1952</v>
      </c>
      <c r="C933" s="48" t="s">
        <v>1953</v>
      </c>
      <c r="D933" s="48" t="s">
        <v>50</v>
      </c>
      <c r="E933" s="48" t="s">
        <v>92</v>
      </c>
      <c r="F933" s="48">
        <v>74</v>
      </c>
      <c r="G933" s="48">
        <v>55</v>
      </c>
      <c r="H933" s="48">
        <v>943</v>
      </c>
      <c r="I933" s="48">
        <v>80</v>
      </c>
      <c r="J933" s="48">
        <v>42</v>
      </c>
      <c r="K933" s="48">
        <v>699</v>
      </c>
      <c r="L933" s="48">
        <v>58</v>
      </c>
      <c r="M933" s="48">
        <v>57</v>
      </c>
      <c r="N933" s="48">
        <v>945</v>
      </c>
      <c r="O933" s="48">
        <v>49</v>
      </c>
      <c r="P933" s="48">
        <v>51</v>
      </c>
      <c r="Q933" s="48">
        <v>842</v>
      </c>
      <c r="R933" s="48">
        <v>76</v>
      </c>
      <c r="S933" s="48">
        <v>43</v>
      </c>
      <c r="T933" s="48">
        <v>642</v>
      </c>
      <c r="U933" s="48">
        <v>62</v>
      </c>
      <c r="V933" s="48">
        <v>42</v>
      </c>
      <c r="W933" s="48">
        <v>657</v>
      </c>
      <c r="X933" s="48">
        <v>399</v>
      </c>
      <c r="Y933" s="48">
        <v>55</v>
      </c>
      <c r="Z933" s="48">
        <v>930</v>
      </c>
    </row>
    <row r="934" spans="1:26" ht="15" hidden="1" customHeight="1">
      <c r="A934" s="48" t="s">
        <v>1954</v>
      </c>
      <c r="B934" s="48" t="s">
        <v>1954</v>
      </c>
      <c r="C934" s="48" t="s">
        <v>1955</v>
      </c>
      <c r="D934" s="48" t="s">
        <v>50</v>
      </c>
      <c r="E934" s="48" t="s">
        <v>249</v>
      </c>
      <c r="F934" s="48">
        <v>105</v>
      </c>
      <c r="G934" s="48">
        <v>40</v>
      </c>
      <c r="H934" s="48">
        <v>515</v>
      </c>
      <c r="I934" s="48">
        <v>55</v>
      </c>
      <c r="J934" s="48">
        <v>52</v>
      </c>
      <c r="K934" s="48">
        <v>910</v>
      </c>
      <c r="L934" s="48">
        <v>85.5</v>
      </c>
      <c r="M934" s="48">
        <v>52</v>
      </c>
      <c r="N934" s="48">
        <v>866</v>
      </c>
      <c r="O934" s="48">
        <v>51</v>
      </c>
      <c r="P934" s="48">
        <v>46</v>
      </c>
      <c r="Q934" s="48">
        <v>812</v>
      </c>
      <c r="R934" s="48">
        <v>52</v>
      </c>
      <c r="S934" s="48">
        <v>55</v>
      </c>
      <c r="T934" s="48">
        <v>942</v>
      </c>
      <c r="U934" s="48">
        <v>50</v>
      </c>
      <c r="V934" s="48">
        <v>51</v>
      </c>
      <c r="W934" s="48">
        <v>873</v>
      </c>
      <c r="X934" s="48">
        <v>398.5</v>
      </c>
      <c r="Y934" s="48">
        <v>54</v>
      </c>
      <c r="Z934" s="48">
        <v>931</v>
      </c>
    </row>
    <row r="935" spans="1:26" ht="15" hidden="1" customHeight="1">
      <c r="A935" s="48" t="s">
        <v>1956</v>
      </c>
      <c r="B935" s="48" t="s">
        <v>1956</v>
      </c>
      <c r="C935" s="48" t="s">
        <v>1957</v>
      </c>
      <c r="D935" s="48" t="s">
        <v>50</v>
      </c>
      <c r="E935" s="48" t="s">
        <v>249</v>
      </c>
      <c r="F935" s="48">
        <v>92</v>
      </c>
      <c r="G935" s="48">
        <v>56</v>
      </c>
      <c r="H935" s="48">
        <v>882</v>
      </c>
      <c r="I935" s="48">
        <v>86</v>
      </c>
      <c r="J935" s="48">
        <v>34</v>
      </c>
      <c r="K935" s="48">
        <v>626</v>
      </c>
      <c r="L935" s="48">
        <v>64</v>
      </c>
      <c r="M935" s="48">
        <v>56</v>
      </c>
      <c r="N935" s="48">
        <v>938</v>
      </c>
      <c r="O935" s="48">
        <v>53</v>
      </c>
      <c r="P935" s="48">
        <v>44</v>
      </c>
      <c r="Q935" s="48">
        <v>786</v>
      </c>
      <c r="R935" s="48">
        <v>52</v>
      </c>
      <c r="S935" s="48">
        <v>55</v>
      </c>
      <c r="T935" s="48">
        <v>942</v>
      </c>
      <c r="U935" s="48">
        <v>50</v>
      </c>
      <c r="V935" s="48">
        <v>51</v>
      </c>
      <c r="W935" s="48">
        <v>873</v>
      </c>
      <c r="X935" s="48">
        <v>397</v>
      </c>
      <c r="Y935" s="48">
        <v>55</v>
      </c>
      <c r="Z935" s="48">
        <v>932</v>
      </c>
    </row>
    <row r="936" spans="1:26" ht="15" hidden="1" customHeight="1">
      <c r="A936" s="48" t="s">
        <v>1958</v>
      </c>
      <c r="B936" s="48" t="s">
        <v>1958</v>
      </c>
      <c r="C936" s="48" t="s">
        <v>1959</v>
      </c>
      <c r="D936" s="48" t="s">
        <v>50</v>
      </c>
      <c r="E936" s="48" t="s">
        <v>169</v>
      </c>
      <c r="F936" s="48">
        <v>95</v>
      </c>
      <c r="G936" s="48">
        <v>54</v>
      </c>
      <c r="H936" s="48">
        <v>837</v>
      </c>
      <c r="I936" s="48">
        <v>48</v>
      </c>
      <c r="J936" s="48">
        <v>53</v>
      </c>
      <c r="K936" s="48">
        <v>929</v>
      </c>
      <c r="L936" s="48">
        <v>70</v>
      </c>
      <c r="M936" s="48">
        <v>55</v>
      </c>
      <c r="N936" s="48">
        <v>927</v>
      </c>
      <c r="O936" s="48">
        <v>41</v>
      </c>
      <c r="P936" s="48">
        <v>54</v>
      </c>
      <c r="Q936" s="48">
        <v>902</v>
      </c>
      <c r="R936" s="48">
        <v>81</v>
      </c>
      <c r="S936" s="48">
        <v>22</v>
      </c>
      <c r="T936" s="48">
        <v>474</v>
      </c>
      <c r="U936" s="48">
        <v>59</v>
      </c>
      <c r="V936" s="48">
        <v>42</v>
      </c>
      <c r="W936" s="48">
        <v>729</v>
      </c>
      <c r="X936" s="48">
        <v>394</v>
      </c>
      <c r="Y936" s="48">
        <v>55</v>
      </c>
      <c r="Z936" s="48">
        <v>933</v>
      </c>
    </row>
    <row r="937" spans="1:26" ht="15" hidden="1" customHeight="1">
      <c r="A937" s="48" t="s">
        <v>1960</v>
      </c>
      <c r="B937" s="48" t="s">
        <v>1960</v>
      </c>
      <c r="C937" s="48" t="s">
        <v>1961</v>
      </c>
      <c r="D937" s="48" t="s">
        <v>50</v>
      </c>
      <c r="E937" s="48" t="s">
        <v>106</v>
      </c>
      <c r="F937" s="48">
        <v>101</v>
      </c>
      <c r="G937" s="48">
        <v>42</v>
      </c>
      <c r="H937" s="48">
        <v>688</v>
      </c>
      <c r="I937" s="48">
        <v>45</v>
      </c>
      <c r="J937" s="48">
        <v>54</v>
      </c>
      <c r="K937" s="48">
        <v>937</v>
      </c>
      <c r="L937" s="48">
        <v>98.5</v>
      </c>
      <c r="M937" s="48">
        <v>37</v>
      </c>
      <c r="N937" s="48">
        <v>719</v>
      </c>
      <c r="O937" s="48">
        <v>33</v>
      </c>
      <c r="P937" s="48">
        <v>56</v>
      </c>
      <c r="Q937" s="48">
        <v>936</v>
      </c>
      <c r="R937" s="48">
        <v>70</v>
      </c>
      <c r="S937" s="48">
        <v>39</v>
      </c>
      <c r="T937" s="48">
        <v>787</v>
      </c>
      <c r="U937" s="48">
        <v>44</v>
      </c>
      <c r="V937" s="48">
        <v>52</v>
      </c>
      <c r="W937" s="48">
        <v>918</v>
      </c>
      <c r="X937" s="48">
        <v>391.5</v>
      </c>
      <c r="Y937" s="48">
        <v>55</v>
      </c>
      <c r="Z937" s="48">
        <v>934</v>
      </c>
    </row>
    <row r="938" spans="1:26" ht="15" hidden="1" customHeight="1">
      <c r="A938" s="48" t="s">
        <v>1962</v>
      </c>
      <c r="B938" s="48" t="s">
        <v>1962</v>
      </c>
      <c r="C938" s="48" t="s">
        <v>1963</v>
      </c>
      <c r="D938" s="48" t="s">
        <v>50</v>
      </c>
      <c r="E938" s="48" t="s">
        <v>150</v>
      </c>
      <c r="F938" s="48">
        <v>73</v>
      </c>
      <c r="G938" s="48">
        <v>57</v>
      </c>
      <c r="H938" s="48">
        <v>946</v>
      </c>
      <c r="I938" s="48">
        <v>104</v>
      </c>
      <c r="J938" s="48">
        <v>28</v>
      </c>
      <c r="K938" s="48">
        <v>358</v>
      </c>
      <c r="L938" s="48">
        <v>65.5</v>
      </c>
      <c r="M938" s="48">
        <v>55</v>
      </c>
      <c r="N938" s="48">
        <v>934</v>
      </c>
      <c r="O938" s="48">
        <v>32</v>
      </c>
      <c r="P938" s="48">
        <v>57</v>
      </c>
      <c r="Q938" s="48">
        <v>940</v>
      </c>
      <c r="R938" s="48">
        <v>63</v>
      </c>
      <c r="S938" s="48">
        <v>55</v>
      </c>
      <c r="T938" s="48">
        <v>888</v>
      </c>
      <c r="U938" s="48">
        <v>52</v>
      </c>
      <c r="V938" s="48">
        <v>55</v>
      </c>
      <c r="W938" s="48">
        <v>849</v>
      </c>
      <c r="X938" s="48">
        <v>389.5</v>
      </c>
      <c r="Y938" s="48">
        <v>57</v>
      </c>
      <c r="Z938" s="48">
        <v>935</v>
      </c>
    </row>
    <row r="939" spans="1:26" ht="15" hidden="1" customHeight="1">
      <c r="A939" s="48" t="s">
        <v>1964</v>
      </c>
      <c r="B939" s="48" t="s">
        <v>1964</v>
      </c>
      <c r="C939" s="48" t="s">
        <v>1965</v>
      </c>
      <c r="D939" s="48" t="s">
        <v>50</v>
      </c>
      <c r="E939" s="48" t="s">
        <v>296</v>
      </c>
      <c r="F939" s="48">
        <v>106</v>
      </c>
      <c r="G939" s="48">
        <v>19</v>
      </c>
      <c r="H939" s="48">
        <v>477</v>
      </c>
      <c r="I939" s="48">
        <v>44</v>
      </c>
      <c r="J939" s="48">
        <v>56</v>
      </c>
      <c r="K939" s="48">
        <v>939</v>
      </c>
      <c r="L939" s="48">
        <v>101</v>
      </c>
      <c r="M939" s="48">
        <v>38</v>
      </c>
      <c r="N939" s="48">
        <v>661</v>
      </c>
      <c r="O939" s="48">
        <v>37</v>
      </c>
      <c r="P939" s="48">
        <v>53</v>
      </c>
      <c r="Q939" s="48">
        <v>921</v>
      </c>
      <c r="R939" s="48">
        <v>61</v>
      </c>
      <c r="S939" s="48">
        <v>55</v>
      </c>
      <c r="T939" s="48">
        <v>901</v>
      </c>
      <c r="U939" s="48">
        <v>37</v>
      </c>
      <c r="V939" s="48">
        <v>56</v>
      </c>
      <c r="W939" s="48">
        <v>944</v>
      </c>
      <c r="X939" s="48">
        <v>386</v>
      </c>
      <c r="Y939" s="48">
        <v>55</v>
      </c>
      <c r="Z939" s="48">
        <v>936</v>
      </c>
    </row>
    <row r="940" spans="1:26" ht="15" hidden="1" customHeight="1">
      <c r="A940" s="48" t="s">
        <v>1966</v>
      </c>
      <c r="B940" s="48" t="s">
        <v>1966</v>
      </c>
      <c r="C940" s="48" t="s">
        <v>1967</v>
      </c>
      <c r="D940" s="48" t="s">
        <v>50</v>
      </c>
      <c r="E940" s="48" t="s">
        <v>111</v>
      </c>
      <c r="F940" s="48">
        <v>109</v>
      </c>
      <c r="G940" s="48">
        <v>18</v>
      </c>
      <c r="H940" s="48">
        <v>353</v>
      </c>
      <c r="I940" s="48">
        <v>67</v>
      </c>
      <c r="J940" s="48">
        <v>48</v>
      </c>
      <c r="K940" s="48">
        <v>839</v>
      </c>
      <c r="L940" s="48">
        <v>76.5</v>
      </c>
      <c r="M940" s="48">
        <v>53</v>
      </c>
      <c r="N940" s="48">
        <v>907</v>
      </c>
      <c r="O940" s="48">
        <v>29</v>
      </c>
      <c r="P940" s="48">
        <v>55</v>
      </c>
      <c r="Q940" s="48">
        <v>945</v>
      </c>
      <c r="R940" s="48">
        <v>58</v>
      </c>
      <c r="S940" s="48">
        <v>53</v>
      </c>
      <c r="T940" s="48">
        <v>918</v>
      </c>
      <c r="U940" s="48">
        <v>46</v>
      </c>
      <c r="V940" s="48">
        <v>51</v>
      </c>
      <c r="W940" s="48">
        <v>909</v>
      </c>
      <c r="X940" s="48">
        <v>385.5</v>
      </c>
      <c r="Y940" s="48">
        <v>54</v>
      </c>
      <c r="Z940" s="48">
        <v>937</v>
      </c>
    </row>
    <row r="941" spans="1:26" ht="15" hidden="1" customHeight="1">
      <c r="A941" s="48" t="s">
        <v>1968</v>
      </c>
      <c r="B941" s="48" t="s">
        <v>1968</v>
      </c>
      <c r="C941" s="48" t="s">
        <v>1969</v>
      </c>
      <c r="D941" s="48" t="s">
        <v>50</v>
      </c>
      <c r="E941" s="48" t="s">
        <v>249</v>
      </c>
      <c r="F941" s="48">
        <v>103</v>
      </c>
      <c r="G941" s="48">
        <v>48</v>
      </c>
      <c r="H941" s="48">
        <v>606</v>
      </c>
      <c r="I941" s="48">
        <v>45</v>
      </c>
      <c r="J941" s="48">
        <v>55</v>
      </c>
      <c r="K941" s="48">
        <v>937</v>
      </c>
      <c r="L941" s="48">
        <v>92.5</v>
      </c>
      <c r="M941" s="48">
        <v>45</v>
      </c>
      <c r="N941" s="48">
        <v>801</v>
      </c>
      <c r="O941" s="48">
        <v>39</v>
      </c>
      <c r="P941" s="48">
        <v>51</v>
      </c>
      <c r="Q941" s="48">
        <v>912</v>
      </c>
      <c r="R941" s="48">
        <v>46</v>
      </c>
      <c r="S941" s="48">
        <v>57</v>
      </c>
      <c r="T941" s="48">
        <v>949</v>
      </c>
      <c r="U941" s="48">
        <v>59</v>
      </c>
      <c r="V941" s="48">
        <v>36</v>
      </c>
      <c r="W941" s="48">
        <v>729</v>
      </c>
      <c r="X941" s="48">
        <v>384.5</v>
      </c>
      <c r="Y941" s="48">
        <v>56</v>
      </c>
      <c r="Z941" s="48">
        <v>938</v>
      </c>
    </row>
    <row r="942" spans="1:26" ht="15" hidden="1" customHeight="1">
      <c r="A942" s="48" t="s">
        <v>1970</v>
      </c>
      <c r="B942" s="48" t="s">
        <v>1970</v>
      </c>
      <c r="C942" s="48" t="s">
        <v>1971</v>
      </c>
      <c r="D942" s="48" t="s">
        <v>50</v>
      </c>
      <c r="E942" s="48" t="s">
        <v>217</v>
      </c>
      <c r="F942" s="48">
        <v>103</v>
      </c>
      <c r="G942" s="48">
        <v>32</v>
      </c>
      <c r="H942" s="48">
        <v>606</v>
      </c>
      <c r="I942" s="48">
        <v>56</v>
      </c>
      <c r="J942" s="48">
        <v>56</v>
      </c>
      <c r="K942" s="48">
        <v>904</v>
      </c>
      <c r="L942" s="48">
        <v>81.5</v>
      </c>
      <c r="M942" s="48">
        <v>50</v>
      </c>
      <c r="N942" s="48">
        <v>886</v>
      </c>
      <c r="O942" s="48">
        <v>31</v>
      </c>
      <c r="P942" s="48">
        <v>56</v>
      </c>
      <c r="Q942" s="48">
        <v>941</v>
      </c>
      <c r="R942" s="48">
        <v>59</v>
      </c>
      <c r="S942" s="48">
        <v>54</v>
      </c>
      <c r="T942" s="48">
        <v>911</v>
      </c>
      <c r="U942" s="48">
        <v>53</v>
      </c>
      <c r="V942" s="48">
        <v>50</v>
      </c>
      <c r="W942" s="48">
        <v>832</v>
      </c>
      <c r="X942" s="48">
        <v>383.5</v>
      </c>
      <c r="Y942" s="48">
        <v>56</v>
      </c>
      <c r="Z942" s="48">
        <v>939</v>
      </c>
    </row>
    <row r="943" spans="1:26" ht="15" hidden="1" customHeight="1">
      <c r="A943" s="48" t="s">
        <v>1972</v>
      </c>
      <c r="B943" s="48" t="s">
        <v>1972</v>
      </c>
      <c r="C943" s="48" t="s">
        <v>1973</v>
      </c>
      <c r="D943" s="48" t="s">
        <v>50</v>
      </c>
      <c r="E943" s="48" t="s">
        <v>97</v>
      </c>
      <c r="F943" s="48">
        <v>104</v>
      </c>
      <c r="G943" s="48">
        <v>35</v>
      </c>
      <c r="H943" s="48">
        <v>573</v>
      </c>
      <c r="I943" s="48">
        <v>46</v>
      </c>
      <c r="J943" s="48">
        <v>57</v>
      </c>
      <c r="K943" s="48">
        <v>934</v>
      </c>
      <c r="L943" s="48">
        <v>71</v>
      </c>
      <c r="M943" s="48">
        <v>56</v>
      </c>
      <c r="N943" s="48">
        <v>924</v>
      </c>
      <c r="O943" s="48">
        <v>47</v>
      </c>
      <c r="P943" s="48">
        <v>49</v>
      </c>
      <c r="Q943" s="48">
        <v>863</v>
      </c>
      <c r="R943" s="48">
        <v>60</v>
      </c>
      <c r="S943" s="48">
        <v>57</v>
      </c>
      <c r="T943" s="48">
        <v>908</v>
      </c>
      <c r="U943" s="48">
        <v>54</v>
      </c>
      <c r="V943" s="48">
        <v>51</v>
      </c>
      <c r="W943" s="48">
        <v>817</v>
      </c>
      <c r="X943" s="48">
        <v>382</v>
      </c>
      <c r="Y943" s="48">
        <v>57</v>
      </c>
      <c r="Z943" s="48">
        <v>940</v>
      </c>
    </row>
    <row r="944" spans="1:26" ht="15" hidden="1" customHeight="1">
      <c r="A944" s="48" t="s">
        <v>1974</v>
      </c>
      <c r="B944" s="48" t="s">
        <v>1974</v>
      </c>
      <c r="C944" s="48" t="s">
        <v>1975</v>
      </c>
      <c r="D944" s="48" t="s">
        <v>50</v>
      </c>
      <c r="E944" s="48" t="s">
        <v>169</v>
      </c>
      <c r="F944" s="48">
        <v>102</v>
      </c>
      <c r="G944" s="48">
        <v>41</v>
      </c>
      <c r="H944" s="48">
        <v>655</v>
      </c>
      <c r="I944" s="48">
        <v>48</v>
      </c>
      <c r="J944" s="48">
        <v>53</v>
      </c>
      <c r="K944" s="48">
        <v>929</v>
      </c>
      <c r="L944" s="48">
        <v>80.5</v>
      </c>
      <c r="M944" s="48">
        <v>54</v>
      </c>
      <c r="N944" s="48">
        <v>896</v>
      </c>
      <c r="O944" s="48">
        <v>25</v>
      </c>
      <c r="P944" s="48">
        <v>56</v>
      </c>
      <c r="Q944" s="48">
        <v>948</v>
      </c>
      <c r="R944" s="48">
        <v>72</v>
      </c>
      <c r="S944" s="48">
        <v>44</v>
      </c>
      <c r="T944" s="48">
        <v>751</v>
      </c>
      <c r="U944" s="48">
        <v>54</v>
      </c>
      <c r="V944" s="48">
        <v>45</v>
      </c>
      <c r="W944" s="48">
        <v>817</v>
      </c>
      <c r="X944" s="48">
        <v>381.5</v>
      </c>
      <c r="Y944" s="48">
        <v>56</v>
      </c>
      <c r="Z944" s="48">
        <v>941</v>
      </c>
    </row>
    <row r="945" spans="1:26" ht="15" hidden="1" customHeight="1">
      <c r="A945" s="48" t="s">
        <v>1976</v>
      </c>
      <c r="B945" s="48" t="s">
        <v>1976</v>
      </c>
      <c r="C945" s="48" t="s">
        <v>1977</v>
      </c>
      <c r="D945" s="48" t="s">
        <v>50</v>
      </c>
      <c r="E945" s="48" t="s">
        <v>92</v>
      </c>
      <c r="F945" s="48">
        <v>92</v>
      </c>
      <c r="G945" s="48">
        <v>48</v>
      </c>
      <c r="H945" s="48">
        <v>882</v>
      </c>
      <c r="I945" s="48">
        <v>61</v>
      </c>
      <c r="J945" s="48">
        <v>53</v>
      </c>
      <c r="K945" s="48">
        <v>873</v>
      </c>
      <c r="L945" s="48">
        <v>62</v>
      </c>
      <c r="M945" s="48">
        <v>56</v>
      </c>
      <c r="N945" s="48">
        <v>939</v>
      </c>
      <c r="O945" s="48">
        <v>64</v>
      </c>
      <c r="P945" s="48">
        <v>31</v>
      </c>
      <c r="Q945" s="48">
        <v>559</v>
      </c>
      <c r="R945" s="48">
        <v>54</v>
      </c>
      <c r="S945" s="48">
        <v>57</v>
      </c>
      <c r="T945" s="48">
        <v>934</v>
      </c>
      <c r="U945" s="48">
        <v>46</v>
      </c>
      <c r="V945" s="48">
        <v>54</v>
      </c>
      <c r="W945" s="48">
        <v>909</v>
      </c>
      <c r="X945" s="48">
        <v>379</v>
      </c>
      <c r="Y945" s="48">
        <v>56</v>
      </c>
      <c r="Z945" s="48">
        <v>942</v>
      </c>
    </row>
    <row r="946" spans="1:26" ht="15" hidden="1" customHeight="1">
      <c r="A946" s="48" t="s">
        <v>1978</v>
      </c>
      <c r="B946" s="48" t="s">
        <v>1978</v>
      </c>
      <c r="C946" s="48" t="s">
        <v>1979</v>
      </c>
      <c r="D946" s="48" t="s">
        <v>50</v>
      </c>
      <c r="E946" s="48" t="s">
        <v>217</v>
      </c>
      <c r="F946" s="48">
        <v>106</v>
      </c>
      <c r="G946" s="48">
        <v>26</v>
      </c>
      <c r="H946" s="48">
        <v>477</v>
      </c>
      <c r="I946" s="48">
        <v>48</v>
      </c>
      <c r="J946" s="48">
        <v>57</v>
      </c>
      <c r="K946" s="48">
        <v>929</v>
      </c>
      <c r="L946" s="48">
        <v>66</v>
      </c>
      <c r="M946" s="48">
        <v>57</v>
      </c>
      <c r="N946" s="48">
        <v>933</v>
      </c>
      <c r="O946" s="48">
        <v>60</v>
      </c>
      <c r="P946" s="48">
        <v>40</v>
      </c>
      <c r="Q946" s="48">
        <v>647</v>
      </c>
      <c r="R946" s="48">
        <v>50</v>
      </c>
      <c r="S946" s="48">
        <v>57</v>
      </c>
      <c r="T946" s="48">
        <v>947</v>
      </c>
      <c r="U946" s="48">
        <v>49</v>
      </c>
      <c r="V946" s="48">
        <v>55</v>
      </c>
      <c r="W946" s="48">
        <v>883</v>
      </c>
      <c r="X946" s="48">
        <v>379</v>
      </c>
      <c r="Y946" s="48">
        <v>57</v>
      </c>
      <c r="Z946" s="48">
        <v>942</v>
      </c>
    </row>
    <row r="947" spans="1:26" ht="15" hidden="1" customHeight="1">
      <c r="A947" s="48" t="s">
        <v>1980</v>
      </c>
      <c r="B947" s="48" t="s">
        <v>1980</v>
      </c>
      <c r="C947" s="48" t="s">
        <v>1981</v>
      </c>
      <c r="D947" s="48" t="s">
        <v>50</v>
      </c>
      <c r="E947" s="48" t="s">
        <v>296</v>
      </c>
      <c r="F947" s="48">
        <v>93</v>
      </c>
      <c r="G947" s="48">
        <v>49</v>
      </c>
      <c r="H947" s="48">
        <v>868</v>
      </c>
      <c r="I947" s="48">
        <v>58</v>
      </c>
      <c r="J947" s="48">
        <v>52</v>
      </c>
      <c r="K947" s="48">
        <v>893</v>
      </c>
      <c r="L947" s="48">
        <v>71</v>
      </c>
      <c r="M947" s="48">
        <v>55</v>
      </c>
      <c r="N947" s="48">
        <v>924</v>
      </c>
      <c r="O947" s="48">
        <v>36</v>
      </c>
      <c r="P947" s="48">
        <v>54</v>
      </c>
      <c r="Q947" s="48">
        <v>925</v>
      </c>
      <c r="R947" s="48">
        <v>64</v>
      </c>
      <c r="S947" s="48">
        <v>52</v>
      </c>
      <c r="T947" s="48">
        <v>881</v>
      </c>
      <c r="U947" s="48">
        <v>51</v>
      </c>
      <c r="V947" s="48">
        <v>45</v>
      </c>
      <c r="W947" s="48">
        <v>862</v>
      </c>
      <c r="X947" s="48">
        <v>373</v>
      </c>
      <c r="Y947" s="48">
        <v>56</v>
      </c>
      <c r="Z947" s="48">
        <v>944</v>
      </c>
    </row>
    <row r="948" spans="1:26" ht="15" hidden="1" customHeight="1">
      <c r="A948" s="48" t="s">
        <v>1982</v>
      </c>
      <c r="B948" s="48" t="s">
        <v>1982</v>
      </c>
      <c r="C948" s="48" t="s">
        <v>1983</v>
      </c>
      <c r="D948" s="48" t="s">
        <v>50</v>
      </c>
      <c r="E948" s="48" t="s">
        <v>249</v>
      </c>
      <c r="F948" s="48">
        <v>108</v>
      </c>
      <c r="G948" s="48">
        <v>32</v>
      </c>
      <c r="H948" s="48">
        <v>391</v>
      </c>
      <c r="I948" s="48">
        <v>50</v>
      </c>
      <c r="J948" s="48">
        <v>54</v>
      </c>
      <c r="K948" s="48">
        <v>926</v>
      </c>
      <c r="L948" s="48">
        <v>59.5</v>
      </c>
      <c r="M948" s="48">
        <v>57</v>
      </c>
      <c r="N948" s="48">
        <v>943</v>
      </c>
      <c r="O948" s="48">
        <v>35</v>
      </c>
      <c r="P948" s="48">
        <v>54</v>
      </c>
      <c r="Q948" s="48">
        <v>929</v>
      </c>
      <c r="R948" s="48">
        <v>59</v>
      </c>
      <c r="S948" s="48">
        <v>49</v>
      </c>
      <c r="T948" s="48">
        <v>911</v>
      </c>
      <c r="U948" s="48">
        <v>52</v>
      </c>
      <c r="V948" s="48">
        <v>48</v>
      </c>
      <c r="W948" s="48">
        <v>849</v>
      </c>
      <c r="X948" s="48">
        <v>363.5</v>
      </c>
      <c r="Y948" s="48">
        <v>57</v>
      </c>
      <c r="Z948" s="48">
        <v>945</v>
      </c>
    </row>
    <row r="949" spans="1:26" ht="15" hidden="1" customHeight="1">
      <c r="A949" s="48" t="s">
        <v>1984</v>
      </c>
      <c r="B949" s="48" t="s">
        <v>1984</v>
      </c>
      <c r="C949" s="48" t="s">
        <v>1985</v>
      </c>
      <c r="D949" s="48" t="s">
        <v>50</v>
      </c>
      <c r="E949" s="48" t="s">
        <v>210</v>
      </c>
      <c r="F949" s="48">
        <v>93</v>
      </c>
      <c r="G949" s="48">
        <v>54</v>
      </c>
      <c r="H949" s="48">
        <v>868</v>
      </c>
      <c r="I949" s="48">
        <v>51</v>
      </c>
      <c r="J949" s="48">
        <v>56</v>
      </c>
      <c r="K949" s="48">
        <v>921</v>
      </c>
      <c r="L949" s="48">
        <v>99</v>
      </c>
      <c r="M949" s="48">
        <v>42</v>
      </c>
      <c r="N949" s="48">
        <v>707</v>
      </c>
      <c r="O949" s="48">
        <v>30</v>
      </c>
      <c r="P949" s="48">
        <v>56</v>
      </c>
      <c r="Q949" s="48">
        <v>944</v>
      </c>
      <c r="R949" s="48">
        <v>56</v>
      </c>
      <c r="S949" s="48">
        <v>55</v>
      </c>
      <c r="T949" s="48">
        <v>928</v>
      </c>
      <c r="U949" s="48">
        <v>34</v>
      </c>
      <c r="V949" s="48">
        <v>56</v>
      </c>
      <c r="W949" s="48">
        <v>946</v>
      </c>
      <c r="X949" s="48">
        <v>363</v>
      </c>
      <c r="Y949" s="48">
        <v>56</v>
      </c>
      <c r="Z949" s="48">
        <v>946</v>
      </c>
    </row>
    <row r="950" spans="1:26" ht="15" hidden="1" customHeight="1">
      <c r="A950" s="48" t="s">
        <v>1986</v>
      </c>
      <c r="B950" s="48" t="s">
        <v>1986</v>
      </c>
      <c r="C950" s="48" t="s">
        <v>1987</v>
      </c>
      <c r="D950" s="48" t="s">
        <v>50</v>
      </c>
      <c r="E950" s="48" t="s">
        <v>106</v>
      </c>
      <c r="F950" s="48">
        <v>103</v>
      </c>
      <c r="G950" s="48">
        <v>38</v>
      </c>
      <c r="H950" s="48">
        <v>606</v>
      </c>
      <c r="I950" s="48">
        <v>58</v>
      </c>
      <c r="J950" s="48">
        <v>47</v>
      </c>
      <c r="K950" s="48">
        <v>893</v>
      </c>
      <c r="L950" s="48">
        <v>54</v>
      </c>
      <c r="M950" s="48">
        <v>56</v>
      </c>
      <c r="N950" s="48">
        <v>947</v>
      </c>
      <c r="O950" s="48">
        <v>47</v>
      </c>
      <c r="P950" s="48">
        <v>51</v>
      </c>
      <c r="Q950" s="48">
        <v>863</v>
      </c>
      <c r="R950" s="48">
        <v>55</v>
      </c>
      <c r="S950" s="48">
        <v>55</v>
      </c>
      <c r="T950" s="48">
        <v>932</v>
      </c>
      <c r="U950" s="48">
        <v>43</v>
      </c>
      <c r="V950" s="48">
        <v>53</v>
      </c>
      <c r="W950" s="48">
        <v>922</v>
      </c>
      <c r="X950" s="48">
        <v>360</v>
      </c>
      <c r="Y950" s="48">
        <v>56</v>
      </c>
      <c r="Z950" s="48">
        <v>947</v>
      </c>
    </row>
    <row r="951" spans="1:26" ht="15" hidden="1" customHeight="1">
      <c r="A951" s="48" t="s">
        <v>1988</v>
      </c>
      <c r="B951" s="48" t="s">
        <v>1988</v>
      </c>
      <c r="C951" s="48" t="s">
        <v>1989</v>
      </c>
      <c r="D951" s="48" t="s">
        <v>50</v>
      </c>
      <c r="E951" s="48" t="s">
        <v>111</v>
      </c>
      <c r="F951" s="48">
        <v>74</v>
      </c>
      <c r="G951" s="48">
        <v>55</v>
      </c>
      <c r="H951" s="48">
        <v>943</v>
      </c>
      <c r="I951" s="48">
        <v>35</v>
      </c>
      <c r="J951" s="48">
        <v>56</v>
      </c>
      <c r="K951" s="48">
        <v>949</v>
      </c>
      <c r="L951" s="48">
        <v>109.5</v>
      </c>
      <c r="M951" s="48">
        <v>27</v>
      </c>
      <c r="N951" s="48">
        <v>490</v>
      </c>
      <c r="O951" s="48">
        <v>37</v>
      </c>
      <c r="P951" s="48">
        <v>53</v>
      </c>
      <c r="Q951" s="48">
        <v>921</v>
      </c>
      <c r="R951" s="48">
        <v>63</v>
      </c>
      <c r="S951" s="48">
        <v>52</v>
      </c>
      <c r="T951" s="48">
        <v>888</v>
      </c>
      <c r="U951" s="48">
        <v>39</v>
      </c>
      <c r="V951" s="48">
        <v>55</v>
      </c>
      <c r="W951" s="48">
        <v>940</v>
      </c>
      <c r="X951" s="48">
        <v>357.5</v>
      </c>
      <c r="Y951" s="48">
        <v>55</v>
      </c>
      <c r="Z951" s="48">
        <v>948</v>
      </c>
    </row>
    <row r="952" spans="1:26" ht="15" hidden="1" customHeight="1">
      <c r="A952" s="48" t="s">
        <v>1990</v>
      </c>
      <c r="B952" s="48" t="s">
        <v>1990</v>
      </c>
      <c r="C952" s="48" t="s">
        <v>1991</v>
      </c>
      <c r="D952" s="48" t="s">
        <v>50</v>
      </c>
      <c r="E952" s="48" t="s">
        <v>92</v>
      </c>
      <c r="F952" s="48">
        <v>87</v>
      </c>
      <c r="G952" s="48">
        <v>52</v>
      </c>
      <c r="H952" s="48">
        <v>922</v>
      </c>
      <c r="I952" s="48">
        <v>46</v>
      </c>
      <c r="J952" s="48">
        <v>57</v>
      </c>
      <c r="K952" s="48">
        <v>934</v>
      </c>
      <c r="L952" s="48">
        <v>81.5</v>
      </c>
      <c r="M952" s="48">
        <v>51</v>
      </c>
      <c r="N952" s="48">
        <v>886</v>
      </c>
      <c r="O952" s="48">
        <v>11</v>
      </c>
      <c r="P952" s="48">
        <v>57</v>
      </c>
      <c r="Q952" s="48">
        <v>951</v>
      </c>
      <c r="R952" s="48">
        <v>78</v>
      </c>
      <c r="S952" s="48">
        <v>37</v>
      </c>
      <c r="T952" s="48">
        <v>577</v>
      </c>
      <c r="U952" s="48">
        <v>39</v>
      </c>
      <c r="V952" s="48">
        <v>56</v>
      </c>
      <c r="W952" s="48">
        <v>940</v>
      </c>
      <c r="X952" s="48">
        <v>342.5</v>
      </c>
      <c r="Y952" s="48">
        <v>57</v>
      </c>
      <c r="Z952" s="48">
        <v>949</v>
      </c>
    </row>
    <row r="953" spans="1:26" ht="15" hidden="1" customHeight="1">
      <c r="A953" s="48" t="s">
        <v>1992</v>
      </c>
      <c r="B953" s="48" t="s">
        <v>1992</v>
      </c>
      <c r="C953" s="48" t="s">
        <v>1993</v>
      </c>
      <c r="D953" s="48" t="s">
        <v>50</v>
      </c>
      <c r="E953" s="48" t="s">
        <v>111</v>
      </c>
      <c r="F953" s="48">
        <v>60</v>
      </c>
      <c r="G953" s="48">
        <v>56</v>
      </c>
      <c r="H953" s="48">
        <v>950</v>
      </c>
      <c r="I953" s="48">
        <v>40</v>
      </c>
      <c r="J953" s="48">
        <v>55</v>
      </c>
      <c r="K953" s="48">
        <v>946</v>
      </c>
      <c r="L953" s="48">
        <v>65</v>
      </c>
      <c r="M953" s="48">
        <v>56</v>
      </c>
      <c r="N953" s="48">
        <v>937</v>
      </c>
      <c r="O953" s="48">
        <v>18</v>
      </c>
      <c r="P953" s="48">
        <v>56</v>
      </c>
      <c r="Q953" s="48">
        <v>950</v>
      </c>
      <c r="R953" s="48">
        <v>66</v>
      </c>
      <c r="S953" s="48">
        <v>48</v>
      </c>
      <c r="T953" s="48">
        <v>849</v>
      </c>
      <c r="U953" s="48">
        <v>57</v>
      </c>
      <c r="V953" s="48">
        <v>41</v>
      </c>
      <c r="W953" s="48">
        <v>770</v>
      </c>
      <c r="X953" s="48">
        <v>306</v>
      </c>
      <c r="Y953" s="48">
        <v>56</v>
      </c>
      <c r="Z953" s="48">
        <v>950</v>
      </c>
    </row>
    <row r="954" spans="1:26" ht="15" hidden="1" customHeight="1">
      <c r="A954" s="48" t="s">
        <v>1994</v>
      </c>
      <c r="B954" s="48" t="s">
        <v>1994</v>
      </c>
      <c r="C954" s="48" t="s">
        <v>1995</v>
      </c>
      <c r="D954" s="48" t="s">
        <v>50</v>
      </c>
      <c r="E954" s="48" t="s">
        <v>203</v>
      </c>
      <c r="F954" s="48">
        <v>97</v>
      </c>
      <c r="G954" s="48">
        <v>49</v>
      </c>
      <c r="H954" s="48">
        <v>795</v>
      </c>
      <c r="I954" s="48">
        <v>15</v>
      </c>
      <c r="J954" s="48">
        <v>57</v>
      </c>
      <c r="K954" s="48">
        <v>950</v>
      </c>
      <c r="L954" s="48">
        <v>35</v>
      </c>
      <c r="M954" s="48">
        <v>57</v>
      </c>
      <c r="N954" s="48">
        <v>951</v>
      </c>
      <c r="O954" s="48">
        <v>26</v>
      </c>
      <c r="P954" s="48">
        <v>57</v>
      </c>
      <c r="Q954" s="48">
        <v>947</v>
      </c>
      <c r="R954" s="48">
        <v>21</v>
      </c>
      <c r="S954" s="48">
        <v>57</v>
      </c>
      <c r="T954" s="48">
        <v>951</v>
      </c>
      <c r="U954" s="48">
        <v>33</v>
      </c>
      <c r="V954" s="48">
        <v>55</v>
      </c>
      <c r="W954" s="48">
        <v>949</v>
      </c>
      <c r="X954" s="48">
        <v>227</v>
      </c>
      <c r="Y954" s="48">
        <v>57</v>
      </c>
      <c r="Z954" s="48">
        <v>951</v>
      </c>
    </row>
  </sheetData>
  <protectedRanges>
    <protectedRange sqref="I605:I850 I1:I544" name="区域1_5"/>
    <protectedRange sqref="N605:N850 N301:N483 N1:N26 N29:N241" name="区域1_8"/>
    <protectedRange sqref="N545:N604" name="区域1_1_3"/>
    <protectedRange sqref="N242:N300" name="区域1_2_3"/>
    <protectedRange sqref="J1:J850" name="区域1"/>
    <protectedRange sqref="M1:M850" name="区域1_1"/>
    <protectedRange sqref="O1:Q2 O3:O850 P3:Q19878" name="区域1_2"/>
    <protectedRange sqref="K1:K850" name="区域1_6"/>
    <protectedRange sqref="I545:I604" name="区域1_10"/>
    <protectedRange sqref="A1:A1086" name="区域1_17"/>
    <protectedRange sqref="B2:B856 C2:C1086" name="区域1_18"/>
  </protectedRanges>
  <autoFilter ref="A3:BA954">
    <filterColumn colId="4">
      <filters>
        <filter val="1809"/>
      </filters>
    </filterColumn>
  </autoFilter>
  <mergeCells count="26">
    <mergeCell ref="A1:Z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B1:BA1"/>
    <mergeCell ref="AB2:AB3"/>
    <mergeCell ref="AC2:AC3"/>
    <mergeCell ref="AD2:AD3"/>
    <mergeCell ref="AE2:AE3"/>
    <mergeCell ref="AF2:AF3"/>
    <mergeCell ref="AG2:AI2"/>
    <mergeCell ref="AJ2:AL2"/>
    <mergeCell ref="AM2:AO2"/>
    <mergeCell ref="AP2:AR2"/>
    <mergeCell ref="AS2:AU2"/>
    <mergeCell ref="AV2:AX2"/>
    <mergeCell ref="AY2:BA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2"/>
  <sheetViews>
    <sheetView workbookViewId="0">
      <pane xSplit="3" ySplit="1" topLeftCell="D214" activePane="bottomRight" state="frozen"/>
      <selection pane="topRight" activeCell="D1" sqref="D1"/>
      <selection pane="bottomLeft" activeCell="A2" sqref="A2"/>
      <selection pane="bottomRight" activeCell="I230" sqref="I230"/>
    </sheetView>
  </sheetViews>
  <sheetFormatPr defaultRowHeight="14.25"/>
  <cols>
    <col min="1" max="1" width="9" style="33"/>
    <col min="2" max="3" width="9" style="1"/>
    <col min="4" max="15" width="9" style="33"/>
    <col min="16" max="16384" width="9" style="1"/>
  </cols>
  <sheetData>
    <row r="1" spans="1:18">
      <c r="A1" s="33" t="s">
        <v>14</v>
      </c>
      <c r="B1" s="1" t="s">
        <v>13</v>
      </c>
      <c r="C1" s="1" t="s">
        <v>15</v>
      </c>
      <c r="D1" s="33" t="s">
        <v>22</v>
      </c>
      <c r="E1" s="74" t="s">
        <v>3338</v>
      </c>
      <c r="F1" s="33" t="s">
        <v>23</v>
      </c>
      <c r="G1" s="74" t="s">
        <v>3339</v>
      </c>
      <c r="H1" s="33" t="s">
        <v>24</v>
      </c>
      <c r="I1" s="74" t="s">
        <v>3340</v>
      </c>
      <c r="J1" s="74" t="s">
        <v>28</v>
      </c>
      <c r="K1" s="74" t="s">
        <v>3341</v>
      </c>
      <c r="L1" s="74" t="s">
        <v>3337</v>
      </c>
      <c r="M1" s="74" t="s">
        <v>3342</v>
      </c>
      <c r="N1" s="74" t="s">
        <v>80</v>
      </c>
      <c r="O1" s="74" t="s">
        <v>3343</v>
      </c>
      <c r="P1" s="1" t="s">
        <v>3334</v>
      </c>
      <c r="Q1" s="1" t="s">
        <v>3335</v>
      </c>
      <c r="R1" s="1" t="s">
        <v>3336</v>
      </c>
    </row>
    <row r="2" spans="1:18">
      <c r="A2" s="33" t="s">
        <v>82</v>
      </c>
      <c r="B2" s="1" t="s">
        <v>84</v>
      </c>
      <c r="C2" s="1" t="s">
        <v>83</v>
      </c>
      <c r="D2" s="33">
        <v>128</v>
      </c>
      <c r="E2" s="33">
        <v>3</v>
      </c>
      <c r="F2" s="33">
        <v>142</v>
      </c>
      <c r="G2" s="33">
        <v>11</v>
      </c>
      <c r="H2" s="33">
        <v>133.5</v>
      </c>
      <c r="I2" s="33">
        <v>13</v>
      </c>
      <c r="J2" s="33">
        <v>93</v>
      </c>
      <c r="K2" s="33">
        <v>39</v>
      </c>
      <c r="L2" s="33">
        <v>92</v>
      </c>
      <c r="M2" s="33">
        <v>116</v>
      </c>
      <c r="N2" s="33">
        <v>83</v>
      </c>
      <c r="O2" s="33">
        <v>30</v>
      </c>
      <c r="P2" s="1">
        <v>671.5</v>
      </c>
      <c r="Q2" s="1">
        <v>1</v>
      </c>
      <c r="R2" s="1">
        <v>1</v>
      </c>
    </row>
    <row r="3" spans="1:18">
      <c r="A3" s="33" t="s">
        <v>85</v>
      </c>
      <c r="B3" s="1" t="s">
        <v>87</v>
      </c>
      <c r="C3" s="1" t="s">
        <v>86</v>
      </c>
      <c r="D3" s="33">
        <v>121</v>
      </c>
      <c r="E3" s="33">
        <v>30</v>
      </c>
      <c r="F3" s="33">
        <v>143</v>
      </c>
      <c r="G3" s="33">
        <v>8</v>
      </c>
      <c r="H3" s="33">
        <v>127.5</v>
      </c>
      <c r="I3" s="33">
        <v>63</v>
      </c>
      <c r="J3" s="33">
        <v>95</v>
      </c>
      <c r="K3" s="33">
        <v>31</v>
      </c>
      <c r="L3" s="33">
        <v>100</v>
      </c>
      <c r="M3" s="33">
        <v>1</v>
      </c>
      <c r="N3" s="33">
        <v>84</v>
      </c>
      <c r="O3" s="33">
        <v>21</v>
      </c>
      <c r="P3" s="1">
        <v>670.5</v>
      </c>
      <c r="Q3" s="1">
        <v>1</v>
      </c>
      <c r="R3" s="1">
        <v>2</v>
      </c>
    </row>
    <row r="4" spans="1:18">
      <c r="A4" s="33" t="s">
        <v>88</v>
      </c>
      <c r="B4" s="1" t="s">
        <v>87</v>
      </c>
      <c r="C4" s="1" t="s">
        <v>89</v>
      </c>
      <c r="D4" s="33">
        <v>117</v>
      </c>
      <c r="E4" s="33">
        <v>86</v>
      </c>
      <c r="F4" s="33">
        <v>143</v>
      </c>
      <c r="G4" s="33">
        <v>8</v>
      </c>
      <c r="H4" s="33">
        <v>127</v>
      </c>
      <c r="I4" s="33">
        <v>72</v>
      </c>
      <c r="J4" s="33">
        <v>103</v>
      </c>
      <c r="K4" s="33">
        <v>7</v>
      </c>
      <c r="L4" s="33">
        <v>100</v>
      </c>
      <c r="M4" s="33">
        <v>1</v>
      </c>
      <c r="N4" s="33">
        <v>80</v>
      </c>
      <c r="O4" s="33">
        <v>85</v>
      </c>
      <c r="P4" s="1">
        <v>670</v>
      </c>
      <c r="Q4" s="1">
        <v>2</v>
      </c>
      <c r="R4" s="1">
        <v>3</v>
      </c>
    </row>
    <row r="5" spans="1:18">
      <c r="A5" s="33" t="s">
        <v>90</v>
      </c>
      <c r="B5" s="1" t="s">
        <v>92</v>
      </c>
      <c r="C5" s="1" t="s">
        <v>91</v>
      </c>
      <c r="D5" s="33">
        <v>110</v>
      </c>
      <c r="E5" s="33">
        <v>310</v>
      </c>
      <c r="F5" s="33">
        <v>140</v>
      </c>
      <c r="G5" s="33">
        <v>16</v>
      </c>
      <c r="H5" s="33">
        <v>137.5</v>
      </c>
      <c r="I5" s="33">
        <v>3</v>
      </c>
      <c r="J5" s="33">
        <v>98</v>
      </c>
      <c r="K5" s="33">
        <v>18</v>
      </c>
      <c r="L5" s="33">
        <v>100</v>
      </c>
      <c r="M5" s="33">
        <v>1</v>
      </c>
      <c r="N5" s="33">
        <v>82</v>
      </c>
      <c r="O5" s="33">
        <v>46</v>
      </c>
      <c r="P5" s="1">
        <v>667.5</v>
      </c>
      <c r="Q5" s="1">
        <v>1</v>
      </c>
      <c r="R5" s="1">
        <v>4</v>
      </c>
    </row>
    <row r="6" spans="1:18">
      <c r="A6" s="33" t="s">
        <v>93</v>
      </c>
      <c r="B6" s="1" t="s">
        <v>87</v>
      </c>
      <c r="C6" s="1" t="s">
        <v>94</v>
      </c>
      <c r="D6" s="33">
        <v>119</v>
      </c>
      <c r="E6" s="33">
        <v>51</v>
      </c>
      <c r="F6" s="33">
        <v>131</v>
      </c>
      <c r="G6" s="33">
        <v>48</v>
      </c>
      <c r="H6" s="33">
        <v>128.5</v>
      </c>
      <c r="I6" s="33">
        <v>53</v>
      </c>
      <c r="J6" s="33">
        <v>106</v>
      </c>
      <c r="K6" s="33">
        <v>1</v>
      </c>
      <c r="L6" s="33">
        <v>96</v>
      </c>
      <c r="M6" s="33">
        <v>45</v>
      </c>
      <c r="N6" s="33">
        <v>84</v>
      </c>
      <c r="O6" s="33">
        <v>21</v>
      </c>
      <c r="P6" s="1">
        <v>664.5</v>
      </c>
      <c r="Q6" s="1">
        <v>3</v>
      </c>
      <c r="R6" s="1">
        <v>5</v>
      </c>
    </row>
    <row r="7" spans="1:18">
      <c r="A7" s="33" t="s">
        <v>95</v>
      </c>
      <c r="B7" s="1" t="s">
        <v>97</v>
      </c>
      <c r="C7" s="1" t="s">
        <v>96</v>
      </c>
      <c r="D7" s="33">
        <v>110</v>
      </c>
      <c r="E7" s="33">
        <v>310</v>
      </c>
      <c r="F7" s="33">
        <v>144</v>
      </c>
      <c r="G7" s="33">
        <v>5</v>
      </c>
      <c r="H7" s="33">
        <v>127.5</v>
      </c>
      <c r="I7" s="33">
        <v>63</v>
      </c>
      <c r="J7" s="33">
        <v>105</v>
      </c>
      <c r="K7" s="33">
        <v>2</v>
      </c>
      <c r="L7" s="33">
        <v>99</v>
      </c>
      <c r="M7" s="33">
        <v>13</v>
      </c>
      <c r="N7" s="33">
        <v>78</v>
      </c>
      <c r="O7" s="33">
        <v>133</v>
      </c>
      <c r="P7" s="1">
        <v>663.5</v>
      </c>
      <c r="Q7" s="1">
        <v>1</v>
      </c>
      <c r="R7" s="1">
        <v>6</v>
      </c>
    </row>
    <row r="8" spans="1:18">
      <c r="A8" s="33" t="s">
        <v>98</v>
      </c>
      <c r="B8" s="1" t="s">
        <v>87</v>
      </c>
      <c r="C8" s="1" t="s">
        <v>99</v>
      </c>
      <c r="D8" s="33">
        <v>121</v>
      </c>
      <c r="E8" s="33">
        <v>30</v>
      </c>
      <c r="F8" s="33">
        <v>137</v>
      </c>
      <c r="G8" s="33">
        <v>28</v>
      </c>
      <c r="H8" s="33">
        <v>130</v>
      </c>
      <c r="I8" s="33">
        <v>34</v>
      </c>
      <c r="J8" s="33">
        <v>91</v>
      </c>
      <c r="K8" s="33">
        <v>56</v>
      </c>
      <c r="L8" s="33">
        <v>98</v>
      </c>
      <c r="M8" s="33">
        <v>20</v>
      </c>
      <c r="N8" s="33">
        <v>86</v>
      </c>
      <c r="O8" s="33">
        <v>7</v>
      </c>
      <c r="P8" s="1">
        <v>663</v>
      </c>
      <c r="Q8" s="1">
        <v>4</v>
      </c>
      <c r="R8" s="1">
        <v>7</v>
      </c>
    </row>
    <row r="9" spans="1:18">
      <c r="A9" s="33" t="s">
        <v>100</v>
      </c>
      <c r="B9" s="1" t="s">
        <v>87</v>
      </c>
      <c r="C9" s="1" t="s">
        <v>101</v>
      </c>
      <c r="D9" s="33">
        <v>122</v>
      </c>
      <c r="E9" s="33">
        <v>25</v>
      </c>
      <c r="F9" s="33">
        <v>140</v>
      </c>
      <c r="G9" s="33">
        <v>16</v>
      </c>
      <c r="H9" s="33">
        <v>130</v>
      </c>
      <c r="I9" s="33">
        <v>34</v>
      </c>
      <c r="J9" s="33">
        <v>93</v>
      </c>
      <c r="K9" s="33">
        <v>39</v>
      </c>
      <c r="L9" s="33">
        <v>96</v>
      </c>
      <c r="M9" s="33">
        <v>45</v>
      </c>
      <c r="N9" s="33">
        <v>77</v>
      </c>
      <c r="O9" s="33">
        <v>162</v>
      </c>
      <c r="P9" s="1">
        <v>658</v>
      </c>
      <c r="Q9" s="1">
        <v>5</v>
      </c>
      <c r="R9" s="1">
        <v>8</v>
      </c>
    </row>
    <row r="10" spans="1:18">
      <c r="A10" s="33" t="s">
        <v>118</v>
      </c>
      <c r="B10" s="1" t="s">
        <v>87</v>
      </c>
      <c r="C10" s="1" t="s">
        <v>119</v>
      </c>
      <c r="D10" s="33">
        <v>99</v>
      </c>
      <c r="E10" s="33">
        <v>754</v>
      </c>
      <c r="F10" s="33">
        <v>148</v>
      </c>
      <c r="G10" s="33">
        <v>1</v>
      </c>
      <c r="H10" s="33">
        <v>125.5</v>
      </c>
      <c r="I10" s="33">
        <v>87</v>
      </c>
      <c r="J10" s="33">
        <v>104</v>
      </c>
      <c r="K10" s="33">
        <v>3</v>
      </c>
      <c r="L10" s="33">
        <v>100</v>
      </c>
      <c r="M10" s="33">
        <v>1</v>
      </c>
      <c r="N10" s="33">
        <v>81</v>
      </c>
      <c r="O10" s="33">
        <v>66</v>
      </c>
      <c r="P10" s="1">
        <v>657.5</v>
      </c>
      <c r="Q10" s="1">
        <v>6</v>
      </c>
      <c r="R10" s="1">
        <v>9</v>
      </c>
    </row>
    <row r="11" spans="1:18">
      <c r="A11" s="33" t="s">
        <v>104</v>
      </c>
      <c r="B11" s="1" t="s">
        <v>106</v>
      </c>
      <c r="C11" s="1" t="s">
        <v>105</v>
      </c>
      <c r="D11" s="33">
        <v>114</v>
      </c>
      <c r="E11" s="33">
        <v>170</v>
      </c>
      <c r="F11" s="33">
        <v>139</v>
      </c>
      <c r="G11" s="33">
        <v>22</v>
      </c>
      <c r="H11" s="33">
        <v>125</v>
      </c>
      <c r="I11" s="33">
        <v>96</v>
      </c>
      <c r="J11" s="33">
        <v>93</v>
      </c>
      <c r="K11" s="33">
        <v>39</v>
      </c>
      <c r="L11" s="33">
        <v>100</v>
      </c>
      <c r="M11" s="33">
        <v>1</v>
      </c>
      <c r="N11" s="33">
        <v>85</v>
      </c>
      <c r="O11" s="33">
        <v>14</v>
      </c>
      <c r="P11" s="1">
        <v>656</v>
      </c>
      <c r="Q11" s="1">
        <v>1</v>
      </c>
      <c r="R11" s="1">
        <v>10</v>
      </c>
    </row>
    <row r="12" spans="1:18">
      <c r="A12" s="33" t="s">
        <v>102</v>
      </c>
      <c r="B12" s="1" t="s">
        <v>87</v>
      </c>
      <c r="C12" s="1" t="s">
        <v>103</v>
      </c>
      <c r="D12" s="33">
        <v>125</v>
      </c>
      <c r="E12" s="33">
        <v>12</v>
      </c>
      <c r="F12" s="33">
        <v>127</v>
      </c>
      <c r="G12" s="33">
        <v>78</v>
      </c>
      <c r="H12" s="33">
        <v>133</v>
      </c>
      <c r="I12" s="33">
        <v>17</v>
      </c>
      <c r="J12" s="33">
        <v>96</v>
      </c>
      <c r="K12" s="33">
        <v>25</v>
      </c>
      <c r="L12" s="33">
        <v>96</v>
      </c>
      <c r="M12" s="33">
        <v>45</v>
      </c>
      <c r="N12" s="33">
        <v>79</v>
      </c>
      <c r="O12" s="33">
        <v>103</v>
      </c>
      <c r="P12" s="1">
        <v>656</v>
      </c>
      <c r="Q12" s="1">
        <v>7</v>
      </c>
      <c r="R12" s="1">
        <v>10</v>
      </c>
    </row>
    <row r="13" spans="1:18">
      <c r="A13" s="33" t="s">
        <v>107</v>
      </c>
      <c r="B13" s="1" t="s">
        <v>87</v>
      </c>
      <c r="C13" s="1" t="s">
        <v>108</v>
      </c>
      <c r="D13" s="33">
        <v>119</v>
      </c>
      <c r="E13" s="33">
        <v>51</v>
      </c>
      <c r="F13" s="33">
        <v>130</v>
      </c>
      <c r="G13" s="33">
        <v>54</v>
      </c>
      <c r="H13" s="33">
        <v>132</v>
      </c>
      <c r="I13" s="33">
        <v>22</v>
      </c>
      <c r="J13" s="33">
        <v>92</v>
      </c>
      <c r="K13" s="33">
        <v>48</v>
      </c>
      <c r="L13" s="33">
        <v>98</v>
      </c>
      <c r="M13" s="33">
        <v>20</v>
      </c>
      <c r="N13" s="33">
        <v>81</v>
      </c>
      <c r="O13" s="33">
        <v>66</v>
      </c>
      <c r="P13" s="1">
        <v>652</v>
      </c>
      <c r="Q13" s="1">
        <v>8</v>
      </c>
      <c r="R13" s="1">
        <v>12</v>
      </c>
    </row>
    <row r="14" spans="1:18">
      <c r="A14" s="33" t="s">
        <v>109</v>
      </c>
      <c r="B14" s="1" t="s">
        <v>111</v>
      </c>
      <c r="C14" s="1" t="s">
        <v>110</v>
      </c>
      <c r="D14" s="33">
        <v>112</v>
      </c>
      <c r="E14" s="33">
        <v>226</v>
      </c>
      <c r="F14" s="33">
        <v>144</v>
      </c>
      <c r="G14" s="33">
        <v>5</v>
      </c>
      <c r="H14" s="33">
        <v>126</v>
      </c>
      <c r="I14" s="33">
        <v>82</v>
      </c>
      <c r="J14" s="33">
        <v>93</v>
      </c>
      <c r="K14" s="33">
        <v>39</v>
      </c>
      <c r="L14" s="33">
        <v>92</v>
      </c>
      <c r="M14" s="33">
        <v>116</v>
      </c>
      <c r="N14" s="33">
        <v>83</v>
      </c>
      <c r="O14" s="33">
        <v>30</v>
      </c>
      <c r="P14" s="1">
        <v>650</v>
      </c>
      <c r="Q14" s="1">
        <v>1</v>
      </c>
      <c r="R14" s="1">
        <v>13</v>
      </c>
    </row>
    <row r="15" spans="1:18">
      <c r="A15" s="33" t="s">
        <v>112</v>
      </c>
      <c r="B15" s="1" t="s">
        <v>97</v>
      </c>
      <c r="C15" s="1" t="s">
        <v>113</v>
      </c>
      <c r="D15" s="33">
        <v>119</v>
      </c>
      <c r="E15" s="33">
        <v>51</v>
      </c>
      <c r="F15" s="33">
        <v>131</v>
      </c>
      <c r="G15" s="33">
        <v>48</v>
      </c>
      <c r="H15" s="33">
        <v>123.5</v>
      </c>
      <c r="I15" s="33">
        <v>124</v>
      </c>
      <c r="J15" s="33">
        <v>97</v>
      </c>
      <c r="K15" s="33">
        <v>21</v>
      </c>
      <c r="L15" s="33">
        <v>94</v>
      </c>
      <c r="M15" s="33">
        <v>78</v>
      </c>
      <c r="N15" s="33">
        <v>83</v>
      </c>
      <c r="O15" s="33">
        <v>30</v>
      </c>
      <c r="P15" s="1">
        <v>647.5</v>
      </c>
      <c r="Q15" s="1">
        <v>2</v>
      </c>
      <c r="R15" s="1">
        <v>14</v>
      </c>
    </row>
    <row r="16" spans="1:18">
      <c r="A16" s="33" t="s">
        <v>116</v>
      </c>
      <c r="B16" s="1" t="s">
        <v>87</v>
      </c>
      <c r="C16" s="1" t="s">
        <v>117</v>
      </c>
      <c r="D16" s="33">
        <v>118</v>
      </c>
      <c r="E16" s="33">
        <v>69</v>
      </c>
      <c r="F16" s="33">
        <v>131</v>
      </c>
      <c r="G16" s="33">
        <v>48</v>
      </c>
      <c r="H16" s="33">
        <v>131</v>
      </c>
      <c r="I16" s="33">
        <v>27</v>
      </c>
      <c r="J16" s="33">
        <v>93</v>
      </c>
      <c r="K16" s="33">
        <v>39</v>
      </c>
      <c r="L16" s="33">
        <v>87</v>
      </c>
      <c r="M16" s="33">
        <v>268</v>
      </c>
      <c r="N16" s="33">
        <v>87</v>
      </c>
      <c r="O16" s="33">
        <v>2</v>
      </c>
      <c r="P16" s="1">
        <v>647</v>
      </c>
      <c r="Q16" s="1">
        <v>9</v>
      </c>
      <c r="R16" s="1">
        <v>15</v>
      </c>
    </row>
    <row r="17" spans="1:18">
      <c r="A17" s="33" t="s">
        <v>114</v>
      </c>
      <c r="B17" s="1" t="s">
        <v>87</v>
      </c>
      <c r="C17" s="1" t="s">
        <v>115</v>
      </c>
      <c r="D17" s="33">
        <v>122</v>
      </c>
      <c r="E17" s="33">
        <v>25</v>
      </c>
      <c r="F17" s="33">
        <v>124</v>
      </c>
      <c r="G17" s="33">
        <v>101</v>
      </c>
      <c r="H17" s="33">
        <v>135</v>
      </c>
      <c r="I17" s="33">
        <v>8</v>
      </c>
      <c r="J17" s="33">
        <v>90</v>
      </c>
      <c r="K17" s="33">
        <v>63</v>
      </c>
      <c r="L17" s="33">
        <v>100</v>
      </c>
      <c r="M17" s="33">
        <v>1</v>
      </c>
      <c r="N17" s="33">
        <v>76</v>
      </c>
      <c r="O17" s="33">
        <v>194</v>
      </c>
      <c r="P17" s="1">
        <v>647</v>
      </c>
      <c r="Q17" s="1">
        <v>9</v>
      </c>
      <c r="R17" s="1">
        <v>15</v>
      </c>
    </row>
    <row r="18" spans="1:18">
      <c r="A18" s="33" t="s">
        <v>120</v>
      </c>
      <c r="B18" s="1" t="s">
        <v>122</v>
      </c>
      <c r="C18" s="1" t="s">
        <v>121</v>
      </c>
      <c r="D18" s="33">
        <v>116</v>
      </c>
      <c r="E18" s="33">
        <v>117</v>
      </c>
      <c r="F18" s="33">
        <v>143</v>
      </c>
      <c r="G18" s="33">
        <v>8</v>
      </c>
      <c r="H18" s="33">
        <v>125.5</v>
      </c>
      <c r="I18" s="33">
        <v>87</v>
      </c>
      <c r="J18" s="33">
        <v>97</v>
      </c>
      <c r="K18" s="33">
        <v>21</v>
      </c>
      <c r="L18" s="33">
        <v>93</v>
      </c>
      <c r="M18" s="33">
        <v>93</v>
      </c>
      <c r="N18" s="33">
        <v>72</v>
      </c>
      <c r="O18" s="33">
        <v>312</v>
      </c>
      <c r="P18" s="1">
        <v>646.5</v>
      </c>
      <c r="Q18" s="1">
        <v>1</v>
      </c>
      <c r="R18" s="1">
        <v>17</v>
      </c>
    </row>
    <row r="19" spans="1:18">
      <c r="A19" s="33" t="s">
        <v>123</v>
      </c>
      <c r="B19" s="1" t="s">
        <v>87</v>
      </c>
      <c r="C19" s="1" t="s">
        <v>124</v>
      </c>
      <c r="D19" s="33">
        <v>124</v>
      </c>
      <c r="E19" s="33">
        <v>17</v>
      </c>
      <c r="F19" s="33">
        <v>122</v>
      </c>
      <c r="G19" s="33">
        <v>116</v>
      </c>
      <c r="H19" s="33">
        <v>137</v>
      </c>
      <c r="I19" s="33">
        <v>5</v>
      </c>
      <c r="J19" s="33">
        <v>80</v>
      </c>
      <c r="K19" s="33">
        <v>211</v>
      </c>
      <c r="L19" s="33">
        <v>98</v>
      </c>
      <c r="M19" s="33">
        <v>20</v>
      </c>
      <c r="N19" s="33">
        <v>85</v>
      </c>
      <c r="O19" s="33">
        <v>14</v>
      </c>
      <c r="P19" s="1">
        <v>646</v>
      </c>
      <c r="Q19" s="1">
        <v>11</v>
      </c>
      <c r="R19" s="1">
        <v>18</v>
      </c>
    </row>
    <row r="20" spans="1:18">
      <c r="A20" s="33" t="s">
        <v>125</v>
      </c>
      <c r="B20" s="1" t="s">
        <v>122</v>
      </c>
      <c r="C20" s="1" t="s">
        <v>126</v>
      </c>
      <c r="D20" s="33">
        <v>127</v>
      </c>
      <c r="E20" s="33">
        <v>4</v>
      </c>
      <c r="F20" s="33">
        <v>115</v>
      </c>
      <c r="G20" s="33">
        <v>196</v>
      </c>
      <c r="H20" s="33">
        <v>141</v>
      </c>
      <c r="I20" s="33">
        <v>1</v>
      </c>
      <c r="J20" s="33">
        <v>91</v>
      </c>
      <c r="K20" s="33">
        <v>56</v>
      </c>
      <c r="L20" s="33">
        <v>89</v>
      </c>
      <c r="M20" s="33">
        <v>200</v>
      </c>
      <c r="N20" s="33">
        <v>82</v>
      </c>
      <c r="O20" s="33">
        <v>46</v>
      </c>
      <c r="P20" s="1">
        <v>645</v>
      </c>
      <c r="Q20" s="1">
        <v>2</v>
      </c>
      <c r="R20" s="1">
        <v>19</v>
      </c>
    </row>
    <row r="21" spans="1:18">
      <c r="A21" s="33" t="s">
        <v>127</v>
      </c>
      <c r="B21" s="1" t="s">
        <v>87</v>
      </c>
      <c r="C21" s="1" t="s">
        <v>128</v>
      </c>
      <c r="D21" s="33">
        <v>125</v>
      </c>
      <c r="E21" s="33">
        <v>12</v>
      </c>
      <c r="F21" s="33">
        <v>130</v>
      </c>
      <c r="G21" s="33">
        <v>54</v>
      </c>
      <c r="H21" s="33">
        <v>125.5</v>
      </c>
      <c r="I21" s="33">
        <v>87</v>
      </c>
      <c r="J21" s="33">
        <v>91</v>
      </c>
      <c r="K21" s="33">
        <v>56</v>
      </c>
      <c r="L21" s="33">
        <v>94</v>
      </c>
      <c r="M21" s="33">
        <v>78</v>
      </c>
      <c r="N21" s="33">
        <v>79</v>
      </c>
      <c r="O21" s="33">
        <v>103</v>
      </c>
      <c r="P21" s="1">
        <v>644.5</v>
      </c>
      <c r="Q21" s="1">
        <v>12</v>
      </c>
      <c r="R21" s="1">
        <v>20</v>
      </c>
    </row>
    <row r="22" spans="1:18">
      <c r="A22" s="33" t="s">
        <v>129</v>
      </c>
      <c r="B22" s="1" t="s">
        <v>87</v>
      </c>
      <c r="C22" s="1" t="s">
        <v>130</v>
      </c>
      <c r="D22" s="33">
        <v>116</v>
      </c>
      <c r="E22" s="33">
        <v>117</v>
      </c>
      <c r="F22" s="33">
        <v>129</v>
      </c>
      <c r="G22" s="33">
        <v>63</v>
      </c>
      <c r="H22" s="33">
        <v>124.5</v>
      </c>
      <c r="I22" s="33">
        <v>103</v>
      </c>
      <c r="J22" s="33">
        <v>104</v>
      </c>
      <c r="K22" s="33">
        <v>3</v>
      </c>
      <c r="L22" s="33">
        <v>95</v>
      </c>
      <c r="M22" s="33">
        <v>60</v>
      </c>
      <c r="N22" s="33">
        <v>74</v>
      </c>
      <c r="O22" s="33">
        <v>247</v>
      </c>
      <c r="P22" s="1">
        <v>642.5</v>
      </c>
      <c r="Q22" s="1">
        <v>13</v>
      </c>
      <c r="R22" s="1">
        <v>21</v>
      </c>
    </row>
    <row r="23" spans="1:18">
      <c r="A23" s="33" t="s">
        <v>131</v>
      </c>
      <c r="B23" s="1" t="s">
        <v>133</v>
      </c>
      <c r="C23" s="1" t="s">
        <v>132</v>
      </c>
      <c r="D23" s="33">
        <v>112</v>
      </c>
      <c r="E23" s="33">
        <v>226</v>
      </c>
      <c r="F23" s="33">
        <v>133</v>
      </c>
      <c r="G23" s="33">
        <v>41</v>
      </c>
      <c r="H23" s="33">
        <v>121</v>
      </c>
      <c r="I23" s="33">
        <v>173</v>
      </c>
      <c r="J23" s="33">
        <v>96</v>
      </c>
      <c r="K23" s="33">
        <v>25</v>
      </c>
      <c r="L23" s="33">
        <v>94</v>
      </c>
      <c r="M23" s="33">
        <v>78</v>
      </c>
      <c r="N23" s="33">
        <v>86</v>
      </c>
      <c r="O23" s="33">
        <v>7</v>
      </c>
      <c r="P23" s="1">
        <v>642</v>
      </c>
      <c r="Q23" s="1">
        <v>1</v>
      </c>
      <c r="R23" s="1">
        <v>22</v>
      </c>
    </row>
    <row r="24" spans="1:18">
      <c r="A24" s="33" t="s">
        <v>134</v>
      </c>
      <c r="B24" s="1" t="s">
        <v>87</v>
      </c>
      <c r="C24" s="1" t="s">
        <v>135</v>
      </c>
      <c r="D24" s="33">
        <v>125</v>
      </c>
      <c r="E24" s="33">
        <v>12</v>
      </c>
      <c r="F24" s="33">
        <v>121</v>
      </c>
      <c r="G24" s="33">
        <v>131</v>
      </c>
      <c r="H24" s="33">
        <v>129.5</v>
      </c>
      <c r="I24" s="33">
        <v>48</v>
      </c>
      <c r="J24" s="33">
        <v>101</v>
      </c>
      <c r="K24" s="33">
        <v>12</v>
      </c>
      <c r="L24" s="33">
        <v>93</v>
      </c>
      <c r="M24" s="33">
        <v>93</v>
      </c>
      <c r="N24" s="33">
        <v>72</v>
      </c>
      <c r="O24" s="33">
        <v>312</v>
      </c>
      <c r="P24" s="1">
        <v>641.5</v>
      </c>
      <c r="Q24" s="1">
        <v>14</v>
      </c>
      <c r="R24" s="1">
        <v>23</v>
      </c>
    </row>
    <row r="25" spans="1:18">
      <c r="A25" s="33" t="s">
        <v>136</v>
      </c>
      <c r="B25" s="1" t="s">
        <v>87</v>
      </c>
      <c r="C25" s="1" t="s">
        <v>137</v>
      </c>
      <c r="D25" s="33">
        <v>114</v>
      </c>
      <c r="E25" s="33">
        <v>170</v>
      </c>
      <c r="F25" s="33">
        <v>128</v>
      </c>
      <c r="G25" s="33">
        <v>70</v>
      </c>
      <c r="H25" s="33">
        <v>133.5</v>
      </c>
      <c r="I25" s="33">
        <v>13</v>
      </c>
      <c r="J25" s="33">
        <v>83</v>
      </c>
      <c r="K25" s="33">
        <v>153</v>
      </c>
      <c r="L25" s="33">
        <v>100</v>
      </c>
      <c r="M25" s="33">
        <v>1</v>
      </c>
      <c r="N25" s="33">
        <v>82</v>
      </c>
      <c r="O25" s="33">
        <v>46</v>
      </c>
      <c r="P25" s="1">
        <v>640.5</v>
      </c>
      <c r="Q25" s="1">
        <v>15</v>
      </c>
      <c r="R25" s="1">
        <v>24</v>
      </c>
    </row>
    <row r="26" spans="1:18">
      <c r="A26" s="33" t="s">
        <v>138</v>
      </c>
      <c r="B26" s="1" t="s">
        <v>87</v>
      </c>
      <c r="C26" s="1" t="s">
        <v>139</v>
      </c>
      <c r="D26" s="33">
        <v>112</v>
      </c>
      <c r="E26" s="33">
        <v>226</v>
      </c>
      <c r="F26" s="33">
        <v>139</v>
      </c>
      <c r="G26" s="33">
        <v>22</v>
      </c>
      <c r="H26" s="33">
        <v>123</v>
      </c>
      <c r="I26" s="33">
        <v>132</v>
      </c>
      <c r="J26" s="33">
        <v>91</v>
      </c>
      <c r="K26" s="33">
        <v>56</v>
      </c>
      <c r="L26" s="33">
        <v>95</v>
      </c>
      <c r="M26" s="33">
        <v>60</v>
      </c>
      <c r="N26" s="33">
        <v>78</v>
      </c>
      <c r="O26" s="33">
        <v>133</v>
      </c>
      <c r="P26" s="1">
        <v>638</v>
      </c>
      <c r="Q26" s="1">
        <v>16</v>
      </c>
      <c r="R26" s="1">
        <v>25</v>
      </c>
    </row>
    <row r="27" spans="1:18">
      <c r="A27" s="33" t="s">
        <v>140</v>
      </c>
      <c r="B27" s="1" t="s">
        <v>87</v>
      </c>
      <c r="C27" s="1" t="s">
        <v>141</v>
      </c>
      <c r="D27" s="33">
        <v>116</v>
      </c>
      <c r="E27" s="33">
        <v>117</v>
      </c>
      <c r="F27" s="33">
        <v>125</v>
      </c>
      <c r="G27" s="33">
        <v>94</v>
      </c>
      <c r="H27" s="33">
        <v>120.5</v>
      </c>
      <c r="I27" s="33">
        <v>192</v>
      </c>
      <c r="J27" s="33">
        <v>98</v>
      </c>
      <c r="K27" s="33">
        <v>18</v>
      </c>
      <c r="L27" s="33">
        <v>97</v>
      </c>
      <c r="M27" s="33">
        <v>30</v>
      </c>
      <c r="N27" s="33">
        <v>81</v>
      </c>
      <c r="O27" s="33">
        <v>66</v>
      </c>
      <c r="P27" s="1">
        <v>637.5</v>
      </c>
      <c r="Q27" s="1">
        <v>17</v>
      </c>
      <c r="R27" s="1">
        <v>26</v>
      </c>
    </row>
    <row r="28" spans="1:18">
      <c r="A28" s="33" t="s">
        <v>142</v>
      </c>
      <c r="B28" s="1" t="s">
        <v>97</v>
      </c>
      <c r="C28" s="1" t="s">
        <v>143</v>
      </c>
      <c r="D28" s="33">
        <v>118</v>
      </c>
      <c r="E28" s="33">
        <v>69</v>
      </c>
      <c r="F28" s="33">
        <v>138</v>
      </c>
      <c r="G28" s="33">
        <v>25</v>
      </c>
      <c r="H28" s="33">
        <v>113.5</v>
      </c>
      <c r="I28" s="33">
        <v>374</v>
      </c>
      <c r="J28" s="33">
        <v>89</v>
      </c>
      <c r="K28" s="33">
        <v>79</v>
      </c>
      <c r="L28" s="33">
        <v>91</v>
      </c>
      <c r="M28" s="33">
        <v>151</v>
      </c>
      <c r="N28" s="33">
        <v>87</v>
      </c>
      <c r="O28" s="33">
        <v>2</v>
      </c>
      <c r="P28" s="1">
        <v>636.5</v>
      </c>
      <c r="Q28" s="1">
        <v>3</v>
      </c>
      <c r="R28" s="1">
        <v>27</v>
      </c>
    </row>
    <row r="29" spans="1:18">
      <c r="A29" s="33" t="s">
        <v>144</v>
      </c>
      <c r="B29" s="1" t="s">
        <v>87</v>
      </c>
      <c r="C29" s="1" t="s">
        <v>145</v>
      </c>
      <c r="D29" s="33">
        <v>105</v>
      </c>
      <c r="E29" s="33">
        <v>515</v>
      </c>
      <c r="F29" s="33">
        <v>133</v>
      </c>
      <c r="G29" s="33">
        <v>41</v>
      </c>
      <c r="H29" s="33">
        <v>120</v>
      </c>
      <c r="I29" s="33">
        <v>211</v>
      </c>
      <c r="J29" s="33">
        <v>99</v>
      </c>
      <c r="K29" s="33">
        <v>16</v>
      </c>
      <c r="L29" s="33">
        <v>96</v>
      </c>
      <c r="M29" s="33">
        <v>45</v>
      </c>
      <c r="N29" s="33">
        <v>83</v>
      </c>
      <c r="O29" s="33">
        <v>30</v>
      </c>
      <c r="P29" s="1">
        <v>636</v>
      </c>
      <c r="Q29" s="1">
        <v>18</v>
      </c>
      <c r="R29" s="1">
        <v>28</v>
      </c>
    </row>
    <row r="30" spans="1:18">
      <c r="A30" s="33" t="s">
        <v>148</v>
      </c>
      <c r="B30" s="1" t="s">
        <v>150</v>
      </c>
      <c r="C30" s="1" t="s">
        <v>149</v>
      </c>
      <c r="D30" s="33">
        <v>104</v>
      </c>
      <c r="E30" s="33">
        <v>573</v>
      </c>
      <c r="F30" s="33">
        <v>136</v>
      </c>
      <c r="G30" s="33">
        <v>31</v>
      </c>
      <c r="H30" s="33">
        <v>117</v>
      </c>
      <c r="I30" s="33">
        <v>291</v>
      </c>
      <c r="J30" s="33">
        <v>95</v>
      </c>
      <c r="K30" s="33">
        <v>31</v>
      </c>
      <c r="L30" s="33">
        <v>98</v>
      </c>
      <c r="M30" s="33">
        <v>20</v>
      </c>
      <c r="N30" s="33">
        <v>84</v>
      </c>
      <c r="O30" s="33">
        <v>21</v>
      </c>
      <c r="P30" s="1">
        <v>634</v>
      </c>
      <c r="Q30" s="1">
        <v>1</v>
      </c>
      <c r="R30" s="1">
        <v>29</v>
      </c>
    </row>
    <row r="31" spans="1:18">
      <c r="A31" s="33" t="s">
        <v>146</v>
      </c>
      <c r="B31" s="1" t="s">
        <v>87</v>
      </c>
      <c r="C31" s="1" t="s">
        <v>147</v>
      </c>
      <c r="D31" s="33">
        <v>115</v>
      </c>
      <c r="E31" s="33">
        <v>140</v>
      </c>
      <c r="F31" s="33">
        <v>133</v>
      </c>
      <c r="G31" s="33">
        <v>41</v>
      </c>
      <c r="H31" s="33">
        <v>130</v>
      </c>
      <c r="I31" s="33">
        <v>34</v>
      </c>
      <c r="J31" s="33">
        <v>90</v>
      </c>
      <c r="K31" s="33">
        <v>63</v>
      </c>
      <c r="L31" s="33">
        <v>97</v>
      </c>
      <c r="M31" s="33">
        <v>30</v>
      </c>
      <c r="N31" s="33">
        <v>69</v>
      </c>
      <c r="O31" s="33">
        <v>420</v>
      </c>
      <c r="P31" s="1">
        <v>634</v>
      </c>
      <c r="Q31" s="1">
        <v>19</v>
      </c>
      <c r="R31" s="1">
        <v>29</v>
      </c>
    </row>
    <row r="32" spans="1:18">
      <c r="A32" s="33" t="s">
        <v>151</v>
      </c>
      <c r="B32" s="1" t="s">
        <v>84</v>
      </c>
      <c r="C32" s="1" t="s">
        <v>152</v>
      </c>
      <c r="D32" s="33">
        <v>112</v>
      </c>
      <c r="E32" s="33">
        <v>226</v>
      </c>
      <c r="F32" s="33">
        <v>141</v>
      </c>
      <c r="G32" s="33">
        <v>12</v>
      </c>
      <c r="H32" s="33">
        <v>111.5</v>
      </c>
      <c r="I32" s="33">
        <v>427</v>
      </c>
      <c r="J32" s="33">
        <v>86</v>
      </c>
      <c r="K32" s="33">
        <v>101</v>
      </c>
      <c r="L32" s="33">
        <v>94</v>
      </c>
      <c r="M32" s="33">
        <v>78</v>
      </c>
      <c r="N32" s="33">
        <v>88</v>
      </c>
      <c r="O32" s="33">
        <v>1</v>
      </c>
      <c r="P32" s="1">
        <v>632.5</v>
      </c>
      <c r="Q32" s="1">
        <v>2</v>
      </c>
      <c r="R32" s="1">
        <v>31</v>
      </c>
    </row>
    <row r="33" spans="1:18">
      <c r="A33" s="33" t="s">
        <v>153</v>
      </c>
      <c r="B33" s="1" t="s">
        <v>106</v>
      </c>
      <c r="C33" s="1" t="s">
        <v>154</v>
      </c>
      <c r="D33" s="33">
        <v>119</v>
      </c>
      <c r="E33" s="33">
        <v>51</v>
      </c>
      <c r="F33" s="33">
        <v>126</v>
      </c>
      <c r="G33" s="33">
        <v>86</v>
      </c>
      <c r="H33" s="33">
        <v>124.5</v>
      </c>
      <c r="I33" s="33">
        <v>103</v>
      </c>
      <c r="J33" s="33">
        <v>83</v>
      </c>
      <c r="K33" s="33">
        <v>153</v>
      </c>
      <c r="L33" s="33">
        <v>95</v>
      </c>
      <c r="M33" s="33">
        <v>60</v>
      </c>
      <c r="N33" s="33">
        <v>83</v>
      </c>
      <c r="O33" s="33">
        <v>30</v>
      </c>
      <c r="P33" s="1">
        <v>630.5</v>
      </c>
      <c r="Q33" s="1">
        <v>2</v>
      </c>
      <c r="R33" s="1">
        <v>32</v>
      </c>
    </row>
    <row r="34" spans="1:18">
      <c r="A34" s="33" t="s">
        <v>155</v>
      </c>
      <c r="B34" s="1" t="s">
        <v>87</v>
      </c>
      <c r="C34" s="1" t="s">
        <v>156</v>
      </c>
      <c r="D34" s="33">
        <v>110</v>
      </c>
      <c r="E34" s="33">
        <v>310</v>
      </c>
      <c r="F34" s="33">
        <v>130</v>
      </c>
      <c r="G34" s="33">
        <v>54</v>
      </c>
      <c r="H34" s="33">
        <v>131.5</v>
      </c>
      <c r="I34" s="33">
        <v>25</v>
      </c>
      <c r="J34" s="33">
        <v>84</v>
      </c>
      <c r="K34" s="33">
        <v>131</v>
      </c>
      <c r="L34" s="33">
        <v>89</v>
      </c>
      <c r="M34" s="33">
        <v>200</v>
      </c>
      <c r="N34" s="33">
        <v>85</v>
      </c>
      <c r="O34" s="33">
        <v>14</v>
      </c>
      <c r="P34" s="1">
        <v>629.5</v>
      </c>
      <c r="Q34" s="1">
        <v>20</v>
      </c>
      <c r="R34" s="1">
        <v>33</v>
      </c>
    </row>
    <row r="35" spans="1:18">
      <c r="A35" s="33" t="s">
        <v>159</v>
      </c>
      <c r="B35" s="1" t="s">
        <v>92</v>
      </c>
      <c r="C35" s="1" t="s">
        <v>160</v>
      </c>
      <c r="D35" s="33">
        <v>105</v>
      </c>
      <c r="E35" s="33">
        <v>515</v>
      </c>
      <c r="F35" s="33">
        <v>147</v>
      </c>
      <c r="G35" s="33">
        <v>2</v>
      </c>
      <c r="H35" s="33">
        <v>124.5</v>
      </c>
      <c r="I35" s="33">
        <v>103</v>
      </c>
      <c r="J35" s="33">
        <v>93</v>
      </c>
      <c r="K35" s="33">
        <v>39</v>
      </c>
      <c r="L35" s="33">
        <v>84</v>
      </c>
      <c r="M35" s="33">
        <v>379</v>
      </c>
      <c r="N35" s="33">
        <v>75</v>
      </c>
      <c r="O35" s="33">
        <v>219</v>
      </c>
      <c r="P35" s="1">
        <v>628.5</v>
      </c>
      <c r="Q35" s="1">
        <v>2</v>
      </c>
      <c r="R35" s="1">
        <v>34</v>
      </c>
    </row>
    <row r="36" spans="1:18">
      <c r="A36" s="33" t="s">
        <v>157</v>
      </c>
      <c r="B36" s="1" t="s">
        <v>122</v>
      </c>
      <c r="C36" s="1" t="s">
        <v>158</v>
      </c>
      <c r="D36" s="33">
        <v>109</v>
      </c>
      <c r="E36" s="33">
        <v>353</v>
      </c>
      <c r="F36" s="33">
        <v>134</v>
      </c>
      <c r="G36" s="33">
        <v>35</v>
      </c>
      <c r="H36" s="33">
        <v>122.5</v>
      </c>
      <c r="I36" s="33">
        <v>146</v>
      </c>
      <c r="J36" s="33">
        <v>89</v>
      </c>
      <c r="K36" s="33">
        <v>79</v>
      </c>
      <c r="L36" s="33">
        <v>96</v>
      </c>
      <c r="M36" s="33">
        <v>45</v>
      </c>
      <c r="N36" s="33">
        <v>78</v>
      </c>
      <c r="O36" s="33">
        <v>133</v>
      </c>
      <c r="P36" s="1">
        <v>628.5</v>
      </c>
      <c r="Q36" s="1">
        <v>3</v>
      </c>
      <c r="R36" s="1">
        <v>34</v>
      </c>
    </row>
    <row r="37" spans="1:18">
      <c r="A37" s="33" t="s">
        <v>161</v>
      </c>
      <c r="B37" s="1" t="s">
        <v>87</v>
      </c>
      <c r="C37" s="1" t="s">
        <v>162</v>
      </c>
      <c r="D37" s="33">
        <v>107</v>
      </c>
      <c r="E37" s="33">
        <v>429</v>
      </c>
      <c r="F37" s="33">
        <v>139</v>
      </c>
      <c r="G37" s="33">
        <v>22</v>
      </c>
      <c r="H37" s="33">
        <v>116</v>
      </c>
      <c r="I37" s="33">
        <v>309</v>
      </c>
      <c r="J37" s="33">
        <v>93</v>
      </c>
      <c r="K37" s="33">
        <v>39</v>
      </c>
      <c r="L37" s="33">
        <v>95</v>
      </c>
      <c r="M37" s="33">
        <v>60</v>
      </c>
      <c r="N37" s="33">
        <v>78</v>
      </c>
      <c r="O37" s="33">
        <v>133</v>
      </c>
      <c r="P37" s="1">
        <v>628</v>
      </c>
      <c r="Q37" s="1">
        <v>21</v>
      </c>
      <c r="R37" s="1">
        <v>36</v>
      </c>
    </row>
    <row r="38" spans="1:18">
      <c r="A38" s="33" t="s">
        <v>163</v>
      </c>
      <c r="B38" s="1" t="s">
        <v>87</v>
      </c>
      <c r="C38" s="1" t="s">
        <v>164</v>
      </c>
      <c r="D38" s="33">
        <v>119</v>
      </c>
      <c r="E38" s="33">
        <v>51</v>
      </c>
      <c r="F38" s="33">
        <v>121</v>
      </c>
      <c r="G38" s="33">
        <v>131</v>
      </c>
      <c r="H38" s="33">
        <v>125.5</v>
      </c>
      <c r="I38" s="33">
        <v>87</v>
      </c>
      <c r="J38" s="33">
        <v>81</v>
      </c>
      <c r="K38" s="33">
        <v>195</v>
      </c>
      <c r="L38" s="33">
        <v>100</v>
      </c>
      <c r="M38" s="33">
        <v>1</v>
      </c>
      <c r="N38" s="33">
        <v>81</v>
      </c>
      <c r="O38" s="33">
        <v>66</v>
      </c>
      <c r="P38" s="1">
        <v>627.5</v>
      </c>
      <c r="Q38" s="1">
        <v>22</v>
      </c>
      <c r="R38" s="1">
        <v>37</v>
      </c>
    </row>
    <row r="39" spans="1:18">
      <c r="A39" s="33" t="s">
        <v>167</v>
      </c>
      <c r="B39" s="1" t="s">
        <v>169</v>
      </c>
      <c r="C39" s="1" t="s">
        <v>168</v>
      </c>
      <c r="D39" s="33">
        <v>115</v>
      </c>
      <c r="E39" s="33">
        <v>140</v>
      </c>
      <c r="F39" s="33">
        <v>140</v>
      </c>
      <c r="G39" s="33">
        <v>16</v>
      </c>
      <c r="H39" s="33">
        <v>118</v>
      </c>
      <c r="I39" s="33">
        <v>263</v>
      </c>
      <c r="J39" s="33">
        <v>84</v>
      </c>
      <c r="K39" s="33">
        <v>131</v>
      </c>
      <c r="L39" s="33">
        <v>95</v>
      </c>
      <c r="M39" s="33">
        <v>60</v>
      </c>
      <c r="N39" s="33">
        <v>75</v>
      </c>
      <c r="O39" s="33">
        <v>219</v>
      </c>
      <c r="P39" s="1">
        <v>627</v>
      </c>
      <c r="Q39" s="1">
        <v>1</v>
      </c>
      <c r="R39" s="1">
        <v>38</v>
      </c>
    </row>
    <row r="40" spans="1:18">
      <c r="A40" s="33" t="s">
        <v>165</v>
      </c>
      <c r="B40" s="1" t="s">
        <v>84</v>
      </c>
      <c r="C40" s="1" t="s">
        <v>166</v>
      </c>
      <c r="D40" s="33">
        <v>127</v>
      </c>
      <c r="E40" s="33">
        <v>4</v>
      </c>
      <c r="F40" s="33">
        <v>128</v>
      </c>
      <c r="G40" s="33">
        <v>70</v>
      </c>
      <c r="H40" s="33">
        <v>119</v>
      </c>
      <c r="I40" s="33">
        <v>237</v>
      </c>
      <c r="J40" s="33">
        <v>76</v>
      </c>
      <c r="K40" s="33">
        <v>302</v>
      </c>
      <c r="L40" s="33">
        <v>95</v>
      </c>
      <c r="M40" s="33">
        <v>60</v>
      </c>
      <c r="N40" s="33">
        <v>82</v>
      </c>
      <c r="O40" s="33">
        <v>46</v>
      </c>
      <c r="P40" s="1">
        <v>627</v>
      </c>
      <c r="Q40" s="1">
        <v>3</v>
      </c>
      <c r="R40" s="1">
        <v>38</v>
      </c>
    </row>
    <row r="41" spans="1:18">
      <c r="A41" s="33" t="s">
        <v>170</v>
      </c>
      <c r="B41" s="1" t="s">
        <v>172</v>
      </c>
      <c r="C41" s="1" t="s">
        <v>171</v>
      </c>
      <c r="D41" s="33">
        <v>116</v>
      </c>
      <c r="E41" s="33">
        <v>117</v>
      </c>
      <c r="F41" s="33">
        <v>131</v>
      </c>
      <c r="G41" s="33">
        <v>48</v>
      </c>
      <c r="H41" s="33">
        <v>121.5</v>
      </c>
      <c r="I41" s="33">
        <v>160</v>
      </c>
      <c r="J41" s="33">
        <v>90</v>
      </c>
      <c r="K41" s="33">
        <v>63</v>
      </c>
      <c r="L41" s="33">
        <v>94</v>
      </c>
      <c r="M41" s="33">
        <v>78</v>
      </c>
      <c r="N41" s="33">
        <v>74</v>
      </c>
      <c r="O41" s="33">
        <v>247</v>
      </c>
      <c r="P41" s="1">
        <v>626.5</v>
      </c>
      <c r="Q41" s="1">
        <v>1</v>
      </c>
      <c r="R41" s="1">
        <v>40</v>
      </c>
    </row>
    <row r="42" spans="1:18">
      <c r="A42" s="33" t="s">
        <v>177</v>
      </c>
      <c r="B42" s="1" t="s">
        <v>87</v>
      </c>
      <c r="C42" s="1" t="s">
        <v>178</v>
      </c>
      <c r="D42" s="33">
        <v>121</v>
      </c>
      <c r="E42" s="33">
        <v>30</v>
      </c>
      <c r="F42" s="33">
        <v>137</v>
      </c>
      <c r="G42" s="33">
        <v>28</v>
      </c>
      <c r="H42" s="33">
        <v>114</v>
      </c>
      <c r="I42" s="33">
        <v>356</v>
      </c>
      <c r="J42" s="33">
        <v>91</v>
      </c>
      <c r="K42" s="33">
        <v>56</v>
      </c>
      <c r="L42" s="33">
        <v>99</v>
      </c>
      <c r="M42" s="33">
        <v>13</v>
      </c>
      <c r="N42" s="33">
        <v>64</v>
      </c>
      <c r="O42" s="33">
        <v>593</v>
      </c>
      <c r="P42" s="1">
        <v>626</v>
      </c>
      <c r="Q42" s="1">
        <v>23</v>
      </c>
      <c r="R42" s="1">
        <v>41</v>
      </c>
    </row>
    <row r="43" spans="1:18">
      <c r="A43" s="33" t="s">
        <v>175</v>
      </c>
      <c r="B43" s="1" t="s">
        <v>87</v>
      </c>
      <c r="C43" s="1" t="s">
        <v>176</v>
      </c>
      <c r="D43" s="33">
        <v>121</v>
      </c>
      <c r="E43" s="33">
        <v>30</v>
      </c>
      <c r="F43" s="33">
        <v>129</v>
      </c>
      <c r="G43" s="33">
        <v>63</v>
      </c>
      <c r="H43" s="33">
        <v>128</v>
      </c>
      <c r="I43" s="33">
        <v>58</v>
      </c>
      <c r="J43" s="33">
        <v>75</v>
      </c>
      <c r="K43" s="33">
        <v>324</v>
      </c>
      <c r="L43" s="33">
        <v>98</v>
      </c>
      <c r="M43" s="33">
        <v>20</v>
      </c>
      <c r="N43" s="33">
        <v>75</v>
      </c>
      <c r="O43" s="33">
        <v>219</v>
      </c>
      <c r="P43" s="1">
        <v>626</v>
      </c>
      <c r="Q43" s="1">
        <v>23</v>
      </c>
      <c r="R43" s="1">
        <v>41</v>
      </c>
    </row>
    <row r="44" spans="1:18">
      <c r="A44" s="33" t="s">
        <v>173</v>
      </c>
      <c r="B44" s="1" t="s">
        <v>87</v>
      </c>
      <c r="C44" s="1" t="s">
        <v>174</v>
      </c>
      <c r="D44" s="33">
        <v>112</v>
      </c>
      <c r="E44" s="33">
        <v>226</v>
      </c>
      <c r="F44" s="33">
        <v>122</v>
      </c>
      <c r="G44" s="33">
        <v>116</v>
      </c>
      <c r="H44" s="33">
        <v>123</v>
      </c>
      <c r="I44" s="33">
        <v>132</v>
      </c>
      <c r="J44" s="33">
        <v>84</v>
      </c>
      <c r="K44" s="33">
        <v>131</v>
      </c>
      <c r="L44" s="33">
        <v>98</v>
      </c>
      <c r="M44" s="33">
        <v>20</v>
      </c>
      <c r="N44" s="33">
        <v>87</v>
      </c>
      <c r="O44" s="33">
        <v>2</v>
      </c>
      <c r="P44" s="1">
        <v>626</v>
      </c>
      <c r="Q44" s="1">
        <v>23</v>
      </c>
      <c r="R44" s="1">
        <v>41</v>
      </c>
    </row>
    <row r="45" spans="1:18">
      <c r="A45" s="33" t="s">
        <v>179</v>
      </c>
      <c r="B45" s="1" t="s">
        <v>122</v>
      </c>
      <c r="C45" s="1" t="s">
        <v>180</v>
      </c>
      <c r="D45" s="33">
        <v>117</v>
      </c>
      <c r="E45" s="33">
        <v>86</v>
      </c>
      <c r="F45" s="33">
        <v>141</v>
      </c>
      <c r="G45" s="33">
        <v>12</v>
      </c>
      <c r="H45" s="33">
        <v>107.5</v>
      </c>
      <c r="I45" s="33">
        <v>532</v>
      </c>
      <c r="J45" s="33">
        <v>94</v>
      </c>
      <c r="K45" s="33">
        <v>35</v>
      </c>
      <c r="L45" s="33">
        <v>95</v>
      </c>
      <c r="M45" s="33">
        <v>60</v>
      </c>
      <c r="N45" s="33">
        <v>71</v>
      </c>
      <c r="O45" s="33">
        <v>342</v>
      </c>
      <c r="P45" s="1">
        <v>625.5</v>
      </c>
      <c r="Q45" s="1">
        <v>4</v>
      </c>
      <c r="R45" s="1">
        <v>44</v>
      </c>
    </row>
    <row r="46" spans="1:18">
      <c r="A46" s="33" t="s">
        <v>181</v>
      </c>
      <c r="B46" s="1" t="s">
        <v>122</v>
      </c>
      <c r="C46" s="1" t="s">
        <v>182</v>
      </c>
      <c r="D46" s="33">
        <v>109</v>
      </c>
      <c r="E46" s="33">
        <v>353</v>
      </c>
      <c r="F46" s="33">
        <v>137</v>
      </c>
      <c r="G46" s="33">
        <v>28</v>
      </c>
      <c r="H46" s="33">
        <v>110.5</v>
      </c>
      <c r="I46" s="33">
        <v>465</v>
      </c>
      <c r="J46" s="33">
        <v>86</v>
      </c>
      <c r="K46" s="33">
        <v>101</v>
      </c>
      <c r="L46" s="33">
        <v>99</v>
      </c>
      <c r="M46" s="33">
        <v>13</v>
      </c>
      <c r="N46" s="33">
        <v>83</v>
      </c>
      <c r="O46" s="33">
        <v>30</v>
      </c>
      <c r="P46" s="1">
        <v>624.5</v>
      </c>
      <c r="Q46" s="1">
        <v>5</v>
      </c>
      <c r="R46" s="1">
        <v>45</v>
      </c>
    </row>
    <row r="47" spans="1:18">
      <c r="A47" s="33" t="s">
        <v>185</v>
      </c>
      <c r="B47" s="1" t="s">
        <v>172</v>
      </c>
      <c r="C47" s="1" t="s">
        <v>186</v>
      </c>
      <c r="D47" s="33">
        <v>93</v>
      </c>
      <c r="E47" s="33">
        <v>868</v>
      </c>
      <c r="F47" s="33">
        <v>141</v>
      </c>
      <c r="G47" s="33">
        <v>12</v>
      </c>
      <c r="H47" s="33">
        <v>109.5</v>
      </c>
      <c r="I47" s="33">
        <v>490</v>
      </c>
      <c r="J47" s="33">
        <v>102</v>
      </c>
      <c r="K47" s="33">
        <v>9</v>
      </c>
      <c r="L47" s="33">
        <v>92</v>
      </c>
      <c r="M47" s="33">
        <v>116</v>
      </c>
      <c r="N47" s="33">
        <v>86</v>
      </c>
      <c r="O47" s="33">
        <v>7</v>
      </c>
      <c r="P47" s="1">
        <v>623.5</v>
      </c>
      <c r="Q47" s="1">
        <v>2</v>
      </c>
      <c r="R47" s="1">
        <v>46</v>
      </c>
    </row>
    <row r="48" spans="1:18">
      <c r="A48" s="33" t="s">
        <v>183</v>
      </c>
      <c r="B48" s="1" t="s">
        <v>87</v>
      </c>
      <c r="C48" s="1" t="s">
        <v>184</v>
      </c>
      <c r="D48" s="33">
        <v>112</v>
      </c>
      <c r="E48" s="33">
        <v>226</v>
      </c>
      <c r="F48" s="33">
        <v>110</v>
      </c>
      <c r="G48" s="33">
        <v>265</v>
      </c>
      <c r="H48" s="33">
        <v>128.5</v>
      </c>
      <c r="I48" s="33">
        <v>53</v>
      </c>
      <c r="J48" s="33">
        <v>90</v>
      </c>
      <c r="K48" s="33">
        <v>63</v>
      </c>
      <c r="L48" s="33">
        <v>98</v>
      </c>
      <c r="M48" s="33">
        <v>20</v>
      </c>
      <c r="N48" s="33">
        <v>85</v>
      </c>
      <c r="O48" s="33">
        <v>14</v>
      </c>
      <c r="P48" s="1">
        <v>623.5</v>
      </c>
      <c r="Q48" s="1">
        <v>26</v>
      </c>
      <c r="R48" s="1">
        <v>46</v>
      </c>
    </row>
    <row r="49" spans="1:18">
      <c r="A49" s="33" t="s">
        <v>187</v>
      </c>
      <c r="B49" s="1" t="s">
        <v>169</v>
      </c>
      <c r="C49" s="1" t="s">
        <v>188</v>
      </c>
      <c r="D49" s="33">
        <v>105</v>
      </c>
      <c r="E49" s="33">
        <v>515</v>
      </c>
      <c r="F49" s="33">
        <v>125</v>
      </c>
      <c r="G49" s="33">
        <v>94</v>
      </c>
      <c r="H49" s="33">
        <v>125</v>
      </c>
      <c r="I49" s="33">
        <v>96</v>
      </c>
      <c r="J49" s="33">
        <v>97</v>
      </c>
      <c r="K49" s="33">
        <v>21</v>
      </c>
      <c r="L49" s="33">
        <v>85</v>
      </c>
      <c r="M49" s="33">
        <v>339</v>
      </c>
      <c r="N49" s="33">
        <v>86</v>
      </c>
      <c r="O49" s="33">
        <v>7</v>
      </c>
      <c r="P49" s="1">
        <v>623</v>
      </c>
      <c r="Q49" s="1">
        <v>2</v>
      </c>
      <c r="R49" s="1">
        <v>48</v>
      </c>
    </row>
    <row r="50" spans="1:18">
      <c r="A50" s="33" t="s">
        <v>189</v>
      </c>
      <c r="B50" s="1" t="s">
        <v>169</v>
      </c>
      <c r="C50" s="1" t="s">
        <v>190</v>
      </c>
      <c r="D50" s="33">
        <v>114</v>
      </c>
      <c r="E50" s="33">
        <v>170</v>
      </c>
      <c r="F50" s="33">
        <v>127</v>
      </c>
      <c r="G50" s="33">
        <v>78</v>
      </c>
      <c r="H50" s="33">
        <v>131</v>
      </c>
      <c r="I50" s="33">
        <v>27</v>
      </c>
      <c r="J50" s="33">
        <v>99</v>
      </c>
      <c r="K50" s="33">
        <v>16</v>
      </c>
      <c r="L50" s="33">
        <v>80</v>
      </c>
      <c r="M50" s="33">
        <v>511</v>
      </c>
      <c r="N50" s="33">
        <v>71</v>
      </c>
      <c r="O50" s="33">
        <v>342</v>
      </c>
      <c r="P50" s="1">
        <v>622</v>
      </c>
      <c r="Q50" s="1">
        <v>3</v>
      </c>
      <c r="R50" s="1">
        <v>49</v>
      </c>
    </row>
    <row r="51" spans="1:18">
      <c r="A51" s="33" t="s">
        <v>191</v>
      </c>
      <c r="B51" s="1" t="s">
        <v>150</v>
      </c>
      <c r="C51" s="1" t="s">
        <v>192</v>
      </c>
      <c r="D51" s="33">
        <v>117</v>
      </c>
      <c r="E51" s="33">
        <v>86</v>
      </c>
      <c r="F51" s="33">
        <v>114</v>
      </c>
      <c r="G51" s="33">
        <v>216</v>
      </c>
      <c r="H51" s="33">
        <v>136</v>
      </c>
      <c r="I51" s="33">
        <v>6</v>
      </c>
      <c r="J51" s="33">
        <v>80</v>
      </c>
      <c r="K51" s="33">
        <v>211</v>
      </c>
      <c r="L51" s="33">
        <v>93</v>
      </c>
      <c r="M51" s="33">
        <v>93</v>
      </c>
      <c r="N51" s="33">
        <v>82</v>
      </c>
      <c r="O51" s="33">
        <v>46</v>
      </c>
      <c r="P51" s="1">
        <v>622</v>
      </c>
      <c r="Q51" s="1">
        <v>2</v>
      </c>
      <c r="R51" s="1">
        <v>49</v>
      </c>
    </row>
    <row r="52" spans="1:18">
      <c r="A52" s="33" t="s">
        <v>193</v>
      </c>
      <c r="B52" s="1" t="s">
        <v>87</v>
      </c>
      <c r="C52" s="1" t="s">
        <v>194</v>
      </c>
      <c r="D52" s="33">
        <v>127</v>
      </c>
      <c r="E52" s="33">
        <v>4</v>
      </c>
      <c r="F52" s="33">
        <v>118</v>
      </c>
      <c r="G52" s="33">
        <v>162</v>
      </c>
      <c r="H52" s="33">
        <v>120.5</v>
      </c>
      <c r="I52" s="33">
        <v>192</v>
      </c>
      <c r="J52" s="33">
        <v>84</v>
      </c>
      <c r="K52" s="33">
        <v>131</v>
      </c>
      <c r="L52" s="33">
        <v>92</v>
      </c>
      <c r="M52" s="33">
        <v>116</v>
      </c>
      <c r="N52" s="33">
        <v>79</v>
      </c>
      <c r="O52" s="33">
        <v>103</v>
      </c>
      <c r="P52" s="1">
        <v>620.5</v>
      </c>
      <c r="Q52" s="1">
        <v>27</v>
      </c>
      <c r="R52" s="1">
        <v>51</v>
      </c>
    </row>
    <row r="53" spans="1:18">
      <c r="A53" s="33" t="s">
        <v>195</v>
      </c>
      <c r="B53" s="1" t="s">
        <v>133</v>
      </c>
      <c r="C53" s="1" t="s">
        <v>196</v>
      </c>
      <c r="D53" s="33">
        <v>117</v>
      </c>
      <c r="E53" s="33">
        <v>86</v>
      </c>
      <c r="F53" s="33">
        <v>126</v>
      </c>
      <c r="G53" s="33">
        <v>86</v>
      </c>
      <c r="H53" s="33">
        <v>130</v>
      </c>
      <c r="I53" s="33">
        <v>34</v>
      </c>
      <c r="J53" s="33">
        <v>79</v>
      </c>
      <c r="K53" s="33">
        <v>236</v>
      </c>
      <c r="L53" s="33">
        <v>90</v>
      </c>
      <c r="M53" s="33">
        <v>177</v>
      </c>
      <c r="N53" s="33">
        <v>78</v>
      </c>
      <c r="O53" s="33">
        <v>133</v>
      </c>
      <c r="P53" s="1">
        <v>620</v>
      </c>
      <c r="Q53" s="1">
        <v>2</v>
      </c>
      <c r="R53" s="1">
        <v>52</v>
      </c>
    </row>
    <row r="54" spans="1:18">
      <c r="A54" s="33" t="s">
        <v>199</v>
      </c>
      <c r="B54" s="1" t="s">
        <v>111</v>
      </c>
      <c r="C54" s="1" t="s">
        <v>200</v>
      </c>
      <c r="D54" s="33">
        <v>114</v>
      </c>
      <c r="E54" s="33">
        <v>170</v>
      </c>
      <c r="F54" s="33">
        <v>127</v>
      </c>
      <c r="G54" s="33">
        <v>78</v>
      </c>
      <c r="H54" s="33">
        <v>128.5</v>
      </c>
      <c r="I54" s="33">
        <v>53</v>
      </c>
      <c r="J54" s="33">
        <v>81</v>
      </c>
      <c r="K54" s="33">
        <v>195</v>
      </c>
      <c r="L54" s="33">
        <v>97</v>
      </c>
      <c r="M54" s="33">
        <v>30</v>
      </c>
      <c r="N54" s="33">
        <v>72</v>
      </c>
      <c r="O54" s="33">
        <v>312</v>
      </c>
      <c r="P54" s="1">
        <v>619.5</v>
      </c>
      <c r="Q54" s="1">
        <v>2</v>
      </c>
      <c r="R54" s="1">
        <v>53</v>
      </c>
    </row>
    <row r="55" spans="1:18">
      <c r="A55" s="33" t="s">
        <v>201</v>
      </c>
      <c r="B55" s="1" t="s">
        <v>203</v>
      </c>
      <c r="C55" s="1" t="s">
        <v>202</v>
      </c>
      <c r="D55" s="33">
        <v>109</v>
      </c>
      <c r="E55" s="33">
        <v>353</v>
      </c>
      <c r="F55" s="33">
        <v>124</v>
      </c>
      <c r="G55" s="33">
        <v>101</v>
      </c>
      <c r="H55" s="33">
        <v>118.5</v>
      </c>
      <c r="I55" s="33">
        <v>247</v>
      </c>
      <c r="J55" s="33">
        <v>91</v>
      </c>
      <c r="K55" s="33">
        <v>56</v>
      </c>
      <c r="L55" s="33">
        <v>100</v>
      </c>
      <c r="M55" s="33">
        <v>1</v>
      </c>
      <c r="N55" s="33">
        <v>77</v>
      </c>
      <c r="O55" s="33">
        <v>162</v>
      </c>
      <c r="P55" s="1">
        <v>619.5</v>
      </c>
      <c r="Q55" s="1">
        <v>1</v>
      </c>
      <c r="R55" s="1">
        <v>53</v>
      </c>
    </row>
    <row r="56" spans="1:18">
      <c r="A56" s="33" t="s">
        <v>197</v>
      </c>
      <c r="B56" s="1" t="s">
        <v>106</v>
      </c>
      <c r="C56" s="1" t="s">
        <v>198</v>
      </c>
      <c r="D56" s="33">
        <v>122</v>
      </c>
      <c r="E56" s="33">
        <v>25</v>
      </c>
      <c r="F56" s="33">
        <v>121</v>
      </c>
      <c r="G56" s="33">
        <v>131</v>
      </c>
      <c r="H56" s="33">
        <v>126.5</v>
      </c>
      <c r="I56" s="33">
        <v>76</v>
      </c>
      <c r="J56" s="33">
        <v>95</v>
      </c>
      <c r="K56" s="33">
        <v>31</v>
      </c>
      <c r="L56" s="33">
        <v>83</v>
      </c>
      <c r="M56" s="33">
        <v>407</v>
      </c>
      <c r="N56" s="33">
        <v>72</v>
      </c>
      <c r="O56" s="33">
        <v>312</v>
      </c>
      <c r="P56" s="1">
        <v>619.5</v>
      </c>
      <c r="Q56" s="1">
        <v>3</v>
      </c>
      <c r="R56" s="1">
        <v>53</v>
      </c>
    </row>
    <row r="57" spans="1:18">
      <c r="A57" s="33" t="s">
        <v>204</v>
      </c>
      <c r="B57" s="1" t="s">
        <v>87</v>
      </c>
      <c r="C57" s="1" t="s">
        <v>205</v>
      </c>
      <c r="D57" s="33">
        <v>127</v>
      </c>
      <c r="E57" s="33">
        <v>4</v>
      </c>
      <c r="F57" s="33">
        <v>130</v>
      </c>
      <c r="G57" s="33">
        <v>54</v>
      </c>
      <c r="H57" s="33">
        <v>121</v>
      </c>
      <c r="I57" s="33">
        <v>173</v>
      </c>
      <c r="J57" s="33">
        <v>86</v>
      </c>
      <c r="K57" s="33">
        <v>101</v>
      </c>
      <c r="L57" s="33">
        <v>98</v>
      </c>
      <c r="M57" s="33">
        <v>20</v>
      </c>
      <c r="N57" s="33">
        <v>57</v>
      </c>
      <c r="O57" s="33">
        <v>770</v>
      </c>
      <c r="P57" s="1">
        <v>619</v>
      </c>
      <c r="Q57" s="1">
        <v>28</v>
      </c>
      <c r="R57" s="1">
        <v>56</v>
      </c>
    </row>
    <row r="58" spans="1:18">
      <c r="A58" s="33" t="s">
        <v>208</v>
      </c>
      <c r="B58" s="1" t="s">
        <v>210</v>
      </c>
      <c r="C58" s="1" t="s">
        <v>209</v>
      </c>
      <c r="D58" s="33">
        <v>112</v>
      </c>
      <c r="E58" s="33">
        <v>226</v>
      </c>
      <c r="F58" s="33">
        <v>141</v>
      </c>
      <c r="G58" s="33">
        <v>12</v>
      </c>
      <c r="H58" s="33">
        <v>127.5</v>
      </c>
      <c r="I58" s="33">
        <v>63</v>
      </c>
      <c r="J58" s="33">
        <v>76</v>
      </c>
      <c r="K58" s="33">
        <v>302</v>
      </c>
      <c r="L58" s="33">
        <v>91</v>
      </c>
      <c r="M58" s="33">
        <v>151</v>
      </c>
      <c r="N58" s="33">
        <v>70</v>
      </c>
      <c r="O58" s="33">
        <v>380</v>
      </c>
      <c r="P58" s="1">
        <v>617.5</v>
      </c>
      <c r="Q58" s="1">
        <v>1</v>
      </c>
      <c r="R58" s="1">
        <v>57</v>
      </c>
    </row>
    <row r="59" spans="1:18">
      <c r="A59" s="33" t="s">
        <v>206</v>
      </c>
      <c r="B59" s="1" t="s">
        <v>203</v>
      </c>
      <c r="C59" s="1" t="s">
        <v>207</v>
      </c>
      <c r="D59" s="33">
        <v>127</v>
      </c>
      <c r="E59" s="33">
        <v>4</v>
      </c>
      <c r="F59" s="33">
        <v>128</v>
      </c>
      <c r="G59" s="33">
        <v>70</v>
      </c>
      <c r="H59" s="33">
        <v>124.5</v>
      </c>
      <c r="I59" s="33">
        <v>103</v>
      </c>
      <c r="J59" s="33">
        <v>82</v>
      </c>
      <c r="K59" s="33">
        <v>171</v>
      </c>
      <c r="L59" s="33">
        <v>97</v>
      </c>
      <c r="M59" s="33">
        <v>30</v>
      </c>
      <c r="N59" s="33">
        <v>59</v>
      </c>
      <c r="O59" s="33">
        <v>729</v>
      </c>
      <c r="P59" s="1">
        <v>617.5</v>
      </c>
      <c r="Q59" s="1">
        <v>2</v>
      </c>
      <c r="R59" s="1">
        <v>57</v>
      </c>
    </row>
    <row r="60" spans="1:18">
      <c r="A60" s="33" t="s">
        <v>211</v>
      </c>
      <c r="B60" s="1" t="s">
        <v>169</v>
      </c>
      <c r="C60" s="1" t="s">
        <v>212</v>
      </c>
      <c r="D60" s="33">
        <v>109</v>
      </c>
      <c r="E60" s="33">
        <v>353</v>
      </c>
      <c r="F60" s="33">
        <v>130</v>
      </c>
      <c r="G60" s="33">
        <v>54</v>
      </c>
      <c r="H60" s="33">
        <v>121</v>
      </c>
      <c r="I60" s="33">
        <v>173</v>
      </c>
      <c r="J60" s="33">
        <v>100</v>
      </c>
      <c r="K60" s="33">
        <v>13</v>
      </c>
      <c r="L60" s="33">
        <v>78</v>
      </c>
      <c r="M60" s="33">
        <v>577</v>
      </c>
      <c r="N60" s="33">
        <v>79</v>
      </c>
      <c r="O60" s="33">
        <v>103</v>
      </c>
      <c r="P60" s="1">
        <v>617</v>
      </c>
      <c r="Q60" s="1">
        <v>4</v>
      </c>
      <c r="R60" s="1">
        <v>59</v>
      </c>
    </row>
    <row r="61" spans="1:18">
      <c r="A61" s="33" t="s">
        <v>213</v>
      </c>
      <c r="B61" s="1" t="s">
        <v>133</v>
      </c>
      <c r="C61" s="1" t="s">
        <v>214</v>
      </c>
      <c r="D61" s="33">
        <v>112</v>
      </c>
      <c r="E61" s="33">
        <v>226</v>
      </c>
      <c r="F61" s="33">
        <v>147</v>
      </c>
      <c r="G61" s="33">
        <v>2</v>
      </c>
      <c r="H61" s="33">
        <v>75.5</v>
      </c>
      <c r="I61" s="33">
        <v>913</v>
      </c>
      <c r="J61" s="33">
        <v>104</v>
      </c>
      <c r="K61" s="33">
        <v>3</v>
      </c>
      <c r="L61" s="33">
        <v>95</v>
      </c>
      <c r="M61" s="33">
        <v>60</v>
      </c>
      <c r="N61" s="33">
        <v>82</v>
      </c>
      <c r="O61" s="33">
        <v>46</v>
      </c>
      <c r="P61" s="1">
        <v>615.5</v>
      </c>
      <c r="Q61" s="1">
        <v>3</v>
      </c>
      <c r="R61" s="1">
        <v>60</v>
      </c>
    </row>
    <row r="62" spans="1:18">
      <c r="A62" s="33" t="s">
        <v>218</v>
      </c>
      <c r="B62" s="1" t="s">
        <v>217</v>
      </c>
      <c r="C62" s="1" t="s">
        <v>219</v>
      </c>
      <c r="D62" s="33">
        <v>121</v>
      </c>
      <c r="E62" s="33">
        <v>30</v>
      </c>
      <c r="F62" s="33">
        <v>118</v>
      </c>
      <c r="G62" s="33">
        <v>162</v>
      </c>
      <c r="H62" s="33">
        <v>114</v>
      </c>
      <c r="I62" s="33">
        <v>356</v>
      </c>
      <c r="J62" s="33">
        <v>89</v>
      </c>
      <c r="K62" s="33">
        <v>79</v>
      </c>
      <c r="L62" s="33">
        <v>91</v>
      </c>
      <c r="M62" s="33">
        <v>151</v>
      </c>
      <c r="N62" s="33">
        <v>82</v>
      </c>
      <c r="O62" s="33">
        <v>46</v>
      </c>
      <c r="P62" s="1">
        <v>615</v>
      </c>
      <c r="Q62" s="1">
        <v>1</v>
      </c>
      <c r="R62" s="1">
        <v>61</v>
      </c>
    </row>
    <row r="63" spans="1:18">
      <c r="A63" s="33" t="s">
        <v>215</v>
      </c>
      <c r="B63" s="1" t="s">
        <v>217</v>
      </c>
      <c r="C63" s="1" t="s">
        <v>216</v>
      </c>
      <c r="D63" s="33">
        <v>127</v>
      </c>
      <c r="E63" s="33">
        <v>4</v>
      </c>
      <c r="F63" s="33">
        <v>115</v>
      </c>
      <c r="G63" s="33">
        <v>196</v>
      </c>
      <c r="H63" s="33">
        <v>123</v>
      </c>
      <c r="I63" s="33">
        <v>132</v>
      </c>
      <c r="J63" s="33">
        <v>78</v>
      </c>
      <c r="K63" s="33">
        <v>256</v>
      </c>
      <c r="L63" s="33">
        <v>95</v>
      </c>
      <c r="M63" s="33">
        <v>60</v>
      </c>
      <c r="N63" s="33">
        <v>77</v>
      </c>
      <c r="O63" s="33">
        <v>162</v>
      </c>
      <c r="P63" s="1">
        <v>615</v>
      </c>
      <c r="Q63" s="1">
        <v>1</v>
      </c>
      <c r="R63" s="1">
        <v>61</v>
      </c>
    </row>
    <row r="64" spans="1:18">
      <c r="A64" s="33" t="s">
        <v>220</v>
      </c>
      <c r="B64" s="1" t="s">
        <v>87</v>
      </c>
      <c r="C64" s="1" t="s">
        <v>221</v>
      </c>
      <c r="D64" s="33">
        <v>115</v>
      </c>
      <c r="E64" s="33">
        <v>140</v>
      </c>
      <c r="F64" s="33">
        <v>122</v>
      </c>
      <c r="G64" s="33">
        <v>116</v>
      </c>
      <c r="H64" s="33">
        <v>108.5</v>
      </c>
      <c r="I64" s="33">
        <v>508</v>
      </c>
      <c r="J64" s="33">
        <v>92</v>
      </c>
      <c r="K64" s="33">
        <v>48</v>
      </c>
      <c r="L64" s="33">
        <v>96</v>
      </c>
      <c r="M64" s="33">
        <v>45</v>
      </c>
      <c r="N64" s="33">
        <v>81</v>
      </c>
      <c r="O64" s="33">
        <v>66</v>
      </c>
      <c r="P64" s="1">
        <v>614.5</v>
      </c>
      <c r="Q64" s="1">
        <v>29</v>
      </c>
      <c r="R64" s="1">
        <v>63</v>
      </c>
    </row>
    <row r="65" spans="1:18">
      <c r="A65" s="33" t="s">
        <v>224</v>
      </c>
      <c r="B65" s="1" t="s">
        <v>92</v>
      </c>
      <c r="C65" s="1" t="s">
        <v>225</v>
      </c>
      <c r="D65" s="33">
        <v>110</v>
      </c>
      <c r="E65" s="33">
        <v>310</v>
      </c>
      <c r="F65" s="33">
        <v>131</v>
      </c>
      <c r="G65" s="33">
        <v>48</v>
      </c>
      <c r="H65" s="33">
        <v>99</v>
      </c>
      <c r="I65" s="33">
        <v>707</v>
      </c>
      <c r="J65" s="33">
        <v>100</v>
      </c>
      <c r="K65" s="33">
        <v>13</v>
      </c>
      <c r="L65" s="33">
        <v>94</v>
      </c>
      <c r="M65" s="33">
        <v>78</v>
      </c>
      <c r="N65" s="33">
        <v>79</v>
      </c>
      <c r="O65" s="33">
        <v>103</v>
      </c>
      <c r="P65" s="1">
        <v>613</v>
      </c>
      <c r="Q65" s="1">
        <v>3</v>
      </c>
      <c r="R65" s="1">
        <v>64</v>
      </c>
    </row>
    <row r="66" spans="1:18">
      <c r="A66" s="33" t="s">
        <v>222</v>
      </c>
      <c r="B66" s="1" t="s">
        <v>172</v>
      </c>
      <c r="C66" s="1" t="s">
        <v>223</v>
      </c>
      <c r="D66" s="33">
        <v>107</v>
      </c>
      <c r="E66" s="33">
        <v>429</v>
      </c>
      <c r="F66" s="33">
        <v>122</v>
      </c>
      <c r="G66" s="33">
        <v>116</v>
      </c>
      <c r="H66" s="33">
        <v>121</v>
      </c>
      <c r="I66" s="33">
        <v>173</v>
      </c>
      <c r="J66" s="33">
        <v>84</v>
      </c>
      <c r="K66" s="33">
        <v>131</v>
      </c>
      <c r="L66" s="33">
        <v>95</v>
      </c>
      <c r="M66" s="33">
        <v>60</v>
      </c>
      <c r="N66" s="33">
        <v>84</v>
      </c>
      <c r="O66" s="33">
        <v>21</v>
      </c>
      <c r="P66" s="1">
        <v>613</v>
      </c>
      <c r="Q66" s="1">
        <v>3</v>
      </c>
      <c r="R66" s="1">
        <v>64</v>
      </c>
    </row>
    <row r="67" spans="1:18">
      <c r="A67" s="33" t="s">
        <v>228</v>
      </c>
      <c r="B67" s="1" t="s">
        <v>150</v>
      </c>
      <c r="C67" s="1" t="s">
        <v>229</v>
      </c>
      <c r="D67" s="33">
        <v>117</v>
      </c>
      <c r="E67" s="33">
        <v>86</v>
      </c>
      <c r="F67" s="33">
        <v>121</v>
      </c>
      <c r="G67" s="33">
        <v>131</v>
      </c>
      <c r="H67" s="33">
        <v>116</v>
      </c>
      <c r="I67" s="33">
        <v>309</v>
      </c>
      <c r="J67" s="33">
        <v>80</v>
      </c>
      <c r="K67" s="33">
        <v>211</v>
      </c>
      <c r="L67" s="33">
        <v>95</v>
      </c>
      <c r="M67" s="33">
        <v>60</v>
      </c>
      <c r="N67" s="33">
        <v>84</v>
      </c>
      <c r="O67" s="33">
        <v>21</v>
      </c>
      <c r="P67" s="1">
        <v>613</v>
      </c>
      <c r="Q67" s="1">
        <v>3</v>
      </c>
      <c r="R67" s="1">
        <v>64</v>
      </c>
    </row>
    <row r="68" spans="1:18">
      <c r="A68" s="33" t="s">
        <v>226</v>
      </c>
      <c r="B68" s="1" t="s">
        <v>106</v>
      </c>
      <c r="C68" s="1" t="s">
        <v>227</v>
      </c>
      <c r="D68" s="33">
        <v>106</v>
      </c>
      <c r="E68" s="33">
        <v>477</v>
      </c>
      <c r="F68" s="33">
        <v>120</v>
      </c>
      <c r="G68" s="33">
        <v>146</v>
      </c>
      <c r="H68" s="33">
        <v>121</v>
      </c>
      <c r="I68" s="33">
        <v>173</v>
      </c>
      <c r="J68" s="33">
        <v>97</v>
      </c>
      <c r="K68" s="33">
        <v>21</v>
      </c>
      <c r="L68" s="33">
        <v>88</v>
      </c>
      <c r="M68" s="33">
        <v>240</v>
      </c>
      <c r="N68" s="33">
        <v>81</v>
      </c>
      <c r="O68" s="33">
        <v>66</v>
      </c>
      <c r="P68" s="1">
        <v>613</v>
      </c>
      <c r="Q68" s="1">
        <v>4</v>
      </c>
      <c r="R68" s="1">
        <v>64</v>
      </c>
    </row>
    <row r="69" spans="1:18">
      <c r="A69" s="33" t="s">
        <v>230</v>
      </c>
      <c r="B69" s="1" t="s">
        <v>97</v>
      </c>
      <c r="C69" s="1" t="s">
        <v>231</v>
      </c>
      <c r="D69" s="33">
        <v>106</v>
      </c>
      <c r="E69" s="33">
        <v>477</v>
      </c>
      <c r="F69" s="33">
        <v>138</v>
      </c>
      <c r="G69" s="33">
        <v>25</v>
      </c>
      <c r="H69" s="33">
        <v>113.5</v>
      </c>
      <c r="I69" s="33">
        <v>374</v>
      </c>
      <c r="J69" s="33">
        <v>80</v>
      </c>
      <c r="K69" s="33">
        <v>211</v>
      </c>
      <c r="L69" s="33">
        <v>93</v>
      </c>
      <c r="M69" s="33">
        <v>93</v>
      </c>
      <c r="N69" s="33">
        <v>82</v>
      </c>
      <c r="O69" s="33">
        <v>46</v>
      </c>
      <c r="P69" s="1">
        <v>612.5</v>
      </c>
      <c r="Q69" s="1">
        <v>4</v>
      </c>
      <c r="R69" s="1">
        <v>68</v>
      </c>
    </row>
    <row r="70" spans="1:18">
      <c r="A70" s="33" t="s">
        <v>232</v>
      </c>
      <c r="B70" s="1" t="s">
        <v>122</v>
      </c>
      <c r="C70" s="1" t="s">
        <v>233</v>
      </c>
      <c r="D70" s="33">
        <v>114</v>
      </c>
      <c r="E70" s="33">
        <v>170</v>
      </c>
      <c r="F70" s="33">
        <v>131</v>
      </c>
      <c r="G70" s="33">
        <v>48</v>
      </c>
      <c r="H70" s="33">
        <v>127.5</v>
      </c>
      <c r="I70" s="33">
        <v>63</v>
      </c>
      <c r="J70" s="33">
        <v>73</v>
      </c>
      <c r="K70" s="33">
        <v>370</v>
      </c>
      <c r="L70" s="33">
        <v>84</v>
      </c>
      <c r="M70" s="33">
        <v>379</v>
      </c>
      <c r="N70" s="33">
        <v>83</v>
      </c>
      <c r="O70" s="33">
        <v>30</v>
      </c>
      <c r="P70" s="1">
        <v>612.5</v>
      </c>
      <c r="Q70" s="1">
        <v>6</v>
      </c>
      <c r="R70" s="1">
        <v>68</v>
      </c>
    </row>
    <row r="71" spans="1:18">
      <c r="A71" s="33" t="s">
        <v>234</v>
      </c>
      <c r="B71" s="1" t="s">
        <v>122</v>
      </c>
      <c r="C71" s="1" t="s">
        <v>235</v>
      </c>
      <c r="D71" s="33">
        <v>112</v>
      </c>
      <c r="E71" s="33">
        <v>226</v>
      </c>
      <c r="F71" s="33">
        <v>124</v>
      </c>
      <c r="G71" s="33">
        <v>101</v>
      </c>
      <c r="H71" s="33">
        <v>119</v>
      </c>
      <c r="I71" s="33">
        <v>237</v>
      </c>
      <c r="J71" s="33">
        <v>82</v>
      </c>
      <c r="K71" s="33">
        <v>171</v>
      </c>
      <c r="L71" s="33">
        <v>96</v>
      </c>
      <c r="M71" s="33">
        <v>45</v>
      </c>
      <c r="N71" s="33">
        <v>79</v>
      </c>
      <c r="O71" s="33">
        <v>103</v>
      </c>
      <c r="P71" s="1">
        <v>612</v>
      </c>
      <c r="Q71" s="1">
        <v>7</v>
      </c>
      <c r="R71" s="1">
        <v>70</v>
      </c>
    </row>
    <row r="72" spans="1:18">
      <c r="A72" s="33" t="s">
        <v>236</v>
      </c>
      <c r="B72" s="1" t="s">
        <v>210</v>
      </c>
      <c r="C72" s="1" t="s">
        <v>237</v>
      </c>
      <c r="D72" s="33">
        <v>123</v>
      </c>
      <c r="E72" s="33">
        <v>20</v>
      </c>
      <c r="F72" s="33">
        <v>115</v>
      </c>
      <c r="G72" s="33">
        <v>196</v>
      </c>
      <c r="H72" s="33">
        <v>125</v>
      </c>
      <c r="I72" s="33">
        <v>96</v>
      </c>
      <c r="J72" s="33">
        <v>86</v>
      </c>
      <c r="K72" s="33">
        <v>101</v>
      </c>
      <c r="L72" s="33">
        <v>85</v>
      </c>
      <c r="M72" s="33">
        <v>339</v>
      </c>
      <c r="N72" s="33">
        <v>78</v>
      </c>
      <c r="O72" s="33">
        <v>133</v>
      </c>
      <c r="P72" s="1">
        <v>612</v>
      </c>
      <c r="Q72" s="1">
        <v>2</v>
      </c>
      <c r="R72" s="1">
        <v>70</v>
      </c>
    </row>
    <row r="73" spans="1:18">
      <c r="A73" s="33" t="s">
        <v>238</v>
      </c>
      <c r="B73" s="1" t="s">
        <v>240</v>
      </c>
      <c r="C73" s="1" t="s">
        <v>239</v>
      </c>
      <c r="D73" s="33">
        <v>103</v>
      </c>
      <c r="E73" s="33">
        <v>606</v>
      </c>
      <c r="F73" s="33">
        <v>144</v>
      </c>
      <c r="G73" s="33">
        <v>5</v>
      </c>
      <c r="H73" s="33">
        <v>99.5</v>
      </c>
      <c r="I73" s="33">
        <v>694</v>
      </c>
      <c r="J73" s="33">
        <v>98</v>
      </c>
      <c r="K73" s="33">
        <v>18</v>
      </c>
      <c r="L73" s="33">
        <v>87</v>
      </c>
      <c r="M73" s="33">
        <v>268</v>
      </c>
      <c r="N73" s="33">
        <v>79</v>
      </c>
      <c r="O73" s="33">
        <v>103</v>
      </c>
      <c r="P73" s="1">
        <v>610.5</v>
      </c>
      <c r="Q73" s="1">
        <v>1</v>
      </c>
      <c r="R73" s="1">
        <v>72</v>
      </c>
    </row>
    <row r="74" spans="1:18">
      <c r="A74" s="33" t="s">
        <v>241</v>
      </c>
      <c r="B74" s="1" t="s">
        <v>111</v>
      </c>
      <c r="C74" s="1" t="s">
        <v>242</v>
      </c>
      <c r="D74" s="33">
        <v>107</v>
      </c>
      <c r="E74" s="33">
        <v>429</v>
      </c>
      <c r="F74" s="33">
        <v>104</v>
      </c>
      <c r="G74" s="33">
        <v>359</v>
      </c>
      <c r="H74" s="33">
        <v>133</v>
      </c>
      <c r="I74" s="33">
        <v>17</v>
      </c>
      <c r="J74" s="33">
        <v>90</v>
      </c>
      <c r="K74" s="33">
        <v>63</v>
      </c>
      <c r="L74" s="33">
        <v>97</v>
      </c>
      <c r="M74" s="33">
        <v>30</v>
      </c>
      <c r="N74" s="33">
        <v>79</v>
      </c>
      <c r="O74" s="33">
        <v>103</v>
      </c>
      <c r="P74" s="1">
        <v>610</v>
      </c>
      <c r="Q74" s="1">
        <v>3</v>
      </c>
      <c r="R74" s="1">
        <v>73</v>
      </c>
    </row>
    <row r="75" spans="1:18">
      <c r="A75" s="33" t="s">
        <v>245</v>
      </c>
      <c r="B75" s="1" t="s">
        <v>203</v>
      </c>
      <c r="C75" s="1" t="s">
        <v>246</v>
      </c>
      <c r="D75" s="33">
        <v>110</v>
      </c>
      <c r="E75" s="33">
        <v>310</v>
      </c>
      <c r="F75" s="33">
        <v>140</v>
      </c>
      <c r="G75" s="33">
        <v>16</v>
      </c>
      <c r="H75" s="33">
        <v>134.5</v>
      </c>
      <c r="I75" s="33">
        <v>10</v>
      </c>
      <c r="J75" s="33">
        <v>79</v>
      </c>
      <c r="K75" s="33">
        <v>236</v>
      </c>
      <c r="L75" s="33">
        <v>81</v>
      </c>
      <c r="M75" s="33">
        <v>474</v>
      </c>
      <c r="N75" s="33">
        <v>65</v>
      </c>
      <c r="O75" s="33">
        <v>554</v>
      </c>
      <c r="P75" s="1">
        <v>609.5</v>
      </c>
      <c r="Q75" s="1">
        <v>3</v>
      </c>
      <c r="R75" s="1">
        <v>74</v>
      </c>
    </row>
    <row r="76" spans="1:18">
      <c r="A76" s="33" t="s">
        <v>250</v>
      </c>
      <c r="B76" s="1" t="s">
        <v>97</v>
      </c>
      <c r="C76" s="1" t="s">
        <v>251</v>
      </c>
      <c r="D76" s="33">
        <v>117</v>
      </c>
      <c r="E76" s="33">
        <v>86</v>
      </c>
      <c r="F76" s="33">
        <v>134</v>
      </c>
      <c r="G76" s="33">
        <v>35</v>
      </c>
      <c r="H76" s="33">
        <v>108.5</v>
      </c>
      <c r="I76" s="33">
        <v>508</v>
      </c>
      <c r="J76" s="33">
        <v>79</v>
      </c>
      <c r="K76" s="33">
        <v>236</v>
      </c>
      <c r="L76" s="33">
        <v>88</v>
      </c>
      <c r="M76" s="33">
        <v>240</v>
      </c>
      <c r="N76" s="33">
        <v>83</v>
      </c>
      <c r="O76" s="33">
        <v>30</v>
      </c>
      <c r="P76" s="1">
        <v>609.5</v>
      </c>
      <c r="Q76" s="1">
        <v>5</v>
      </c>
      <c r="R76" s="1">
        <v>74</v>
      </c>
    </row>
    <row r="77" spans="1:18">
      <c r="A77" s="33" t="s">
        <v>247</v>
      </c>
      <c r="B77" s="1" t="s">
        <v>249</v>
      </c>
      <c r="C77" s="1" t="s">
        <v>248</v>
      </c>
      <c r="D77" s="33">
        <v>107</v>
      </c>
      <c r="E77" s="33">
        <v>429</v>
      </c>
      <c r="F77" s="33">
        <v>122</v>
      </c>
      <c r="G77" s="33">
        <v>116</v>
      </c>
      <c r="H77" s="33">
        <v>119.5</v>
      </c>
      <c r="I77" s="33">
        <v>229</v>
      </c>
      <c r="J77" s="33">
        <v>92</v>
      </c>
      <c r="K77" s="33">
        <v>48</v>
      </c>
      <c r="L77" s="33">
        <v>95</v>
      </c>
      <c r="M77" s="33">
        <v>60</v>
      </c>
      <c r="N77" s="33">
        <v>74</v>
      </c>
      <c r="O77" s="33">
        <v>247</v>
      </c>
      <c r="P77" s="1">
        <v>609.5</v>
      </c>
      <c r="Q77" s="1">
        <v>1</v>
      </c>
      <c r="R77" s="1">
        <v>74</v>
      </c>
    </row>
    <row r="78" spans="1:18">
      <c r="A78" s="33" t="s">
        <v>243</v>
      </c>
      <c r="B78" s="1" t="s">
        <v>169</v>
      </c>
      <c r="C78" s="1" t="s">
        <v>244</v>
      </c>
      <c r="D78" s="33">
        <v>110</v>
      </c>
      <c r="E78" s="33">
        <v>310</v>
      </c>
      <c r="F78" s="33">
        <v>114</v>
      </c>
      <c r="G78" s="33">
        <v>216</v>
      </c>
      <c r="H78" s="33">
        <v>119.5</v>
      </c>
      <c r="I78" s="33">
        <v>229</v>
      </c>
      <c r="J78" s="33">
        <v>94</v>
      </c>
      <c r="K78" s="33">
        <v>35</v>
      </c>
      <c r="L78" s="33">
        <v>91</v>
      </c>
      <c r="M78" s="33">
        <v>151</v>
      </c>
      <c r="N78" s="33">
        <v>81</v>
      </c>
      <c r="O78" s="33">
        <v>66</v>
      </c>
      <c r="P78" s="1">
        <v>609.5</v>
      </c>
      <c r="Q78" s="1">
        <v>5</v>
      </c>
      <c r="R78" s="1">
        <v>74</v>
      </c>
    </row>
    <row r="79" spans="1:18">
      <c r="A79" s="33" t="s">
        <v>252</v>
      </c>
      <c r="B79" s="1" t="s">
        <v>240</v>
      </c>
      <c r="C79" s="1" t="s">
        <v>253</v>
      </c>
      <c r="D79" s="33">
        <v>107</v>
      </c>
      <c r="E79" s="33">
        <v>429</v>
      </c>
      <c r="F79" s="33">
        <v>108</v>
      </c>
      <c r="G79" s="33">
        <v>297</v>
      </c>
      <c r="H79" s="33">
        <v>120</v>
      </c>
      <c r="I79" s="33">
        <v>211</v>
      </c>
      <c r="J79" s="33">
        <v>96</v>
      </c>
      <c r="K79" s="33">
        <v>25</v>
      </c>
      <c r="L79" s="33">
        <v>96</v>
      </c>
      <c r="M79" s="33">
        <v>45</v>
      </c>
      <c r="N79" s="33">
        <v>82</v>
      </c>
      <c r="O79" s="33">
        <v>46</v>
      </c>
      <c r="P79" s="1">
        <v>609</v>
      </c>
      <c r="Q79" s="1">
        <v>2</v>
      </c>
      <c r="R79" s="1">
        <v>78</v>
      </c>
    </row>
    <row r="80" spans="1:18">
      <c r="A80" s="33" t="s">
        <v>254</v>
      </c>
      <c r="B80" s="1" t="s">
        <v>97</v>
      </c>
      <c r="C80" s="1" t="s">
        <v>255</v>
      </c>
      <c r="D80" s="33">
        <v>105</v>
      </c>
      <c r="E80" s="33">
        <v>515</v>
      </c>
      <c r="F80" s="33">
        <v>121</v>
      </c>
      <c r="G80" s="33">
        <v>131</v>
      </c>
      <c r="H80" s="33">
        <v>116.5</v>
      </c>
      <c r="I80" s="33">
        <v>298</v>
      </c>
      <c r="J80" s="33">
        <v>90</v>
      </c>
      <c r="K80" s="33">
        <v>63</v>
      </c>
      <c r="L80" s="33">
        <v>95</v>
      </c>
      <c r="M80" s="33">
        <v>60</v>
      </c>
      <c r="N80" s="33">
        <v>81</v>
      </c>
      <c r="O80" s="33">
        <v>66</v>
      </c>
      <c r="P80" s="1">
        <v>608.5</v>
      </c>
      <c r="Q80" s="1">
        <v>6</v>
      </c>
      <c r="R80" s="1">
        <v>79</v>
      </c>
    </row>
    <row r="81" spans="1:18">
      <c r="A81" s="33" t="s">
        <v>256</v>
      </c>
      <c r="B81" s="1" t="s">
        <v>217</v>
      </c>
      <c r="C81" s="1" t="s">
        <v>257</v>
      </c>
      <c r="D81" s="33">
        <v>123</v>
      </c>
      <c r="E81" s="33">
        <v>20</v>
      </c>
      <c r="F81" s="33">
        <v>121</v>
      </c>
      <c r="G81" s="33">
        <v>131</v>
      </c>
      <c r="H81" s="33">
        <v>119.5</v>
      </c>
      <c r="I81" s="33">
        <v>229</v>
      </c>
      <c r="J81" s="33">
        <v>88</v>
      </c>
      <c r="K81" s="33">
        <v>87</v>
      </c>
      <c r="L81" s="33">
        <v>82</v>
      </c>
      <c r="M81" s="33">
        <v>452</v>
      </c>
      <c r="N81" s="33">
        <v>75</v>
      </c>
      <c r="O81" s="33">
        <v>219</v>
      </c>
      <c r="P81" s="1">
        <v>608.5</v>
      </c>
      <c r="Q81" s="1">
        <v>3</v>
      </c>
      <c r="R81" s="1">
        <v>79</v>
      </c>
    </row>
    <row r="82" spans="1:18">
      <c r="A82" s="33" t="s">
        <v>262</v>
      </c>
      <c r="B82" s="1" t="s">
        <v>203</v>
      </c>
      <c r="C82" s="1" t="s">
        <v>263</v>
      </c>
      <c r="D82" s="33">
        <v>117</v>
      </c>
      <c r="E82" s="33">
        <v>86</v>
      </c>
      <c r="F82" s="33">
        <v>127</v>
      </c>
      <c r="G82" s="33">
        <v>78</v>
      </c>
      <c r="H82" s="33">
        <v>112</v>
      </c>
      <c r="I82" s="33">
        <v>413</v>
      </c>
      <c r="J82" s="33">
        <v>77</v>
      </c>
      <c r="K82" s="33">
        <v>278</v>
      </c>
      <c r="L82" s="33">
        <v>97</v>
      </c>
      <c r="M82" s="33">
        <v>30</v>
      </c>
      <c r="N82" s="33">
        <v>78</v>
      </c>
      <c r="O82" s="33">
        <v>133</v>
      </c>
      <c r="P82" s="1">
        <v>608</v>
      </c>
      <c r="Q82" s="1">
        <v>4</v>
      </c>
      <c r="R82" s="1">
        <v>81</v>
      </c>
    </row>
    <row r="83" spans="1:18">
      <c r="A83" s="33" t="s">
        <v>260</v>
      </c>
      <c r="B83" s="1" t="s">
        <v>240</v>
      </c>
      <c r="C83" s="1" t="s">
        <v>261</v>
      </c>
      <c r="D83" s="33">
        <v>92</v>
      </c>
      <c r="E83" s="33">
        <v>882</v>
      </c>
      <c r="F83" s="33">
        <v>123</v>
      </c>
      <c r="G83" s="33">
        <v>113</v>
      </c>
      <c r="H83" s="33">
        <v>114</v>
      </c>
      <c r="I83" s="33">
        <v>356</v>
      </c>
      <c r="J83" s="33">
        <v>104</v>
      </c>
      <c r="K83" s="33">
        <v>3</v>
      </c>
      <c r="L83" s="33">
        <v>93</v>
      </c>
      <c r="M83" s="33">
        <v>93</v>
      </c>
      <c r="N83" s="33">
        <v>82</v>
      </c>
      <c r="O83" s="33">
        <v>46</v>
      </c>
      <c r="P83" s="1">
        <v>608</v>
      </c>
      <c r="Q83" s="1">
        <v>3</v>
      </c>
      <c r="R83" s="1">
        <v>81</v>
      </c>
    </row>
    <row r="84" spans="1:18">
      <c r="A84" s="33" t="s">
        <v>258</v>
      </c>
      <c r="B84" s="1" t="s">
        <v>87</v>
      </c>
      <c r="C84" s="1" t="s">
        <v>259</v>
      </c>
      <c r="D84" s="33">
        <v>121</v>
      </c>
      <c r="E84" s="33">
        <v>30</v>
      </c>
      <c r="F84" s="33">
        <v>122</v>
      </c>
      <c r="G84" s="33">
        <v>116</v>
      </c>
      <c r="H84" s="33">
        <v>129</v>
      </c>
      <c r="I84" s="33">
        <v>50</v>
      </c>
      <c r="J84" s="33">
        <v>74</v>
      </c>
      <c r="K84" s="33">
        <v>345</v>
      </c>
      <c r="L84" s="33">
        <v>90</v>
      </c>
      <c r="M84" s="33">
        <v>177</v>
      </c>
      <c r="N84" s="33">
        <v>72</v>
      </c>
      <c r="O84" s="33">
        <v>312</v>
      </c>
      <c r="P84" s="1">
        <v>608</v>
      </c>
      <c r="Q84" s="1">
        <v>30</v>
      </c>
      <c r="R84" s="1">
        <v>81</v>
      </c>
    </row>
    <row r="85" spans="1:18">
      <c r="A85" s="33" t="s">
        <v>264</v>
      </c>
      <c r="B85" s="1" t="s">
        <v>203</v>
      </c>
      <c r="C85" s="1" t="s">
        <v>265</v>
      </c>
      <c r="D85" s="33">
        <v>121</v>
      </c>
      <c r="E85" s="33">
        <v>30</v>
      </c>
      <c r="F85" s="33">
        <v>122</v>
      </c>
      <c r="G85" s="33">
        <v>116</v>
      </c>
      <c r="H85" s="33">
        <v>116.5</v>
      </c>
      <c r="I85" s="33">
        <v>298</v>
      </c>
      <c r="J85" s="33">
        <v>86</v>
      </c>
      <c r="K85" s="33">
        <v>101</v>
      </c>
      <c r="L85" s="33">
        <v>89</v>
      </c>
      <c r="M85" s="33">
        <v>200</v>
      </c>
      <c r="N85" s="33">
        <v>73</v>
      </c>
      <c r="O85" s="33">
        <v>275</v>
      </c>
      <c r="P85" s="1">
        <v>607.5</v>
      </c>
      <c r="Q85" s="1">
        <v>5</v>
      </c>
      <c r="R85" s="1">
        <v>84</v>
      </c>
    </row>
    <row r="86" spans="1:18">
      <c r="A86" s="33" t="s">
        <v>268</v>
      </c>
      <c r="B86" s="1" t="s">
        <v>133</v>
      </c>
      <c r="C86" s="1" t="s">
        <v>269</v>
      </c>
      <c r="D86" s="33">
        <v>124</v>
      </c>
      <c r="E86" s="33">
        <v>17</v>
      </c>
      <c r="F86" s="33">
        <v>130</v>
      </c>
      <c r="G86" s="33">
        <v>54</v>
      </c>
      <c r="H86" s="33">
        <v>123</v>
      </c>
      <c r="I86" s="33">
        <v>132</v>
      </c>
      <c r="J86" s="33">
        <v>94</v>
      </c>
      <c r="K86" s="33">
        <v>35</v>
      </c>
      <c r="L86" s="33">
        <v>70</v>
      </c>
      <c r="M86" s="33">
        <v>787</v>
      </c>
      <c r="N86" s="33">
        <v>66</v>
      </c>
      <c r="O86" s="33">
        <v>519</v>
      </c>
      <c r="P86" s="1">
        <v>607</v>
      </c>
      <c r="Q86" s="1">
        <v>4</v>
      </c>
      <c r="R86" s="1">
        <v>85</v>
      </c>
    </row>
    <row r="87" spans="1:18">
      <c r="A87" s="33" t="s">
        <v>266</v>
      </c>
      <c r="B87" s="1" t="s">
        <v>87</v>
      </c>
      <c r="C87" s="1" t="s">
        <v>267</v>
      </c>
      <c r="D87" s="33">
        <v>105</v>
      </c>
      <c r="E87" s="33">
        <v>515</v>
      </c>
      <c r="F87" s="33">
        <v>125</v>
      </c>
      <c r="G87" s="33">
        <v>94</v>
      </c>
      <c r="H87" s="33">
        <v>130</v>
      </c>
      <c r="I87" s="33">
        <v>34</v>
      </c>
      <c r="J87" s="33">
        <v>94</v>
      </c>
      <c r="K87" s="33">
        <v>35</v>
      </c>
      <c r="L87" s="33">
        <v>88</v>
      </c>
      <c r="M87" s="33">
        <v>240</v>
      </c>
      <c r="N87" s="33">
        <v>65</v>
      </c>
      <c r="O87" s="33">
        <v>554</v>
      </c>
      <c r="P87" s="1">
        <v>607</v>
      </c>
      <c r="Q87" s="1">
        <v>31</v>
      </c>
      <c r="R87" s="1">
        <v>85</v>
      </c>
    </row>
    <row r="88" spans="1:18">
      <c r="A88" s="33" t="s">
        <v>270</v>
      </c>
      <c r="B88" s="1" t="s">
        <v>240</v>
      </c>
      <c r="C88" s="1" t="s">
        <v>271</v>
      </c>
      <c r="D88" s="33">
        <v>107</v>
      </c>
      <c r="E88" s="33">
        <v>429</v>
      </c>
      <c r="F88" s="33">
        <v>135</v>
      </c>
      <c r="G88" s="33">
        <v>34</v>
      </c>
      <c r="H88" s="33">
        <v>123.5</v>
      </c>
      <c r="I88" s="33">
        <v>124</v>
      </c>
      <c r="J88" s="33">
        <v>79</v>
      </c>
      <c r="K88" s="33">
        <v>236</v>
      </c>
      <c r="L88" s="33">
        <v>92</v>
      </c>
      <c r="M88" s="33">
        <v>116</v>
      </c>
      <c r="N88" s="33">
        <v>70</v>
      </c>
      <c r="O88" s="33">
        <v>380</v>
      </c>
      <c r="P88" s="1">
        <v>606.5</v>
      </c>
      <c r="Q88" s="1">
        <v>4</v>
      </c>
      <c r="R88" s="1">
        <v>87</v>
      </c>
    </row>
    <row r="89" spans="1:18">
      <c r="A89" s="33" t="s">
        <v>272</v>
      </c>
      <c r="B89" s="1" t="s">
        <v>97</v>
      </c>
      <c r="C89" s="1" t="s">
        <v>273</v>
      </c>
      <c r="D89" s="33">
        <v>110</v>
      </c>
      <c r="E89" s="33">
        <v>310</v>
      </c>
      <c r="F89" s="33">
        <v>109</v>
      </c>
      <c r="G89" s="33">
        <v>279</v>
      </c>
      <c r="H89" s="33">
        <v>124.5</v>
      </c>
      <c r="I89" s="33">
        <v>103</v>
      </c>
      <c r="J89" s="33">
        <v>84</v>
      </c>
      <c r="K89" s="33">
        <v>131</v>
      </c>
      <c r="L89" s="33">
        <v>94</v>
      </c>
      <c r="M89" s="33">
        <v>78</v>
      </c>
      <c r="N89" s="33">
        <v>84</v>
      </c>
      <c r="O89" s="33">
        <v>21</v>
      </c>
      <c r="P89" s="1">
        <v>605.5</v>
      </c>
      <c r="Q89" s="1">
        <v>7</v>
      </c>
      <c r="R89" s="1">
        <v>88</v>
      </c>
    </row>
    <row r="90" spans="1:18">
      <c r="A90" s="33" t="s">
        <v>274</v>
      </c>
      <c r="B90" s="1" t="s">
        <v>122</v>
      </c>
      <c r="C90" s="1" t="s">
        <v>275</v>
      </c>
      <c r="D90" s="33">
        <v>121</v>
      </c>
      <c r="E90" s="33">
        <v>30</v>
      </c>
      <c r="F90" s="33">
        <v>102</v>
      </c>
      <c r="G90" s="33">
        <v>387</v>
      </c>
      <c r="H90" s="33">
        <v>131.5</v>
      </c>
      <c r="I90" s="33">
        <v>25</v>
      </c>
      <c r="J90" s="33">
        <v>76</v>
      </c>
      <c r="K90" s="33">
        <v>302</v>
      </c>
      <c r="L90" s="33">
        <v>97</v>
      </c>
      <c r="M90" s="33">
        <v>30</v>
      </c>
      <c r="N90" s="33">
        <v>78</v>
      </c>
      <c r="O90" s="33">
        <v>133</v>
      </c>
      <c r="P90" s="1">
        <v>605.5</v>
      </c>
      <c r="Q90" s="1">
        <v>8</v>
      </c>
      <c r="R90" s="1">
        <v>88</v>
      </c>
    </row>
    <row r="91" spans="1:18">
      <c r="A91" s="33" t="s">
        <v>276</v>
      </c>
      <c r="B91" s="1" t="s">
        <v>249</v>
      </c>
      <c r="C91" s="1" t="s">
        <v>277</v>
      </c>
      <c r="D91" s="33">
        <v>109</v>
      </c>
      <c r="E91" s="33">
        <v>353</v>
      </c>
      <c r="F91" s="33">
        <v>118</v>
      </c>
      <c r="G91" s="33">
        <v>162</v>
      </c>
      <c r="H91" s="33">
        <v>124</v>
      </c>
      <c r="I91" s="33">
        <v>115</v>
      </c>
      <c r="J91" s="33">
        <v>82</v>
      </c>
      <c r="K91" s="33">
        <v>171</v>
      </c>
      <c r="L91" s="33">
        <v>94</v>
      </c>
      <c r="M91" s="33">
        <v>78</v>
      </c>
      <c r="N91" s="33">
        <v>78</v>
      </c>
      <c r="O91" s="33">
        <v>133</v>
      </c>
      <c r="P91" s="1">
        <v>605</v>
      </c>
      <c r="Q91" s="1">
        <v>2</v>
      </c>
      <c r="R91" s="1">
        <v>90</v>
      </c>
    </row>
    <row r="92" spans="1:18">
      <c r="A92" s="33" t="s">
        <v>278</v>
      </c>
      <c r="B92" s="1" t="s">
        <v>172</v>
      </c>
      <c r="C92" s="1" t="s">
        <v>279</v>
      </c>
      <c r="D92" s="33">
        <v>108</v>
      </c>
      <c r="E92" s="33">
        <v>391</v>
      </c>
      <c r="F92" s="33">
        <v>136</v>
      </c>
      <c r="G92" s="33">
        <v>31</v>
      </c>
      <c r="H92" s="33">
        <v>105.5</v>
      </c>
      <c r="I92" s="33">
        <v>568</v>
      </c>
      <c r="J92" s="33">
        <v>96</v>
      </c>
      <c r="K92" s="33">
        <v>25</v>
      </c>
      <c r="L92" s="33">
        <v>86</v>
      </c>
      <c r="M92" s="33">
        <v>304</v>
      </c>
      <c r="N92" s="33">
        <v>73</v>
      </c>
      <c r="O92" s="33">
        <v>275</v>
      </c>
      <c r="P92" s="1">
        <v>604.5</v>
      </c>
      <c r="Q92" s="1">
        <v>4</v>
      </c>
      <c r="R92" s="1">
        <v>91</v>
      </c>
    </row>
    <row r="93" spans="1:18">
      <c r="A93" s="33" t="s">
        <v>280</v>
      </c>
      <c r="B93" s="1" t="s">
        <v>240</v>
      </c>
      <c r="C93" s="1" t="s">
        <v>281</v>
      </c>
      <c r="D93" s="33">
        <v>111</v>
      </c>
      <c r="E93" s="33">
        <v>271</v>
      </c>
      <c r="F93" s="33">
        <v>109</v>
      </c>
      <c r="G93" s="33">
        <v>279</v>
      </c>
      <c r="H93" s="33">
        <v>121</v>
      </c>
      <c r="I93" s="33">
        <v>173</v>
      </c>
      <c r="J93" s="33">
        <v>100</v>
      </c>
      <c r="K93" s="33">
        <v>13</v>
      </c>
      <c r="L93" s="33">
        <v>84</v>
      </c>
      <c r="M93" s="33">
        <v>379</v>
      </c>
      <c r="N93" s="33">
        <v>79</v>
      </c>
      <c r="O93" s="33">
        <v>103</v>
      </c>
      <c r="P93" s="1">
        <v>604</v>
      </c>
      <c r="Q93" s="1">
        <v>5</v>
      </c>
      <c r="R93" s="1">
        <v>92</v>
      </c>
    </row>
    <row r="94" spans="1:18">
      <c r="A94" s="33" t="s">
        <v>284</v>
      </c>
      <c r="B94" s="1" t="s">
        <v>249</v>
      </c>
      <c r="C94" s="1" t="s">
        <v>285</v>
      </c>
      <c r="D94" s="33">
        <v>113</v>
      </c>
      <c r="E94" s="33">
        <v>196</v>
      </c>
      <c r="F94" s="33">
        <v>115</v>
      </c>
      <c r="G94" s="33">
        <v>196</v>
      </c>
      <c r="H94" s="33">
        <v>127.5</v>
      </c>
      <c r="I94" s="33">
        <v>63</v>
      </c>
      <c r="J94" s="33">
        <v>74</v>
      </c>
      <c r="K94" s="33">
        <v>345</v>
      </c>
      <c r="L94" s="33">
        <v>93</v>
      </c>
      <c r="M94" s="33">
        <v>93</v>
      </c>
      <c r="N94" s="33">
        <v>81</v>
      </c>
      <c r="O94" s="33">
        <v>66</v>
      </c>
      <c r="P94" s="1">
        <v>603.5</v>
      </c>
      <c r="Q94" s="1">
        <v>3</v>
      </c>
      <c r="R94" s="1">
        <v>93</v>
      </c>
    </row>
    <row r="95" spans="1:18">
      <c r="A95" s="33" t="s">
        <v>286</v>
      </c>
      <c r="B95" s="1" t="s">
        <v>203</v>
      </c>
      <c r="C95" s="1" t="s">
        <v>287</v>
      </c>
      <c r="D95" s="33">
        <v>119</v>
      </c>
      <c r="E95" s="33">
        <v>51</v>
      </c>
      <c r="F95" s="33">
        <v>115</v>
      </c>
      <c r="G95" s="33">
        <v>196</v>
      </c>
      <c r="H95" s="33">
        <v>121.5</v>
      </c>
      <c r="I95" s="33">
        <v>160</v>
      </c>
      <c r="J95" s="33">
        <v>75</v>
      </c>
      <c r="K95" s="33">
        <v>324</v>
      </c>
      <c r="L95" s="33">
        <v>93</v>
      </c>
      <c r="M95" s="33">
        <v>93</v>
      </c>
      <c r="N95" s="33">
        <v>80</v>
      </c>
      <c r="O95" s="33">
        <v>85</v>
      </c>
      <c r="P95" s="1">
        <v>603.5</v>
      </c>
      <c r="Q95" s="1">
        <v>6</v>
      </c>
      <c r="R95" s="1">
        <v>93</v>
      </c>
    </row>
    <row r="96" spans="1:18">
      <c r="A96" s="33" t="s">
        <v>282</v>
      </c>
      <c r="B96" s="1" t="s">
        <v>87</v>
      </c>
      <c r="C96" s="1" t="s">
        <v>283</v>
      </c>
      <c r="D96" s="33">
        <v>110</v>
      </c>
      <c r="E96" s="33">
        <v>310</v>
      </c>
      <c r="F96" s="33">
        <v>113</v>
      </c>
      <c r="G96" s="33">
        <v>225</v>
      </c>
      <c r="H96" s="33">
        <v>132.5</v>
      </c>
      <c r="I96" s="33">
        <v>20</v>
      </c>
      <c r="J96" s="33">
        <v>72</v>
      </c>
      <c r="K96" s="33">
        <v>392</v>
      </c>
      <c r="L96" s="33">
        <v>97</v>
      </c>
      <c r="M96" s="33">
        <v>30</v>
      </c>
      <c r="N96" s="33">
        <v>79</v>
      </c>
      <c r="O96" s="33">
        <v>103</v>
      </c>
      <c r="P96" s="1">
        <v>603.5</v>
      </c>
      <c r="Q96" s="1">
        <v>32</v>
      </c>
      <c r="R96" s="1">
        <v>93</v>
      </c>
    </row>
    <row r="97" spans="1:18">
      <c r="A97" s="33" t="s">
        <v>288</v>
      </c>
      <c r="B97" s="1" t="s">
        <v>87</v>
      </c>
      <c r="C97" s="1" t="s">
        <v>289</v>
      </c>
      <c r="D97" s="33">
        <v>118</v>
      </c>
      <c r="E97" s="33">
        <v>69</v>
      </c>
      <c r="F97" s="33">
        <v>117</v>
      </c>
      <c r="G97" s="33">
        <v>174</v>
      </c>
      <c r="H97" s="33">
        <v>130</v>
      </c>
      <c r="I97" s="33">
        <v>34</v>
      </c>
      <c r="J97" s="33">
        <v>84</v>
      </c>
      <c r="K97" s="33">
        <v>131</v>
      </c>
      <c r="L97" s="33">
        <v>89</v>
      </c>
      <c r="M97" s="33">
        <v>200</v>
      </c>
      <c r="N97" s="33">
        <v>65</v>
      </c>
      <c r="O97" s="33">
        <v>554</v>
      </c>
      <c r="P97" s="1">
        <v>603</v>
      </c>
      <c r="Q97" s="1">
        <v>33</v>
      </c>
      <c r="R97" s="1">
        <v>96</v>
      </c>
    </row>
    <row r="98" spans="1:18">
      <c r="A98" s="33" t="s">
        <v>294</v>
      </c>
      <c r="B98" s="1" t="s">
        <v>296</v>
      </c>
      <c r="C98" s="1" t="s">
        <v>295</v>
      </c>
      <c r="D98" s="33">
        <v>115</v>
      </c>
      <c r="E98" s="33">
        <v>140</v>
      </c>
      <c r="F98" s="33">
        <v>127</v>
      </c>
      <c r="G98" s="33">
        <v>78</v>
      </c>
      <c r="H98" s="33">
        <v>120</v>
      </c>
      <c r="I98" s="33">
        <v>211</v>
      </c>
      <c r="J98" s="33">
        <v>92</v>
      </c>
      <c r="K98" s="33">
        <v>48</v>
      </c>
      <c r="L98" s="33">
        <v>83</v>
      </c>
      <c r="M98" s="33">
        <v>407</v>
      </c>
      <c r="N98" s="33">
        <v>65</v>
      </c>
      <c r="O98" s="33">
        <v>554</v>
      </c>
      <c r="P98" s="1">
        <v>602</v>
      </c>
      <c r="Q98" s="1">
        <v>1</v>
      </c>
      <c r="R98" s="1">
        <v>97</v>
      </c>
    </row>
    <row r="99" spans="1:18">
      <c r="A99" s="33" t="s">
        <v>292</v>
      </c>
      <c r="B99" s="1" t="s">
        <v>111</v>
      </c>
      <c r="C99" s="1" t="s">
        <v>293</v>
      </c>
      <c r="D99" s="33">
        <v>117</v>
      </c>
      <c r="E99" s="33">
        <v>86</v>
      </c>
      <c r="F99" s="33">
        <v>121</v>
      </c>
      <c r="G99" s="33">
        <v>131</v>
      </c>
      <c r="H99" s="33">
        <v>120</v>
      </c>
      <c r="I99" s="33">
        <v>211</v>
      </c>
      <c r="J99" s="33">
        <v>76</v>
      </c>
      <c r="K99" s="33">
        <v>302</v>
      </c>
      <c r="L99" s="33">
        <v>92</v>
      </c>
      <c r="M99" s="33">
        <v>116</v>
      </c>
      <c r="N99" s="33">
        <v>76</v>
      </c>
      <c r="O99" s="33">
        <v>194</v>
      </c>
      <c r="P99" s="1">
        <v>602</v>
      </c>
      <c r="Q99" s="1">
        <v>4</v>
      </c>
      <c r="R99" s="1">
        <v>97</v>
      </c>
    </row>
    <row r="100" spans="1:18">
      <c r="A100" s="33" t="s">
        <v>290</v>
      </c>
      <c r="B100" s="1" t="s">
        <v>249</v>
      </c>
      <c r="C100" s="1" t="s">
        <v>291</v>
      </c>
      <c r="D100" s="33">
        <v>120</v>
      </c>
      <c r="E100" s="33">
        <v>43</v>
      </c>
      <c r="F100" s="33">
        <v>120</v>
      </c>
      <c r="G100" s="33">
        <v>146</v>
      </c>
      <c r="H100" s="33">
        <v>124</v>
      </c>
      <c r="I100" s="33">
        <v>115</v>
      </c>
      <c r="J100" s="33">
        <v>77</v>
      </c>
      <c r="K100" s="33">
        <v>278</v>
      </c>
      <c r="L100" s="33">
        <v>84</v>
      </c>
      <c r="M100" s="33">
        <v>379</v>
      </c>
      <c r="N100" s="33">
        <v>77</v>
      </c>
      <c r="O100" s="33">
        <v>162</v>
      </c>
      <c r="P100" s="1">
        <v>602</v>
      </c>
      <c r="Q100" s="1">
        <v>4</v>
      </c>
      <c r="R100" s="1">
        <v>97</v>
      </c>
    </row>
    <row r="101" spans="1:18">
      <c r="A101" s="33" t="s">
        <v>297</v>
      </c>
      <c r="B101" s="1" t="s">
        <v>133</v>
      </c>
      <c r="C101" s="1" t="s">
        <v>298</v>
      </c>
      <c r="D101" s="33">
        <v>115</v>
      </c>
      <c r="E101" s="33">
        <v>140</v>
      </c>
      <c r="F101" s="33">
        <v>106</v>
      </c>
      <c r="G101" s="33">
        <v>323</v>
      </c>
      <c r="H101" s="33">
        <v>126.5</v>
      </c>
      <c r="I101" s="33">
        <v>76</v>
      </c>
      <c r="J101" s="33">
        <v>81</v>
      </c>
      <c r="K101" s="33">
        <v>195</v>
      </c>
      <c r="L101" s="33">
        <v>89</v>
      </c>
      <c r="M101" s="33">
        <v>200</v>
      </c>
      <c r="N101" s="33">
        <v>84</v>
      </c>
      <c r="O101" s="33">
        <v>21</v>
      </c>
      <c r="P101" s="1">
        <v>601.5</v>
      </c>
      <c r="Q101" s="1">
        <v>5</v>
      </c>
      <c r="R101" s="1">
        <v>100</v>
      </c>
    </row>
    <row r="102" spans="1:18">
      <c r="A102" s="33" t="s">
        <v>301</v>
      </c>
      <c r="B102" s="1" t="s">
        <v>122</v>
      </c>
      <c r="C102" s="1" t="s">
        <v>302</v>
      </c>
      <c r="D102" s="33">
        <v>111</v>
      </c>
      <c r="E102" s="33">
        <v>271</v>
      </c>
      <c r="F102" s="33">
        <v>132</v>
      </c>
      <c r="G102" s="33">
        <v>46</v>
      </c>
      <c r="H102" s="33">
        <v>115</v>
      </c>
      <c r="I102" s="33">
        <v>330</v>
      </c>
      <c r="J102" s="33">
        <v>84</v>
      </c>
      <c r="K102" s="33">
        <v>131</v>
      </c>
      <c r="L102" s="33">
        <v>93</v>
      </c>
      <c r="M102" s="33">
        <v>93</v>
      </c>
      <c r="N102" s="33">
        <v>65</v>
      </c>
      <c r="O102" s="33">
        <v>554</v>
      </c>
      <c r="P102" s="1">
        <v>600</v>
      </c>
      <c r="Q102" s="1">
        <v>9</v>
      </c>
      <c r="R102" s="1">
        <v>101</v>
      </c>
    </row>
    <row r="103" spans="1:18">
      <c r="A103" s="33" t="s">
        <v>303</v>
      </c>
      <c r="B103" s="1" t="s">
        <v>296</v>
      </c>
      <c r="C103" s="1" t="s">
        <v>304</v>
      </c>
      <c r="D103" s="33">
        <v>108</v>
      </c>
      <c r="E103" s="33">
        <v>391</v>
      </c>
      <c r="F103" s="33">
        <v>121</v>
      </c>
      <c r="G103" s="33">
        <v>131</v>
      </c>
      <c r="H103" s="33">
        <v>124</v>
      </c>
      <c r="I103" s="33">
        <v>115</v>
      </c>
      <c r="J103" s="33">
        <v>78</v>
      </c>
      <c r="K103" s="33">
        <v>256</v>
      </c>
      <c r="L103" s="33">
        <v>92</v>
      </c>
      <c r="M103" s="33">
        <v>116</v>
      </c>
      <c r="N103" s="33">
        <v>77</v>
      </c>
      <c r="O103" s="33">
        <v>162</v>
      </c>
      <c r="P103" s="1">
        <v>600</v>
      </c>
      <c r="Q103" s="1">
        <v>2</v>
      </c>
      <c r="R103" s="1">
        <v>101</v>
      </c>
    </row>
    <row r="104" spans="1:18">
      <c r="A104" s="33" t="s">
        <v>299</v>
      </c>
      <c r="B104" s="1" t="s">
        <v>87</v>
      </c>
      <c r="C104" s="1" t="s">
        <v>300</v>
      </c>
      <c r="D104" s="33">
        <v>119</v>
      </c>
      <c r="E104" s="33">
        <v>51</v>
      </c>
      <c r="F104" s="33">
        <v>96</v>
      </c>
      <c r="G104" s="33">
        <v>484</v>
      </c>
      <c r="H104" s="33">
        <v>127</v>
      </c>
      <c r="I104" s="33">
        <v>72</v>
      </c>
      <c r="J104" s="33">
        <v>87</v>
      </c>
      <c r="K104" s="33">
        <v>92</v>
      </c>
      <c r="L104" s="33">
        <v>90</v>
      </c>
      <c r="M104" s="33">
        <v>177</v>
      </c>
      <c r="N104" s="33">
        <v>81</v>
      </c>
      <c r="O104" s="33">
        <v>66</v>
      </c>
      <c r="P104" s="1">
        <v>600</v>
      </c>
      <c r="Q104" s="1">
        <v>34</v>
      </c>
      <c r="R104" s="1">
        <v>101</v>
      </c>
    </row>
    <row r="105" spans="1:18">
      <c r="A105" s="33" t="s">
        <v>305</v>
      </c>
      <c r="B105" s="1" t="s">
        <v>217</v>
      </c>
      <c r="C105" s="1" t="s">
        <v>306</v>
      </c>
      <c r="D105" s="33">
        <v>111</v>
      </c>
      <c r="E105" s="33">
        <v>271</v>
      </c>
      <c r="F105" s="33">
        <v>133</v>
      </c>
      <c r="G105" s="33">
        <v>41</v>
      </c>
      <c r="H105" s="33">
        <v>120.5</v>
      </c>
      <c r="I105" s="33">
        <v>192</v>
      </c>
      <c r="J105" s="33">
        <v>77</v>
      </c>
      <c r="K105" s="33">
        <v>278</v>
      </c>
      <c r="L105" s="33">
        <v>83</v>
      </c>
      <c r="M105" s="33">
        <v>407</v>
      </c>
      <c r="N105" s="33">
        <v>75</v>
      </c>
      <c r="O105" s="33">
        <v>219</v>
      </c>
      <c r="P105" s="1">
        <v>599.5</v>
      </c>
      <c r="Q105" s="1">
        <v>4</v>
      </c>
      <c r="R105" s="1">
        <v>104</v>
      </c>
    </row>
    <row r="106" spans="1:18">
      <c r="A106" s="33" t="s">
        <v>309</v>
      </c>
      <c r="B106" s="1" t="s">
        <v>87</v>
      </c>
      <c r="C106" s="1" t="s">
        <v>310</v>
      </c>
      <c r="D106" s="33">
        <v>102</v>
      </c>
      <c r="E106" s="33">
        <v>655</v>
      </c>
      <c r="F106" s="33">
        <v>127</v>
      </c>
      <c r="G106" s="33">
        <v>78</v>
      </c>
      <c r="H106" s="33">
        <v>114</v>
      </c>
      <c r="I106" s="33">
        <v>356</v>
      </c>
      <c r="J106" s="33">
        <v>93</v>
      </c>
      <c r="K106" s="33">
        <v>39</v>
      </c>
      <c r="L106" s="33">
        <v>87</v>
      </c>
      <c r="M106" s="33">
        <v>268</v>
      </c>
      <c r="N106" s="33">
        <v>76</v>
      </c>
      <c r="O106" s="33">
        <v>194</v>
      </c>
      <c r="P106" s="1">
        <v>599</v>
      </c>
      <c r="Q106" s="1">
        <v>35</v>
      </c>
      <c r="R106" s="1">
        <v>105</v>
      </c>
    </row>
    <row r="107" spans="1:18">
      <c r="A107" s="33" t="s">
        <v>307</v>
      </c>
      <c r="B107" s="1" t="s">
        <v>217</v>
      </c>
      <c r="C107" s="1" t="s">
        <v>308</v>
      </c>
      <c r="D107" s="33">
        <v>117</v>
      </c>
      <c r="E107" s="33">
        <v>86</v>
      </c>
      <c r="F107" s="33">
        <v>117</v>
      </c>
      <c r="G107" s="33">
        <v>174</v>
      </c>
      <c r="H107" s="33">
        <v>114</v>
      </c>
      <c r="I107" s="33">
        <v>356</v>
      </c>
      <c r="J107" s="33">
        <v>90</v>
      </c>
      <c r="K107" s="33">
        <v>63</v>
      </c>
      <c r="L107" s="33">
        <v>82</v>
      </c>
      <c r="M107" s="33">
        <v>452</v>
      </c>
      <c r="N107" s="33">
        <v>79</v>
      </c>
      <c r="O107" s="33">
        <v>103</v>
      </c>
      <c r="P107" s="1">
        <v>599</v>
      </c>
      <c r="Q107" s="1">
        <v>5</v>
      </c>
      <c r="R107" s="1">
        <v>105</v>
      </c>
    </row>
    <row r="108" spans="1:18">
      <c r="A108" s="33" t="s">
        <v>311</v>
      </c>
      <c r="B108" s="1" t="s">
        <v>133</v>
      </c>
      <c r="C108" s="1" t="s">
        <v>312</v>
      </c>
      <c r="D108" s="33">
        <v>118</v>
      </c>
      <c r="E108" s="33">
        <v>69</v>
      </c>
      <c r="F108" s="33">
        <v>115</v>
      </c>
      <c r="G108" s="33">
        <v>196</v>
      </c>
      <c r="H108" s="33">
        <v>110</v>
      </c>
      <c r="I108" s="33">
        <v>478</v>
      </c>
      <c r="J108" s="33">
        <v>89</v>
      </c>
      <c r="K108" s="33">
        <v>79</v>
      </c>
      <c r="L108" s="33">
        <v>91</v>
      </c>
      <c r="M108" s="33">
        <v>151</v>
      </c>
      <c r="N108" s="33">
        <v>76</v>
      </c>
      <c r="O108" s="33">
        <v>194</v>
      </c>
      <c r="P108" s="1">
        <v>599</v>
      </c>
      <c r="Q108" s="1">
        <v>6</v>
      </c>
      <c r="R108" s="1">
        <v>105</v>
      </c>
    </row>
    <row r="109" spans="1:18">
      <c r="A109" s="33" t="s">
        <v>315</v>
      </c>
      <c r="B109" s="1" t="s">
        <v>122</v>
      </c>
      <c r="C109" s="1" t="s">
        <v>316</v>
      </c>
      <c r="D109" s="33">
        <v>103</v>
      </c>
      <c r="E109" s="33">
        <v>606</v>
      </c>
      <c r="F109" s="33">
        <v>134</v>
      </c>
      <c r="G109" s="33">
        <v>35</v>
      </c>
      <c r="H109" s="33">
        <v>109</v>
      </c>
      <c r="I109" s="33">
        <v>500</v>
      </c>
      <c r="J109" s="33">
        <v>74</v>
      </c>
      <c r="K109" s="33">
        <v>345</v>
      </c>
      <c r="L109" s="33">
        <v>97</v>
      </c>
      <c r="M109" s="33">
        <v>30</v>
      </c>
      <c r="N109" s="33">
        <v>81</v>
      </c>
      <c r="O109" s="33">
        <v>66</v>
      </c>
      <c r="P109" s="1">
        <v>598</v>
      </c>
      <c r="Q109" s="1">
        <v>10</v>
      </c>
      <c r="R109" s="1">
        <v>108</v>
      </c>
    </row>
    <row r="110" spans="1:18">
      <c r="A110" s="33" t="s">
        <v>313</v>
      </c>
      <c r="B110" s="1" t="s">
        <v>122</v>
      </c>
      <c r="C110" s="1" t="s">
        <v>314</v>
      </c>
      <c r="D110" s="33">
        <v>112</v>
      </c>
      <c r="E110" s="33">
        <v>226</v>
      </c>
      <c r="F110" s="33">
        <v>125</v>
      </c>
      <c r="G110" s="33">
        <v>94</v>
      </c>
      <c r="H110" s="33">
        <v>112</v>
      </c>
      <c r="I110" s="33">
        <v>413</v>
      </c>
      <c r="J110" s="33">
        <v>84</v>
      </c>
      <c r="K110" s="33">
        <v>131</v>
      </c>
      <c r="L110" s="33">
        <v>94</v>
      </c>
      <c r="M110" s="33">
        <v>78</v>
      </c>
      <c r="N110" s="33">
        <v>71</v>
      </c>
      <c r="O110" s="33">
        <v>342</v>
      </c>
      <c r="P110" s="1">
        <v>598</v>
      </c>
      <c r="Q110" s="1">
        <v>10</v>
      </c>
      <c r="R110" s="1">
        <v>108</v>
      </c>
    </row>
    <row r="111" spans="1:18">
      <c r="A111" s="33" t="s">
        <v>317</v>
      </c>
      <c r="B111" s="1" t="s">
        <v>87</v>
      </c>
      <c r="C111" s="1" t="s">
        <v>318</v>
      </c>
      <c r="D111" s="33">
        <v>117</v>
      </c>
      <c r="E111" s="33">
        <v>86</v>
      </c>
      <c r="F111" s="33">
        <v>117</v>
      </c>
      <c r="G111" s="33">
        <v>174</v>
      </c>
      <c r="H111" s="33">
        <v>121</v>
      </c>
      <c r="I111" s="33">
        <v>173</v>
      </c>
      <c r="J111" s="33">
        <v>77</v>
      </c>
      <c r="K111" s="33">
        <v>278</v>
      </c>
      <c r="L111" s="33">
        <v>91</v>
      </c>
      <c r="M111" s="33">
        <v>151</v>
      </c>
      <c r="N111" s="33">
        <v>75</v>
      </c>
      <c r="O111" s="33">
        <v>219</v>
      </c>
      <c r="P111" s="1">
        <v>598</v>
      </c>
      <c r="Q111" s="1">
        <v>36</v>
      </c>
      <c r="R111" s="1">
        <v>108</v>
      </c>
    </row>
    <row r="112" spans="1:18">
      <c r="A112" s="33" t="s">
        <v>321</v>
      </c>
      <c r="B112" s="1" t="s">
        <v>111</v>
      </c>
      <c r="C112" s="1" t="s">
        <v>322</v>
      </c>
      <c r="D112" s="33">
        <v>106</v>
      </c>
      <c r="E112" s="33">
        <v>477</v>
      </c>
      <c r="F112" s="33">
        <v>129</v>
      </c>
      <c r="G112" s="33">
        <v>63</v>
      </c>
      <c r="H112" s="33">
        <v>108.5</v>
      </c>
      <c r="I112" s="33">
        <v>508</v>
      </c>
      <c r="J112" s="33">
        <v>83</v>
      </c>
      <c r="K112" s="33">
        <v>153</v>
      </c>
      <c r="L112" s="33">
        <v>93</v>
      </c>
      <c r="M112" s="33">
        <v>93</v>
      </c>
      <c r="N112" s="33">
        <v>78</v>
      </c>
      <c r="O112" s="33">
        <v>133</v>
      </c>
      <c r="P112" s="1">
        <v>597.5</v>
      </c>
      <c r="Q112" s="1">
        <v>5</v>
      </c>
      <c r="R112" s="1">
        <v>111</v>
      </c>
    </row>
    <row r="113" spans="1:18">
      <c r="A113" s="33" t="s">
        <v>319</v>
      </c>
      <c r="B113" s="1" t="s">
        <v>122</v>
      </c>
      <c r="C113" s="1" t="s">
        <v>320</v>
      </c>
      <c r="D113" s="33">
        <v>118</v>
      </c>
      <c r="E113" s="33">
        <v>69</v>
      </c>
      <c r="F113" s="33">
        <v>120</v>
      </c>
      <c r="G113" s="33">
        <v>146</v>
      </c>
      <c r="H113" s="33">
        <v>115.5</v>
      </c>
      <c r="I113" s="33">
        <v>325</v>
      </c>
      <c r="J113" s="33">
        <v>68</v>
      </c>
      <c r="K113" s="33">
        <v>474</v>
      </c>
      <c r="L113" s="33">
        <v>96</v>
      </c>
      <c r="M113" s="33">
        <v>45</v>
      </c>
      <c r="N113" s="33">
        <v>80</v>
      </c>
      <c r="O113" s="33">
        <v>85</v>
      </c>
      <c r="P113" s="1">
        <v>597.5</v>
      </c>
      <c r="Q113" s="1">
        <v>12</v>
      </c>
      <c r="R113" s="1">
        <v>111</v>
      </c>
    </row>
    <row r="114" spans="1:18">
      <c r="A114" s="33" t="s">
        <v>323</v>
      </c>
      <c r="B114" s="1" t="s">
        <v>249</v>
      </c>
      <c r="C114" s="1" t="s">
        <v>324</v>
      </c>
      <c r="D114" s="33">
        <v>105</v>
      </c>
      <c r="E114" s="33">
        <v>515</v>
      </c>
      <c r="F114" s="33">
        <v>133</v>
      </c>
      <c r="G114" s="33">
        <v>41</v>
      </c>
      <c r="H114" s="33">
        <v>95</v>
      </c>
      <c r="I114" s="33">
        <v>775</v>
      </c>
      <c r="J114" s="33">
        <v>102</v>
      </c>
      <c r="K114" s="33">
        <v>9</v>
      </c>
      <c r="L114" s="33">
        <v>85</v>
      </c>
      <c r="M114" s="33">
        <v>339</v>
      </c>
      <c r="N114" s="33">
        <v>77</v>
      </c>
      <c r="O114" s="33">
        <v>162</v>
      </c>
      <c r="P114" s="1">
        <v>597</v>
      </c>
      <c r="Q114" s="1">
        <v>5</v>
      </c>
      <c r="R114" s="1">
        <v>113</v>
      </c>
    </row>
    <row r="115" spans="1:18">
      <c r="A115" s="33" t="s">
        <v>329</v>
      </c>
      <c r="B115" s="1" t="s">
        <v>296</v>
      </c>
      <c r="C115" s="1" t="s">
        <v>330</v>
      </c>
      <c r="D115" s="33">
        <v>111</v>
      </c>
      <c r="E115" s="33">
        <v>271</v>
      </c>
      <c r="F115" s="33">
        <v>115</v>
      </c>
      <c r="G115" s="33">
        <v>196</v>
      </c>
      <c r="H115" s="33">
        <v>126.5</v>
      </c>
      <c r="I115" s="33">
        <v>76</v>
      </c>
      <c r="J115" s="33">
        <v>80</v>
      </c>
      <c r="K115" s="33">
        <v>211</v>
      </c>
      <c r="L115" s="33">
        <v>91</v>
      </c>
      <c r="M115" s="33">
        <v>151</v>
      </c>
      <c r="N115" s="33">
        <v>73</v>
      </c>
      <c r="O115" s="33">
        <v>275</v>
      </c>
      <c r="P115" s="1">
        <v>596.5</v>
      </c>
      <c r="Q115" s="1">
        <v>3</v>
      </c>
      <c r="R115" s="1">
        <v>114</v>
      </c>
    </row>
    <row r="116" spans="1:18">
      <c r="A116" s="33" t="s">
        <v>325</v>
      </c>
      <c r="B116" s="1" t="s">
        <v>133</v>
      </c>
      <c r="C116" s="1" t="s">
        <v>326</v>
      </c>
      <c r="D116" s="33">
        <v>117</v>
      </c>
      <c r="E116" s="33">
        <v>86</v>
      </c>
      <c r="F116" s="33">
        <v>105</v>
      </c>
      <c r="G116" s="33">
        <v>341</v>
      </c>
      <c r="H116" s="33">
        <v>124.5</v>
      </c>
      <c r="I116" s="33">
        <v>103</v>
      </c>
      <c r="J116" s="33">
        <v>86</v>
      </c>
      <c r="K116" s="33">
        <v>101</v>
      </c>
      <c r="L116" s="33">
        <v>87</v>
      </c>
      <c r="M116" s="33">
        <v>268</v>
      </c>
      <c r="N116" s="33">
        <v>77</v>
      </c>
      <c r="O116" s="33">
        <v>162</v>
      </c>
      <c r="P116" s="1">
        <v>596.5</v>
      </c>
      <c r="Q116" s="1">
        <v>7</v>
      </c>
      <c r="R116" s="1">
        <v>114</v>
      </c>
    </row>
    <row r="117" spans="1:18">
      <c r="A117" s="33" t="s">
        <v>327</v>
      </c>
      <c r="B117" s="1" t="s">
        <v>296</v>
      </c>
      <c r="C117" s="1" t="s">
        <v>328</v>
      </c>
      <c r="D117" s="33">
        <v>110</v>
      </c>
      <c r="E117" s="33">
        <v>310</v>
      </c>
      <c r="F117" s="33">
        <v>104</v>
      </c>
      <c r="G117" s="33">
        <v>359</v>
      </c>
      <c r="H117" s="33">
        <v>125.5</v>
      </c>
      <c r="I117" s="33">
        <v>87</v>
      </c>
      <c r="J117" s="33">
        <v>76</v>
      </c>
      <c r="K117" s="33">
        <v>302</v>
      </c>
      <c r="L117" s="33">
        <v>100</v>
      </c>
      <c r="M117" s="33">
        <v>1</v>
      </c>
      <c r="N117" s="33">
        <v>81</v>
      </c>
      <c r="O117" s="33">
        <v>66</v>
      </c>
      <c r="P117" s="1">
        <v>596.5</v>
      </c>
      <c r="Q117" s="1">
        <v>3</v>
      </c>
      <c r="R117" s="1">
        <v>114</v>
      </c>
    </row>
    <row r="118" spans="1:18">
      <c r="A118" s="33" t="s">
        <v>333</v>
      </c>
      <c r="B118" s="1" t="s">
        <v>133</v>
      </c>
      <c r="C118" s="1" t="s">
        <v>334</v>
      </c>
      <c r="D118" s="33">
        <v>94</v>
      </c>
      <c r="E118" s="33">
        <v>856</v>
      </c>
      <c r="F118" s="33">
        <v>112</v>
      </c>
      <c r="G118" s="33">
        <v>236</v>
      </c>
      <c r="H118" s="33">
        <v>131</v>
      </c>
      <c r="I118" s="33">
        <v>27</v>
      </c>
      <c r="J118" s="33">
        <v>82</v>
      </c>
      <c r="K118" s="33">
        <v>171</v>
      </c>
      <c r="L118" s="33">
        <v>92</v>
      </c>
      <c r="M118" s="33">
        <v>116</v>
      </c>
      <c r="N118" s="33">
        <v>85</v>
      </c>
      <c r="O118" s="33">
        <v>14</v>
      </c>
      <c r="P118" s="1">
        <v>596</v>
      </c>
      <c r="Q118" s="1">
        <v>8</v>
      </c>
      <c r="R118" s="1">
        <v>117</v>
      </c>
    </row>
    <row r="119" spans="1:18">
      <c r="A119" s="33" t="s">
        <v>331</v>
      </c>
      <c r="B119" s="1" t="s">
        <v>111</v>
      </c>
      <c r="C119" s="1" t="s">
        <v>332</v>
      </c>
      <c r="D119" s="33">
        <v>121</v>
      </c>
      <c r="E119" s="33">
        <v>30</v>
      </c>
      <c r="F119" s="33">
        <v>108</v>
      </c>
      <c r="G119" s="33">
        <v>297</v>
      </c>
      <c r="H119" s="33">
        <v>118</v>
      </c>
      <c r="I119" s="33">
        <v>263</v>
      </c>
      <c r="J119" s="33">
        <v>70</v>
      </c>
      <c r="K119" s="33">
        <v>429</v>
      </c>
      <c r="L119" s="33">
        <v>92</v>
      </c>
      <c r="M119" s="33">
        <v>116</v>
      </c>
      <c r="N119" s="33">
        <v>87</v>
      </c>
      <c r="O119" s="33">
        <v>2</v>
      </c>
      <c r="P119" s="1">
        <v>596</v>
      </c>
      <c r="Q119" s="1">
        <v>6</v>
      </c>
      <c r="R119" s="1">
        <v>117</v>
      </c>
    </row>
    <row r="120" spans="1:18">
      <c r="A120" s="33" t="s">
        <v>335</v>
      </c>
      <c r="B120" s="1" t="s">
        <v>122</v>
      </c>
      <c r="C120" s="1" t="s">
        <v>336</v>
      </c>
      <c r="D120" s="33">
        <v>112</v>
      </c>
      <c r="E120" s="33">
        <v>226</v>
      </c>
      <c r="F120" s="33">
        <v>121</v>
      </c>
      <c r="G120" s="33">
        <v>131</v>
      </c>
      <c r="H120" s="33">
        <v>125.5</v>
      </c>
      <c r="I120" s="33">
        <v>87</v>
      </c>
      <c r="J120" s="33">
        <v>82</v>
      </c>
      <c r="K120" s="33">
        <v>171</v>
      </c>
      <c r="L120" s="33">
        <v>83</v>
      </c>
      <c r="M120" s="33">
        <v>407</v>
      </c>
      <c r="N120" s="33">
        <v>72</v>
      </c>
      <c r="O120" s="33">
        <v>312</v>
      </c>
      <c r="P120" s="1">
        <v>595.5</v>
      </c>
      <c r="Q120" s="1">
        <v>13</v>
      </c>
      <c r="R120" s="1">
        <v>119</v>
      </c>
    </row>
    <row r="121" spans="1:18">
      <c r="A121" s="33" t="s">
        <v>339</v>
      </c>
      <c r="B121" s="1" t="s">
        <v>240</v>
      </c>
      <c r="C121" s="1" t="s">
        <v>340</v>
      </c>
      <c r="D121" s="33">
        <v>107</v>
      </c>
      <c r="E121" s="33">
        <v>429</v>
      </c>
      <c r="F121" s="33">
        <v>126</v>
      </c>
      <c r="G121" s="33">
        <v>86</v>
      </c>
      <c r="H121" s="33">
        <v>115</v>
      </c>
      <c r="I121" s="33">
        <v>330</v>
      </c>
      <c r="J121" s="33">
        <v>85</v>
      </c>
      <c r="K121" s="33">
        <v>117</v>
      </c>
      <c r="L121" s="33">
        <v>83</v>
      </c>
      <c r="M121" s="33">
        <v>407</v>
      </c>
      <c r="N121" s="33">
        <v>79</v>
      </c>
      <c r="O121" s="33">
        <v>103</v>
      </c>
      <c r="P121" s="1">
        <v>595</v>
      </c>
      <c r="Q121" s="1">
        <v>6</v>
      </c>
      <c r="R121" s="1">
        <v>120</v>
      </c>
    </row>
    <row r="122" spans="1:18">
      <c r="A122" s="33" t="s">
        <v>337</v>
      </c>
      <c r="B122" s="1" t="s">
        <v>122</v>
      </c>
      <c r="C122" s="1" t="s">
        <v>338</v>
      </c>
      <c r="D122" s="33">
        <v>110</v>
      </c>
      <c r="E122" s="33">
        <v>310</v>
      </c>
      <c r="F122" s="33">
        <v>106</v>
      </c>
      <c r="G122" s="33">
        <v>323</v>
      </c>
      <c r="H122" s="33">
        <v>120</v>
      </c>
      <c r="I122" s="33">
        <v>211</v>
      </c>
      <c r="J122" s="33">
        <v>85</v>
      </c>
      <c r="K122" s="33">
        <v>117</v>
      </c>
      <c r="L122" s="33">
        <v>97</v>
      </c>
      <c r="M122" s="33">
        <v>30</v>
      </c>
      <c r="N122" s="33">
        <v>77</v>
      </c>
      <c r="O122" s="33">
        <v>162</v>
      </c>
      <c r="P122" s="1">
        <v>595</v>
      </c>
      <c r="Q122" s="1">
        <v>14</v>
      </c>
      <c r="R122" s="1">
        <v>120</v>
      </c>
    </row>
    <row r="123" spans="1:18">
      <c r="A123" s="33" t="s">
        <v>341</v>
      </c>
      <c r="B123" s="1" t="s">
        <v>87</v>
      </c>
      <c r="C123" s="1" t="s">
        <v>251</v>
      </c>
      <c r="D123" s="33">
        <v>113</v>
      </c>
      <c r="E123" s="33">
        <v>196</v>
      </c>
      <c r="F123" s="33">
        <v>114</v>
      </c>
      <c r="G123" s="33">
        <v>216</v>
      </c>
      <c r="H123" s="33">
        <v>112.5</v>
      </c>
      <c r="I123" s="33">
        <v>401</v>
      </c>
      <c r="J123" s="33">
        <v>96</v>
      </c>
      <c r="K123" s="33">
        <v>25</v>
      </c>
      <c r="L123" s="33">
        <v>91</v>
      </c>
      <c r="M123" s="33">
        <v>151</v>
      </c>
      <c r="N123" s="33">
        <v>68</v>
      </c>
      <c r="O123" s="33">
        <v>452</v>
      </c>
      <c r="P123" s="1">
        <v>594.5</v>
      </c>
      <c r="Q123" s="1">
        <v>37</v>
      </c>
      <c r="R123" s="1">
        <v>122</v>
      </c>
    </row>
    <row r="124" spans="1:18">
      <c r="A124" s="33" t="s">
        <v>346</v>
      </c>
      <c r="B124" s="1" t="s">
        <v>150</v>
      </c>
      <c r="C124" s="1" t="s">
        <v>347</v>
      </c>
      <c r="D124" s="33">
        <v>105</v>
      </c>
      <c r="E124" s="33">
        <v>515</v>
      </c>
      <c r="F124" s="33">
        <v>140</v>
      </c>
      <c r="G124" s="33">
        <v>16</v>
      </c>
      <c r="H124" s="33">
        <v>103</v>
      </c>
      <c r="I124" s="33">
        <v>630</v>
      </c>
      <c r="J124" s="33">
        <v>80</v>
      </c>
      <c r="K124" s="33">
        <v>211</v>
      </c>
      <c r="L124" s="33">
        <v>87</v>
      </c>
      <c r="M124" s="33">
        <v>268</v>
      </c>
      <c r="N124" s="33">
        <v>79</v>
      </c>
      <c r="O124" s="33">
        <v>103</v>
      </c>
      <c r="P124" s="1">
        <v>594</v>
      </c>
      <c r="Q124" s="1">
        <v>4</v>
      </c>
      <c r="R124" s="1">
        <v>123</v>
      </c>
    </row>
    <row r="125" spans="1:18">
      <c r="A125" s="33" t="s">
        <v>344</v>
      </c>
      <c r="B125" s="1" t="s">
        <v>172</v>
      </c>
      <c r="C125" s="1" t="s">
        <v>345</v>
      </c>
      <c r="D125" s="33">
        <v>115</v>
      </c>
      <c r="E125" s="33">
        <v>140</v>
      </c>
      <c r="F125" s="33">
        <v>108</v>
      </c>
      <c r="G125" s="33">
        <v>297</v>
      </c>
      <c r="H125" s="33">
        <v>116</v>
      </c>
      <c r="I125" s="33">
        <v>309</v>
      </c>
      <c r="J125" s="33">
        <v>82</v>
      </c>
      <c r="K125" s="33">
        <v>171</v>
      </c>
      <c r="L125" s="33">
        <v>90</v>
      </c>
      <c r="M125" s="33">
        <v>177</v>
      </c>
      <c r="N125" s="33">
        <v>83</v>
      </c>
      <c r="O125" s="33">
        <v>30</v>
      </c>
      <c r="P125" s="1">
        <v>594</v>
      </c>
      <c r="Q125" s="1">
        <v>5</v>
      </c>
      <c r="R125" s="1">
        <v>123</v>
      </c>
    </row>
    <row r="126" spans="1:18">
      <c r="A126" s="33" t="s">
        <v>342</v>
      </c>
      <c r="B126" s="1" t="s">
        <v>217</v>
      </c>
      <c r="C126" s="1" t="s">
        <v>343</v>
      </c>
      <c r="D126" s="33">
        <v>118</v>
      </c>
      <c r="E126" s="33">
        <v>69</v>
      </c>
      <c r="F126" s="33">
        <v>102</v>
      </c>
      <c r="G126" s="33">
        <v>387</v>
      </c>
      <c r="H126" s="33">
        <v>119</v>
      </c>
      <c r="I126" s="33">
        <v>237</v>
      </c>
      <c r="J126" s="33">
        <v>85</v>
      </c>
      <c r="K126" s="33">
        <v>117</v>
      </c>
      <c r="L126" s="33">
        <v>91</v>
      </c>
      <c r="M126" s="33">
        <v>151</v>
      </c>
      <c r="N126" s="33">
        <v>79</v>
      </c>
      <c r="O126" s="33">
        <v>103</v>
      </c>
      <c r="P126" s="1">
        <v>594</v>
      </c>
      <c r="Q126" s="1">
        <v>6</v>
      </c>
      <c r="R126" s="1">
        <v>123</v>
      </c>
    </row>
    <row r="127" spans="1:18">
      <c r="A127" s="33" t="s">
        <v>348</v>
      </c>
      <c r="B127" s="1" t="s">
        <v>106</v>
      </c>
      <c r="C127" s="1" t="s">
        <v>349</v>
      </c>
      <c r="D127" s="33">
        <v>111</v>
      </c>
      <c r="E127" s="33">
        <v>271</v>
      </c>
      <c r="F127" s="33">
        <v>115</v>
      </c>
      <c r="G127" s="33">
        <v>196</v>
      </c>
      <c r="H127" s="33">
        <v>118</v>
      </c>
      <c r="I127" s="33">
        <v>263</v>
      </c>
      <c r="J127" s="33">
        <v>85</v>
      </c>
      <c r="K127" s="33">
        <v>117</v>
      </c>
      <c r="L127" s="33">
        <v>93</v>
      </c>
      <c r="M127" s="33">
        <v>93</v>
      </c>
      <c r="N127" s="33">
        <v>71</v>
      </c>
      <c r="O127" s="33">
        <v>342</v>
      </c>
      <c r="P127" s="1">
        <v>593</v>
      </c>
      <c r="Q127" s="1">
        <v>5</v>
      </c>
      <c r="R127" s="1">
        <v>126</v>
      </c>
    </row>
    <row r="128" spans="1:18">
      <c r="A128" s="33" t="s">
        <v>350</v>
      </c>
      <c r="B128" s="1" t="s">
        <v>133</v>
      </c>
      <c r="C128" s="1" t="s">
        <v>351</v>
      </c>
      <c r="D128" s="33">
        <v>117</v>
      </c>
      <c r="E128" s="33">
        <v>86</v>
      </c>
      <c r="F128" s="33">
        <v>130</v>
      </c>
      <c r="G128" s="33">
        <v>54</v>
      </c>
      <c r="H128" s="33">
        <v>107.5</v>
      </c>
      <c r="I128" s="33">
        <v>532</v>
      </c>
      <c r="J128" s="33">
        <v>83</v>
      </c>
      <c r="K128" s="33">
        <v>153</v>
      </c>
      <c r="L128" s="33">
        <v>75</v>
      </c>
      <c r="M128" s="33">
        <v>671</v>
      </c>
      <c r="N128" s="33">
        <v>80</v>
      </c>
      <c r="O128" s="33">
        <v>85</v>
      </c>
      <c r="P128" s="1">
        <v>592.5</v>
      </c>
      <c r="Q128" s="1">
        <v>9</v>
      </c>
      <c r="R128" s="1">
        <v>127</v>
      </c>
    </row>
    <row r="129" spans="1:18">
      <c r="A129" s="33" t="s">
        <v>354</v>
      </c>
      <c r="B129" s="1" t="s">
        <v>217</v>
      </c>
      <c r="C129" s="1" t="s">
        <v>355</v>
      </c>
      <c r="D129" s="33">
        <v>107</v>
      </c>
      <c r="E129" s="33">
        <v>429</v>
      </c>
      <c r="F129" s="33">
        <v>122</v>
      </c>
      <c r="G129" s="33">
        <v>116</v>
      </c>
      <c r="H129" s="33">
        <v>105</v>
      </c>
      <c r="I129" s="33">
        <v>578</v>
      </c>
      <c r="J129" s="33">
        <v>90</v>
      </c>
      <c r="K129" s="33">
        <v>63</v>
      </c>
      <c r="L129" s="33">
        <v>93</v>
      </c>
      <c r="M129" s="33">
        <v>93</v>
      </c>
      <c r="N129" s="33">
        <v>75</v>
      </c>
      <c r="O129" s="33">
        <v>219</v>
      </c>
      <c r="P129" s="1">
        <v>592</v>
      </c>
      <c r="Q129" s="1">
        <v>7</v>
      </c>
      <c r="R129" s="1">
        <v>128</v>
      </c>
    </row>
    <row r="130" spans="1:18">
      <c r="A130" s="33" t="s">
        <v>352</v>
      </c>
      <c r="B130" s="1" t="s">
        <v>106</v>
      </c>
      <c r="C130" s="1" t="s">
        <v>353</v>
      </c>
      <c r="D130" s="33">
        <v>119</v>
      </c>
      <c r="E130" s="33">
        <v>51</v>
      </c>
      <c r="F130" s="33">
        <v>117</v>
      </c>
      <c r="G130" s="33">
        <v>174</v>
      </c>
      <c r="H130" s="33">
        <v>123</v>
      </c>
      <c r="I130" s="33">
        <v>132</v>
      </c>
      <c r="J130" s="33">
        <v>87</v>
      </c>
      <c r="K130" s="33">
        <v>92</v>
      </c>
      <c r="L130" s="33">
        <v>75</v>
      </c>
      <c r="M130" s="33">
        <v>671</v>
      </c>
      <c r="N130" s="33">
        <v>71</v>
      </c>
      <c r="O130" s="33">
        <v>342</v>
      </c>
      <c r="P130" s="1">
        <v>592</v>
      </c>
      <c r="Q130" s="1">
        <v>6</v>
      </c>
      <c r="R130" s="1">
        <v>128</v>
      </c>
    </row>
    <row r="131" spans="1:18">
      <c r="A131" s="33" t="s">
        <v>358</v>
      </c>
      <c r="B131" s="1" t="s">
        <v>203</v>
      </c>
      <c r="C131" s="1" t="s">
        <v>359</v>
      </c>
      <c r="D131" s="33">
        <v>114</v>
      </c>
      <c r="E131" s="33">
        <v>170</v>
      </c>
      <c r="F131" s="33">
        <v>115</v>
      </c>
      <c r="G131" s="33">
        <v>196</v>
      </c>
      <c r="H131" s="33">
        <v>118</v>
      </c>
      <c r="I131" s="33">
        <v>263</v>
      </c>
      <c r="J131" s="33">
        <v>71</v>
      </c>
      <c r="K131" s="33">
        <v>411</v>
      </c>
      <c r="L131" s="33">
        <v>92</v>
      </c>
      <c r="M131" s="33">
        <v>116</v>
      </c>
      <c r="N131" s="33">
        <v>82</v>
      </c>
      <c r="O131" s="33">
        <v>46</v>
      </c>
      <c r="P131" s="1">
        <v>592</v>
      </c>
      <c r="Q131" s="1">
        <v>7</v>
      </c>
      <c r="R131" s="1">
        <v>128</v>
      </c>
    </row>
    <row r="132" spans="1:18">
      <c r="A132" s="33" t="s">
        <v>356</v>
      </c>
      <c r="B132" s="1" t="s">
        <v>169</v>
      </c>
      <c r="C132" s="1" t="s">
        <v>357</v>
      </c>
      <c r="D132" s="33">
        <v>119</v>
      </c>
      <c r="E132" s="33">
        <v>51</v>
      </c>
      <c r="F132" s="33">
        <v>111</v>
      </c>
      <c r="G132" s="33">
        <v>248</v>
      </c>
      <c r="H132" s="33">
        <v>120</v>
      </c>
      <c r="I132" s="33">
        <v>211</v>
      </c>
      <c r="J132" s="33">
        <v>78</v>
      </c>
      <c r="K132" s="33">
        <v>256</v>
      </c>
      <c r="L132" s="33">
        <v>89</v>
      </c>
      <c r="M132" s="33">
        <v>200</v>
      </c>
      <c r="N132" s="33">
        <v>75</v>
      </c>
      <c r="O132" s="33">
        <v>219</v>
      </c>
      <c r="P132" s="1">
        <v>592</v>
      </c>
      <c r="Q132" s="1">
        <v>6</v>
      </c>
      <c r="R132" s="1">
        <v>128</v>
      </c>
    </row>
    <row r="133" spans="1:18">
      <c r="A133" s="33" t="s">
        <v>362</v>
      </c>
      <c r="B133" s="1" t="s">
        <v>249</v>
      </c>
      <c r="C133" s="1" t="s">
        <v>363</v>
      </c>
      <c r="D133" s="33">
        <v>100</v>
      </c>
      <c r="E133" s="33">
        <v>715</v>
      </c>
      <c r="F133" s="33">
        <v>132</v>
      </c>
      <c r="G133" s="33">
        <v>46</v>
      </c>
      <c r="H133" s="33">
        <v>101.5</v>
      </c>
      <c r="I133" s="33">
        <v>654</v>
      </c>
      <c r="J133" s="33">
        <v>93</v>
      </c>
      <c r="K133" s="33">
        <v>39</v>
      </c>
      <c r="L133" s="33">
        <v>86</v>
      </c>
      <c r="M133" s="33">
        <v>304</v>
      </c>
      <c r="N133" s="33">
        <v>79</v>
      </c>
      <c r="O133" s="33">
        <v>103</v>
      </c>
      <c r="P133" s="1">
        <v>591.5</v>
      </c>
      <c r="Q133" s="1">
        <v>6</v>
      </c>
      <c r="R133" s="1">
        <v>132</v>
      </c>
    </row>
    <row r="134" spans="1:18">
      <c r="A134" s="33" t="s">
        <v>364</v>
      </c>
      <c r="B134" s="1" t="s">
        <v>122</v>
      </c>
      <c r="C134" s="1" t="s">
        <v>365</v>
      </c>
      <c r="D134" s="33">
        <v>120</v>
      </c>
      <c r="E134" s="33">
        <v>43</v>
      </c>
      <c r="F134" s="33">
        <v>122</v>
      </c>
      <c r="G134" s="33">
        <v>116</v>
      </c>
      <c r="H134" s="33">
        <v>105.5</v>
      </c>
      <c r="I134" s="33">
        <v>568</v>
      </c>
      <c r="J134" s="33">
        <v>90</v>
      </c>
      <c r="K134" s="33">
        <v>63</v>
      </c>
      <c r="L134" s="33">
        <v>90</v>
      </c>
      <c r="M134" s="33">
        <v>177</v>
      </c>
      <c r="N134" s="33">
        <v>64</v>
      </c>
      <c r="O134" s="33">
        <v>593</v>
      </c>
      <c r="P134" s="1">
        <v>591.5</v>
      </c>
      <c r="Q134" s="1">
        <v>15</v>
      </c>
      <c r="R134" s="1">
        <v>132</v>
      </c>
    </row>
    <row r="135" spans="1:18">
      <c r="A135" s="33" t="s">
        <v>360</v>
      </c>
      <c r="B135" s="1" t="s">
        <v>217</v>
      </c>
      <c r="C135" s="1" t="s">
        <v>361</v>
      </c>
      <c r="D135" s="33">
        <v>115</v>
      </c>
      <c r="E135" s="33">
        <v>140</v>
      </c>
      <c r="F135" s="33">
        <v>111</v>
      </c>
      <c r="G135" s="33">
        <v>248</v>
      </c>
      <c r="H135" s="33">
        <v>120.5</v>
      </c>
      <c r="I135" s="33">
        <v>192</v>
      </c>
      <c r="J135" s="33">
        <v>89</v>
      </c>
      <c r="K135" s="33">
        <v>79</v>
      </c>
      <c r="L135" s="33">
        <v>83</v>
      </c>
      <c r="M135" s="33">
        <v>407</v>
      </c>
      <c r="N135" s="33">
        <v>73</v>
      </c>
      <c r="O135" s="33">
        <v>275</v>
      </c>
      <c r="P135" s="1">
        <v>591.5</v>
      </c>
      <c r="Q135" s="1">
        <v>8</v>
      </c>
      <c r="R135" s="1">
        <v>132</v>
      </c>
    </row>
    <row r="136" spans="1:18">
      <c r="A136" s="33" t="s">
        <v>368</v>
      </c>
      <c r="B136" s="1" t="s">
        <v>172</v>
      </c>
      <c r="C136" s="1" t="s">
        <v>369</v>
      </c>
      <c r="D136" s="33">
        <v>105</v>
      </c>
      <c r="E136" s="33">
        <v>515</v>
      </c>
      <c r="F136" s="33">
        <v>146</v>
      </c>
      <c r="G136" s="33">
        <v>4</v>
      </c>
      <c r="H136" s="33">
        <v>100</v>
      </c>
      <c r="I136" s="33">
        <v>680</v>
      </c>
      <c r="J136" s="33">
        <v>81</v>
      </c>
      <c r="K136" s="33">
        <v>195</v>
      </c>
      <c r="L136" s="33">
        <v>89</v>
      </c>
      <c r="M136" s="33">
        <v>200</v>
      </c>
      <c r="N136" s="33">
        <v>70</v>
      </c>
      <c r="O136" s="33">
        <v>380</v>
      </c>
      <c r="P136" s="1">
        <v>591</v>
      </c>
      <c r="Q136" s="1">
        <v>6</v>
      </c>
      <c r="R136" s="1">
        <v>135</v>
      </c>
    </row>
    <row r="137" spans="1:18">
      <c r="A137" s="33" t="s">
        <v>366</v>
      </c>
      <c r="B137" s="1" t="s">
        <v>87</v>
      </c>
      <c r="C137" s="1" t="s">
        <v>367</v>
      </c>
      <c r="D137" s="33">
        <v>108</v>
      </c>
      <c r="E137" s="33">
        <v>391</v>
      </c>
      <c r="F137" s="33">
        <v>116</v>
      </c>
      <c r="G137" s="33">
        <v>187</v>
      </c>
      <c r="H137" s="33">
        <v>117</v>
      </c>
      <c r="I137" s="33">
        <v>291</v>
      </c>
      <c r="J137" s="33">
        <v>69</v>
      </c>
      <c r="K137" s="33">
        <v>452</v>
      </c>
      <c r="L137" s="33">
        <v>99</v>
      </c>
      <c r="M137" s="33">
        <v>13</v>
      </c>
      <c r="N137" s="33">
        <v>82</v>
      </c>
      <c r="O137" s="33">
        <v>46</v>
      </c>
      <c r="P137" s="1">
        <v>591</v>
      </c>
      <c r="Q137" s="1">
        <v>38</v>
      </c>
      <c r="R137" s="1">
        <v>135</v>
      </c>
    </row>
    <row r="138" spans="1:18">
      <c r="A138" s="33" t="s">
        <v>370</v>
      </c>
      <c r="B138" s="1" t="s">
        <v>87</v>
      </c>
      <c r="C138" s="1" t="s">
        <v>371</v>
      </c>
      <c r="D138" s="33">
        <v>105</v>
      </c>
      <c r="E138" s="33">
        <v>515</v>
      </c>
      <c r="F138" s="33">
        <v>96</v>
      </c>
      <c r="G138" s="33">
        <v>484</v>
      </c>
      <c r="H138" s="33">
        <v>130.5</v>
      </c>
      <c r="I138" s="33">
        <v>31</v>
      </c>
      <c r="J138" s="33">
        <v>76</v>
      </c>
      <c r="K138" s="33">
        <v>302</v>
      </c>
      <c r="L138" s="33">
        <v>98</v>
      </c>
      <c r="M138" s="33">
        <v>20</v>
      </c>
      <c r="N138" s="33">
        <v>85</v>
      </c>
      <c r="O138" s="33">
        <v>14</v>
      </c>
      <c r="P138" s="1">
        <v>590.5</v>
      </c>
      <c r="Q138" s="1">
        <v>39</v>
      </c>
      <c r="R138" s="1">
        <v>137</v>
      </c>
    </row>
    <row r="139" spans="1:18">
      <c r="A139" s="33" t="s">
        <v>374</v>
      </c>
      <c r="B139" s="1" t="s">
        <v>133</v>
      </c>
      <c r="C139" s="1" t="s">
        <v>375</v>
      </c>
      <c r="D139" s="33">
        <v>104</v>
      </c>
      <c r="E139" s="33">
        <v>573</v>
      </c>
      <c r="F139" s="33">
        <v>115</v>
      </c>
      <c r="G139" s="33">
        <v>196</v>
      </c>
      <c r="H139" s="33">
        <v>122</v>
      </c>
      <c r="I139" s="33">
        <v>154</v>
      </c>
      <c r="J139" s="33">
        <v>80</v>
      </c>
      <c r="K139" s="33">
        <v>211</v>
      </c>
      <c r="L139" s="33">
        <v>87</v>
      </c>
      <c r="M139" s="33">
        <v>268</v>
      </c>
      <c r="N139" s="33">
        <v>82</v>
      </c>
      <c r="O139" s="33">
        <v>46</v>
      </c>
      <c r="P139" s="1">
        <v>590</v>
      </c>
      <c r="Q139" s="1">
        <v>10</v>
      </c>
      <c r="R139" s="1">
        <v>138</v>
      </c>
    </row>
    <row r="140" spans="1:18">
      <c r="A140" s="33" t="s">
        <v>372</v>
      </c>
      <c r="B140" s="1" t="s">
        <v>87</v>
      </c>
      <c r="C140" s="1" t="s">
        <v>373</v>
      </c>
      <c r="D140" s="33">
        <v>116</v>
      </c>
      <c r="E140" s="33">
        <v>117</v>
      </c>
      <c r="F140" s="33">
        <v>105</v>
      </c>
      <c r="G140" s="33">
        <v>341</v>
      </c>
      <c r="H140" s="33">
        <v>119</v>
      </c>
      <c r="I140" s="33">
        <v>237</v>
      </c>
      <c r="J140" s="33">
        <v>77</v>
      </c>
      <c r="K140" s="33">
        <v>278</v>
      </c>
      <c r="L140" s="33">
        <v>99</v>
      </c>
      <c r="M140" s="33">
        <v>13</v>
      </c>
      <c r="N140" s="33">
        <v>74</v>
      </c>
      <c r="O140" s="33">
        <v>247</v>
      </c>
      <c r="P140" s="1">
        <v>590</v>
      </c>
      <c r="Q140" s="1">
        <v>40</v>
      </c>
      <c r="R140" s="1">
        <v>138</v>
      </c>
    </row>
    <row r="141" spans="1:18">
      <c r="A141" s="33" t="s">
        <v>380</v>
      </c>
      <c r="B141" s="1" t="s">
        <v>84</v>
      </c>
      <c r="C141" s="1" t="s">
        <v>381</v>
      </c>
      <c r="D141" s="33">
        <v>115</v>
      </c>
      <c r="E141" s="33">
        <v>140</v>
      </c>
      <c r="F141" s="33">
        <v>126</v>
      </c>
      <c r="G141" s="33">
        <v>86</v>
      </c>
      <c r="H141" s="33">
        <v>111.5</v>
      </c>
      <c r="I141" s="33">
        <v>427</v>
      </c>
      <c r="J141" s="33">
        <v>71</v>
      </c>
      <c r="K141" s="33">
        <v>411</v>
      </c>
      <c r="L141" s="33">
        <v>89</v>
      </c>
      <c r="M141" s="33">
        <v>200</v>
      </c>
      <c r="N141" s="33">
        <v>77</v>
      </c>
      <c r="O141" s="33">
        <v>162</v>
      </c>
      <c r="P141" s="1">
        <v>589.5</v>
      </c>
      <c r="Q141" s="1">
        <v>4</v>
      </c>
      <c r="R141" s="1">
        <v>140</v>
      </c>
    </row>
    <row r="142" spans="1:18">
      <c r="A142" s="33" t="s">
        <v>376</v>
      </c>
      <c r="B142" s="1" t="s">
        <v>122</v>
      </c>
      <c r="C142" s="1" t="s">
        <v>377</v>
      </c>
      <c r="D142" s="33">
        <v>130</v>
      </c>
      <c r="E142" s="33">
        <v>1</v>
      </c>
      <c r="F142" s="33">
        <v>117</v>
      </c>
      <c r="G142" s="33">
        <v>174</v>
      </c>
      <c r="H142" s="33">
        <v>123.5</v>
      </c>
      <c r="I142" s="33">
        <v>124</v>
      </c>
      <c r="J142" s="33">
        <v>61</v>
      </c>
      <c r="K142" s="33">
        <v>627</v>
      </c>
      <c r="L142" s="33">
        <v>88</v>
      </c>
      <c r="M142" s="33">
        <v>240</v>
      </c>
      <c r="N142" s="33">
        <v>70</v>
      </c>
      <c r="O142" s="33">
        <v>380</v>
      </c>
      <c r="P142" s="1">
        <v>589.5</v>
      </c>
      <c r="Q142" s="1">
        <v>16</v>
      </c>
      <c r="R142" s="1">
        <v>140</v>
      </c>
    </row>
    <row r="143" spans="1:18">
      <c r="A143" s="33" t="s">
        <v>378</v>
      </c>
      <c r="B143" s="1" t="s">
        <v>169</v>
      </c>
      <c r="C143" s="1" t="s">
        <v>379</v>
      </c>
      <c r="D143" s="33">
        <v>105</v>
      </c>
      <c r="E143" s="33">
        <v>515</v>
      </c>
      <c r="F143" s="33">
        <v>114</v>
      </c>
      <c r="G143" s="33">
        <v>216</v>
      </c>
      <c r="H143" s="33">
        <v>138.5</v>
      </c>
      <c r="I143" s="33">
        <v>2</v>
      </c>
      <c r="J143" s="33">
        <v>80</v>
      </c>
      <c r="K143" s="33">
        <v>211</v>
      </c>
      <c r="L143" s="33">
        <v>71</v>
      </c>
      <c r="M143" s="33">
        <v>773</v>
      </c>
      <c r="N143" s="33">
        <v>81</v>
      </c>
      <c r="O143" s="33">
        <v>66</v>
      </c>
      <c r="P143" s="1">
        <v>589.5</v>
      </c>
      <c r="Q143" s="1">
        <v>7</v>
      </c>
      <c r="R143" s="1">
        <v>140</v>
      </c>
    </row>
    <row r="144" spans="1:18">
      <c r="A144" s="33" t="s">
        <v>382</v>
      </c>
      <c r="B144" s="1" t="s">
        <v>122</v>
      </c>
      <c r="C144" s="1" t="s">
        <v>383</v>
      </c>
      <c r="D144" s="33">
        <v>113</v>
      </c>
      <c r="E144" s="33">
        <v>196</v>
      </c>
      <c r="F144" s="33">
        <v>121</v>
      </c>
      <c r="G144" s="33">
        <v>131</v>
      </c>
      <c r="H144" s="33">
        <v>111</v>
      </c>
      <c r="I144" s="33">
        <v>445</v>
      </c>
      <c r="J144" s="33">
        <v>78</v>
      </c>
      <c r="K144" s="33">
        <v>256</v>
      </c>
      <c r="L144" s="33">
        <v>93</v>
      </c>
      <c r="M144" s="33">
        <v>93</v>
      </c>
      <c r="N144" s="33">
        <v>73</v>
      </c>
      <c r="O144" s="33">
        <v>275</v>
      </c>
      <c r="P144" s="1">
        <v>589</v>
      </c>
      <c r="Q144" s="1">
        <v>17</v>
      </c>
      <c r="R144" s="1">
        <v>143</v>
      </c>
    </row>
    <row r="145" spans="1:18">
      <c r="A145" s="33" t="s">
        <v>386</v>
      </c>
      <c r="B145" s="1" t="s">
        <v>172</v>
      </c>
      <c r="C145" s="1" t="s">
        <v>387</v>
      </c>
      <c r="D145" s="33">
        <v>110</v>
      </c>
      <c r="E145" s="33">
        <v>310</v>
      </c>
      <c r="F145" s="33">
        <v>115</v>
      </c>
      <c r="G145" s="33">
        <v>196</v>
      </c>
      <c r="H145" s="33">
        <v>106</v>
      </c>
      <c r="I145" s="33">
        <v>558</v>
      </c>
      <c r="J145" s="33">
        <v>86</v>
      </c>
      <c r="K145" s="33">
        <v>101</v>
      </c>
      <c r="L145" s="33">
        <v>94</v>
      </c>
      <c r="M145" s="33">
        <v>78</v>
      </c>
      <c r="N145" s="33">
        <v>78</v>
      </c>
      <c r="O145" s="33">
        <v>133</v>
      </c>
      <c r="P145" s="1">
        <v>589</v>
      </c>
      <c r="Q145" s="1">
        <v>7</v>
      </c>
      <c r="R145" s="1">
        <v>143</v>
      </c>
    </row>
    <row r="146" spans="1:18">
      <c r="A146" s="33" t="s">
        <v>384</v>
      </c>
      <c r="B146" s="1" t="s">
        <v>122</v>
      </c>
      <c r="C146" s="1" t="s">
        <v>385</v>
      </c>
      <c r="D146" s="33">
        <v>115</v>
      </c>
      <c r="E146" s="33">
        <v>140</v>
      </c>
      <c r="F146" s="33">
        <v>114</v>
      </c>
      <c r="G146" s="33">
        <v>216</v>
      </c>
      <c r="H146" s="33">
        <v>124</v>
      </c>
      <c r="I146" s="33">
        <v>115</v>
      </c>
      <c r="J146" s="33">
        <v>74</v>
      </c>
      <c r="K146" s="33">
        <v>345</v>
      </c>
      <c r="L146" s="33">
        <v>85</v>
      </c>
      <c r="M146" s="33">
        <v>339</v>
      </c>
      <c r="N146" s="33">
        <v>77</v>
      </c>
      <c r="O146" s="33">
        <v>162</v>
      </c>
      <c r="P146" s="1">
        <v>589</v>
      </c>
      <c r="Q146" s="1">
        <v>17</v>
      </c>
      <c r="R146" s="1">
        <v>143</v>
      </c>
    </row>
    <row r="147" spans="1:18">
      <c r="A147" s="33" t="s">
        <v>394</v>
      </c>
      <c r="B147" s="1" t="s">
        <v>150</v>
      </c>
      <c r="C147" s="1" t="s">
        <v>395</v>
      </c>
      <c r="D147" s="33">
        <v>110</v>
      </c>
      <c r="E147" s="33">
        <v>310</v>
      </c>
      <c r="F147" s="33">
        <v>134</v>
      </c>
      <c r="G147" s="33">
        <v>35</v>
      </c>
      <c r="H147" s="33">
        <v>99.5</v>
      </c>
      <c r="I147" s="33">
        <v>694</v>
      </c>
      <c r="J147" s="33">
        <v>70</v>
      </c>
      <c r="K147" s="33">
        <v>429</v>
      </c>
      <c r="L147" s="33">
        <v>96</v>
      </c>
      <c r="M147" s="33">
        <v>45</v>
      </c>
      <c r="N147" s="33">
        <v>79</v>
      </c>
      <c r="O147" s="33">
        <v>103</v>
      </c>
      <c r="P147" s="1">
        <v>588.5</v>
      </c>
      <c r="Q147" s="1">
        <v>5</v>
      </c>
      <c r="R147" s="1">
        <v>146</v>
      </c>
    </row>
    <row r="148" spans="1:18">
      <c r="A148" s="33" t="s">
        <v>396</v>
      </c>
      <c r="B148" s="1" t="s">
        <v>84</v>
      </c>
      <c r="C148" s="1" t="s">
        <v>397</v>
      </c>
      <c r="D148" s="33">
        <v>104</v>
      </c>
      <c r="E148" s="33">
        <v>573</v>
      </c>
      <c r="F148" s="33">
        <v>124</v>
      </c>
      <c r="G148" s="33">
        <v>101</v>
      </c>
      <c r="H148" s="33">
        <v>110.5</v>
      </c>
      <c r="I148" s="33">
        <v>465</v>
      </c>
      <c r="J148" s="33">
        <v>85</v>
      </c>
      <c r="K148" s="33">
        <v>117</v>
      </c>
      <c r="L148" s="33">
        <v>85</v>
      </c>
      <c r="M148" s="33">
        <v>339</v>
      </c>
      <c r="N148" s="33">
        <v>80</v>
      </c>
      <c r="O148" s="33">
        <v>85</v>
      </c>
      <c r="P148" s="1">
        <v>588.5</v>
      </c>
      <c r="Q148" s="1">
        <v>5</v>
      </c>
      <c r="R148" s="1">
        <v>146</v>
      </c>
    </row>
    <row r="149" spans="1:18">
      <c r="A149" s="33" t="s">
        <v>392</v>
      </c>
      <c r="B149" s="1" t="s">
        <v>133</v>
      </c>
      <c r="C149" s="1" t="s">
        <v>393</v>
      </c>
      <c r="D149" s="33">
        <v>129</v>
      </c>
      <c r="E149" s="33">
        <v>2</v>
      </c>
      <c r="F149" s="33">
        <v>118</v>
      </c>
      <c r="G149" s="33">
        <v>162</v>
      </c>
      <c r="H149" s="33">
        <v>106.5</v>
      </c>
      <c r="I149" s="33">
        <v>554</v>
      </c>
      <c r="J149" s="33">
        <v>87</v>
      </c>
      <c r="K149" s="33">
        <v>92</v>
      </c>
      <c r="L149" s="33">
        <v>75</v>
      </c>
      <c r="M149" s="33">
        <v>671</v>
      </c>
      <c r="N149" s="33">
        <v>73</v>
      </c>
      <c r="O149" s="33">
        <v>275</v>
      </c>
      <c r="P149" s="1">
        <v>588.5</v>
      </c>
      <c r="Q149" s="1">
        <v>11</v>
      </c>
      <c r="R149" s="1">
        <v>146</v>
      </c>
    </row>
    <row r="150" spans="1:18">
      <c r="A150" s="33" t="s">
        <v>390</v>
      </c>
      <c r="B150" s="1" t="s">
        <v>97</v>
      </c>
      <c r="C150" s="1" t="s">
        <v>391</v>
      </c>
      <c r="D150" s="33">
        <v>119</v>
      </c>
      <c r="E150" s="33">
        <v>51</v>
      </c>
      <c r="F150" s="33">
        <v>106</v>
      </c>
      <c r="G150" s="33">
        <v>323</v>
      </c>
      <c r="H150" s="33">
        <v>121.5</v>
      </c>
      <c r="I150" s="33">
        <v>160</v>
      </c>
      <c r="J150" s="33">
        <v>74</v>
      </c>
      <c r="K150" s="33">
        <v>345</v>
      </c>
      <c r="L150" s="33">
        <v>89</v>
      </c>
      <c r="M150" s="33">
        <v>200</v>
      </c>
      <c r="N150" s="33">
        <v>79</v>
      </c>
      <c r="O150" s="33">
        <v>103</v>
      </c>
      <c r="P150" s="1">
        <v>588.5</v>
      </c>
      <c r="Q150" s="1">
        <v>8</v>
      </c>
      <c r="R150" s="1">
        <v>146</v>
      </c>
    </row>
    <row r="151" spans="1:18">
      <c r="A151" s="33" t="s">
        <v>388</v>
      </c>
      <c r="B151" s="1" t="s">
        <v>122</v>
      </c>
      <c r="C151" s="1" t="s">
        <v>389</v>
      </c>
      <c r="D151" s="33">
        <v>112</v>
      </c>
      <c r="E151" s="33">
        <v>226</v>
      </c>
      <c r="F151" s="33">
        <v>105</v>
      </c>
      <c r="G151" s="33">
        <v>341</v>
      </c>
      <c r="H151" s="33">
        <v>121.5</v>
      </c>
      <c r="I151" s="33">
        <v>160</v>
      </c>
      <c r="J151" s="33">
        <v>82</v>
      </c>
      <c r="K151" s="33">
        <v>171</v>
      </c>
      <c r="L151" s="33">
        <v>100</v>
      </c>
      <c r="M151" s="33">
        <v>1</v>
      </c>
      <c r="N151" s="33">
        <v>68</v>
      </c>
      <c r="O151" s="33">
        <v>452</v>
      </c>
      <c r="P151" s="1">
        <v>588.5</v>
      </c>
      <c r="Q151" s="1">
        <v>19</v>
      </c>
      <c r="R151" s="1">
        <v>146</v>
      </c>
    </row>
    <row r="152" spans="1:18">
      <c r="A152" s="33" t="s">
        <v>398</v>
      </c>
      <c r="B152" s="1" t="s">
        <v>296</v>
      </c>
      <c r="C152" s="1" t="s">
        <v>399</v>
      </c>
      <c r="D152" s="33">
        <v>115</v>
      </c>
      <c r="E152" s="33">
        <v>140</v>
      </c>
      <c r="F152" s="33">
        <v>101</v>
      </c>
      <c r="G152" s="33">
        <v>404</v>
      </c>
      <c r="H152" s="33">
        <v>135.5</v>
      </c>
      <c r="I152" s="33">
        <v>7</v>
      </c>
      <c r="J152" s="33">
        <v>77</v>
      </c>
      <c r="K152" s="33">
        <v>278</v>
      </c>
      <c r="L152" s="33">
        <v>92</v>
      </c>
      <c r="M152" s="33">
        <v>116</v>
      </c>
      <c r="N152" s="33">
        <v>68</v>
      </c>
      <c r="O152" s="33">
        <v>452</v>
      </c>
      <c r="P152" s="1">
        <v>588.5</v>
      </c>
      <c r="Q152" s="1">
        <v>5</v>
      </c>
      <c r="R152" s="1">
        <v>146</v>
      </c>
    </row>
    <row r="153" spans="1:18">
      <c r="A153" s="33" t="s">
        <v>400</v>
      </c>
      <c r="B153" s="1" t="s">
        <v>150</v>
      </c>
      <c r="C153" s="1" t="s">
        <v>401</v>
      </c>
      <c r="D153" s="33">
        <v>113</v>
      </c>
      <c r="E153" s="33">
        <v>196</v>
      </c>
      <c r="F153" s="33">
        <v>110</v>
      </c>
      <c r="G153" s="33">
        <v>265</v>
      </c>
      <c r="H153" s="33">
        <v>124</v>
      </c>
      <c r="I153" s="33">
        <v>115</v>
      </c>
      <c r="J153" s="33">
        <v>74</v>
      </c>
      <c r="K153" s="33">
        <v>345</v>
      </c>
      <c r="L153" s="33">
        <v>87</v>
      </c>
      <c r="M153" s="33">
        <v>268</v>
      </c>
      <c r="N153" s="33">
        <v>80</v>
      </c>
      <c r="O153" s="33">
        <v>85</v>
      </c>
      <c r="P153" s="1">
        <v>588</v>
      </c>
      <c r="Q153" s="1">
        <v>6</v>
      </c>
      <c r="R153" s="1">
        <v>152</v>
      </c>
    </row>
    <row r="154" spans="1:18">
      <c r="A154" s="33" t="s">
        <v>402</v>
      </c>
      <c r="B154" s="1" t="s">
        <v>87</v>
      </c>
      <c r="C154" s="1" t="s">
        <v>403</v>
      </c>
      <c r="D154" s="33">
        <v>101</v>
      </c>
      <c r="E154" s="33">
        <v>688</v>
      </c>
      <c r="F154" s="33">
        <v>104</v>
      </c>
      <c r="G154" s="33">
        <v>359</v>
      </c>
      <c r="H154" s="33">
        <v>130</v>
      </c>
      <c r="I154" s="33">
        <v>34</v>
      </c>
      <c r="J154" s="33">
        <v>83</v>
      </c>
      <c r="K154" s="33">
        <v>153</v>
      </c>
      <c r="L154" s="33">
        <v>94</v>
      </c>
      <c r="M154" s="33">
        <v>78</v>
      </c>
      <c r="N154" s="33">
        <v>76</v>
      </c>
      <c r="O154" s="33">
        <v>194</v>
      </c>
      <c r="P154" s="1">
        <v>588</v>
      </c>
      <c r="Q154" s="1">
        <v>41</v>
      </c>
      <c r="R154" s="1">
        <v>152</v>
      </c>
    </row>
    <row r="155" spans="1:18">
      <c r="A155" s="33" t="s">
        <v>406</v>
      </c>
      <c r="B155" s="1" t="s">
        <v>172</v>
      </c>
      <c r="C155" s="1" t="s">
        <v>407</v>
      </c>
      <c r="D155" s="33">
        <v>118</v>
      </c>
      <c r="E155" s="33">
        <v>69</v>
      </c>
      <c r="F155" s="33">
        <v>110</v>
      </c>
      <c r="G155" s="33">
        <v>265</v>
      </c>
      <c r="H155" s="33">
        <v>123.5</v>
      </c>
      <c r="I155" s="33">
        <v>124</v>
      </c>
      <c r="J155" s="33">
        <v>82</v>
      </c>
      <c r="K155" s="33">
        <v>171</v>
      </c>
      <c r="L155" s="33">
        <v>83</v>
      </c>
      <c r="M155" s="33">
        <v>407</v>
      </c>
      <c r="N155" s="33">
        <v>71</v>
      </c>
      <c r="O155" s="33">
        <v>342</v>
      </c>
      <c r="P155" s="1">
        <v>587.5</v>
      </c>
      <c r="Q155" s="1">
        <v>8</v>
      </c>
      <c r="R155" s="1">
        <v>154</v>
      </c>
    </row>
    <row r="156" spans="1:18">
      <c r="A156" s="33" t="s">
        <v>404</v>
      </c>
      <c r="B156" s="1" t="s">
        <v>122</v>
      </c>
      <c r="C156" s="1" t="s">
        <v>405</v>
      </c>
      <c r="D156" s="33">
        <v>115</v>
      </c>
      <c r="E156" s="33">
        <v>140</v>
      </c>
      <c r="F156" s="33">
        <v>106</v>
      </c>
      <c r="G156" s="33">
        <v>323</v>
      </c>
      <c r="H156" s="33">
        <v>125.5</v>
      </c>
      <c r="I156" s="33">
        <v>87</v>
      </c>
      <c r="J156" s="33">
        <v>69</v>
      </c>
      <c r="K156" s="33">
        <v>452</v>
      </c>
      <c r="L156" s="33">
        <v>96</v>
      </c>
      <c r="M156" s="33">
        <v>45</v>
      </c>
      <c r="N156" s="33">
        <v>76</v>
      </c>
      <c r="O156" s="33">
        <v>194</v>
      </c>
      <c r="P156" s="1">
        <v>587.5</v>
      </c>
      <c r="Q156" s="1">
        <v>20</v>
      </c>
      <c r="R156" s="1">
        <v>154</v>
      </c>
    </row>
    <row r="157" spans="1:18">
      <c r="A157" s="33" t="s">
        <v>410</v>
      </c>
      <c r="B157" s="1" t="s">
        <v>84</v>
      </c>
      <c r="C157" s="1" t="s">
        <v>411</v>
      </c>
      <c r="D157" s="33">
        <v>112</v>
      </c>
      <c r="E157" s="33">
        <v>226</v>
      </c>
      <c r="F157" s="33">
        <v>122</v>
      </c>
      <c r="G157" s="33">
        <v>116</v>
      </c>
      <c r="H157" s="33">
        <v>106</v>
      </c>
      <c r="I157" s="33">
        <v>558</v>
      </c>
      <c r="J157" s="33">
        <v>84</v>
      </c>
      <c r="K157" s="33">
        <v>131</v>
      </c>
      <c r="L157" s="33">
        <v>87</v>
      </c>
      <c r="M157" s="33">
        <v>268</v>
      </c>
      <c r="N157" s="33">
        <v>76</v>
      </c>
      <c r="O157" s="33">
        <v>194</v>
      </c>
      <c r="P157" s="1">
        <v>587</v>
      </c>
      <c r="Q157" s="1">
        <v>6</v>
      </c>
      <c r="R157" s="1">
        <v>156</v>
      </c>
    </row>
    <row r="158" spans="1:18">
      <c r="A158" s="33" t="s">
        <v>408</v>
      </c>
      <c r="B158" s="1" t="s">
        <v>87</v>
      </c>
      <c r="C158" s="1" t="s">
        <v>409</v>
      </c>
      <c r="D158" s="33">
        <v>116</v>
      </c>
      <c r="E158" s="33">
        <v>117</v>
      </c>
      <c r="F158" s="33">
        <v>100</v>
      </c>
      <c r="G158" s="33">
        <v>422</v>
      </c>
      <c r="H158" s="33">
        <v>121</v>
      </c>
      <c r="I158" s="33">
        <v>173</v>
      </c>
      <c r="J158" s="33">
        <v>80</v>
      </c>
      <c r="K158" s="33">
        <v>211</v>
      </c>
      <c r="L158" s="33">
        <v>98</v>
      </c>
      <c r="M158" s="33">
        <v>20</v>
      </c>
      <c r="N158" s="33">
        <v>72</v>
      </c>
      <c r="O158" s="33">
        <v>312</v>
      </c>
      <c r="P158" s="1">
        <v>587</v>
      </c>
      <c r="Q158" s="1">
        <v>42</v>
      </c>
      <c r="R158" s="1">
        <v>156</v>
      </c>
    </row>
    <row r="159" spans="1:18">
      <c r="A159" s="33" t="s">
        <v>414</v>
      </c>
      <c r="B159" s="1" t="s">
        <v>97</v>
      </c>
      <c r="C159" s="1" t="s">
        <v>415</v>
      </c>
      <c r="D159" s="33">
        <v>105</v>
      </c>
      <c r="E159" s="33">
        <v>515</v>
      </c>
      <c r="F159" s="33">
        <v>116</v>
      </c>
      <c r="G159" s="33">
        <v>187</v>
      </c>
      <c r="H159" s="33">
        <v>126</v>
      </c>
      <c r="I159" s="33">
        <v>82</v>
      </c>
      <c r="J159" s="33">
        <v>67</v>
      </c>
      <c r="K159" s="33">
        <v>497</v>
      </c>
      <c r="L159" s="33">
        <v>87</v>
      </c>
      <c r="M159" s="33">
        <v>268</v>
      </c>
      <c r="N159" s="33">
        <v>85</v>
      </c>
      <c r="O159" s="33">
        <v>14</v>
      </c>
      <c r="P159" s="1">
        <v>586</v>
      </c>
      <c r="Q159" s="1">
        <v>9</v>
      </c>
      <c r="R159" s="1">
        <v>158</v>
      </c>
    </row>
    <row r="160" spans="1:18">
      <c r="A160" s="33" t="s">
        <v>412</v>
      </c>
      <c r="B160" s="1" t="s">
        <v>203</v>
      </c>
      <c r="C160" s="1" t="s">
        <v>413</v>
      </c>
      <c r="D160" s="33">
        <v>105</v>
      </c>
      <c r="E160" s="33">
        <v>515</v>
      </c>
      <c r="F160" s="33">
        <v>111</v>
      </c>
      <c r="G160" s="33">
        <v>248</v>
      </c>
      <c r="H160" s="33">
        <v>111</v>
      </c>
      <c r="I160" s="33">
        <v>445</v>
      </c>
      <c r="J160" s="33">
        <v>96</v>
      </c>
      <c r="K160" s="33">
        <v>25</v>
      </c>
      <c r="L160" s="33">
        <v>94</v>
      </c>
      <c r="M160" s="33">
        <v>78</v>
      </c>
      <c r="N160" s="33">
        <v>69</v>
      </c>
      <c r="O160" s="33">
        <v>420</v>
      </c>
      <c r="P160" s="1">
        <v>586</v>
      </c>
      <c r="Q160" s="1">
        <v>8</v>
      </c>
      <c r="R160" s="1">
        <v>158</v>
      </c>
    </row>
    <row r="161" spans="1:18">
      <c r="A161" s="33" t="s">
        <v>416</v>
      </c>
      <c r="B161" s="1" t="s">
        <v>249</v>
      </c>
      <c r="C161" s="1" t="s">
        <v>417</v>
      </c>
      <c r="D161" s="33">
        <v>111</v>
      </c>
      <c r="E161" s="33">
        <v>271</v>
      </c>
      <c r="F161" s="33">
        <v>112</v>
      </c>
      <c r="G161" s="33">
        <v>236</v>
      </c>
      <c r="H161" s="33">
        <v>137.5</v>
      </c>
      <c r="I161" s="33">
        <v>3</v>
      </c>
      <c r="J161" s="33">
        <v>74</v>
      </c>
      <c r="K161" s="33">
        <v>345</v>
      </c>
      <c r="L161" s="33">
        <v>75</v>
      </c>
      <c r="M161" s="33">
        <v>671</v>
      </c>
      <c r="N161" s="33">
        <v>76</v>
      </c>
      <c r="O161" s="33">
        <v>194</v>
      </c>
      <c r="P161" s="1">
        <v>585.5</v>
      </c>
      <c r="Q161" s="1">
        <v>7</v>
      </c>
      <c r="R161" s="1">
        <v>160</v>
      </c>
    </row>
    <row r="162" spans="1:18">
      <c r="A162" s="33" t="s">
        <v>418</v>
      </c>
      <c r="B162" s="1" t="s">
        <v>97</v>
      </c>
      <c r="C162" s="1" t="s">
        <v>419</v>
      </c>
      <c r="D162" s="33">
        <v>110</v>
      </c>
      <c r="E162" s="33">
        <v>310</v>
      </c>
      <c r="F162" s="33">
        <v>119</v>
      </c>
      <c r="G162" s="33">
        <v>154</v>
      </c>
      <c r="H162" s="33">
        <v>108</v>
      </c>
      <c r="I162" s="33">
        <v>519</v>
      </c>
      <c r="J162" s="33">
        <v>92</v>
      </c>
      <c r="K162" s="33">
        <v>48</v>
      </c>
      <c r="L162" s="33">
        <v>85</v>
      </c>
      <c r="M162" s="33">
        <v>339</v>
      </c>
      <c r="N162" s="33">
        <v>71</v>
      </c>
      <c r="O162" s="33">
        <v>342</v>
      </c>
      <c r="P162" s="1">
        <v>585</v>
      </c>
      <c r="Q162" s="1">
        <v>10</v>
      </c>
      <c r="R162" s="1">
        <v>161</v>
      </c>
    </row>
    <row r="163" spans="1:18">
      <c r="A163" s="33" t="s">
        <v>422</v>
      </c>
      <c r="B163" s="1" t="s">
        <v>210</v>
      </c>
      <c r="C163" s="1" t="s">
        <v>423</v>
      </c>
      <c r="D163" s="33">
        <v>121</v>
      </c>
      <c r="E163" s="33">
        <v>30</v>
      </c>
      <c r="F163" s="33">
        <v>128</v>
      </c>
      <c r="G163" s="33">
        <v>70</v>
      </c>
      <c r="H163" s="33">
        <v>110.5</v>
      </c>
      <c r="I163" s="33">
        <v>465</v>
      </c>
      <c r="J163" s="33">
        <v>72</v>
      </c>
      <c r="K163" s="33">
        <v>392</v>
      </c>
      <c r="L163" s="33">
        <v>86</v>
      </c>
      <c r="M163" s="33">
        <v>304</v>
      </c>
      <c r="N163" s="33">
        <v>67</v>
      </c>
      <c r="O163" s="33">
        <v>489</v>
      </c>
      <c r="P163" s="1">
        <v>584.5</v>
      </c>
      <c r="Q163" s="1">
        <v>3</v>
      </c>
      <c r="R163" s="1">
        <v>162</v>
      </c>
    </row>
    <row r="164" spans="1:18">
      <c r="A164" s="33" t="s">
        <v>420</v>
      </c>
      <c r="B164" s="1" t="s">
        <v>296</v>
      </c>
      <c r="C164" s="1" t="s">
        <v>421</v>
      </c>
      <c r="D164" s="33">
        <v>104</v>
      </c>
      <c r="E164" s="33">
        <v>573</v>
      </c>
      <c r="F164" s="33">
        <v>124</v>
      </c>
      <c r="G164" s="33">
        <v>101</v>
      </c>
      <c r="H164" s="33">
        <v>124.5</v>
      </c>
      <c r="I164" s="33">
        <v>103</v>
      </c>
      <c r="J164" s="33">
        <v>76</v>
      </c>
      <c r="K164" s="33">
        <v>302</v>
      </c>
      <c r="L164" s="33">
        <v>96</v>
      </c>
      <c r="M164" s="33">
        <v>45</v>
      </c>
      <c r="N164" s="33">
        <v>60</v>
      </c>
      <c r="O164" s="33">
        <v>706</v>
      </c>
      <c r="P164" s="1">
        <v>584.5</v>
      </c>
      <c r="Q164" s="1">
        <v>6</v>
      </c>
      <c r="R164" s="1">
        <v>162</v>
      </c>
    </row>
    <row r="165" spans="1:18">
      <c r="A165" s="33" t="s">
        <v>424</v>
      </c>
      <c r="B165" s="1" t="s">
        <v>240</v>
      </c>
      <c r="C165" s="1" t="s">
        <v>425</v>
      </c>
      <c r="D165" s="33">
        <v>93</v>
      </c>
      <c r="E165" s="33">
        <v>868</v>
      </c>
      <c r="F165" s="33">
        <v>140</v>
      </c>
      <c r="G165" s="33">
        <v>16</v>
      </c>
      <c r="H165" s="33">
        <v>94</v>
      </c>
      <c r="I165" s="33">
        <v>783</v>
      </c>
      <c r="J165" s="33">
        <v>78</v>
      </c>
      <c r="K165" s="33">
        <v>256</v>
      </c>
      <c r="L165" s="33">
        <v>96</v>
      </c>
      <c r="M165" s="33">
        <v>45</v>
      </c>
      <c r="N165" s="33">
        <v>83</v>
      </c>
      <c r="O165" s="33">
        <v>30</v>
      </c>
      <c r="P165" s="1">
        <v>584</v>
      </c>
      <c r="Q165" s="1">
        <v>7</v>
      </c>
      <c r="R165" s="1">
        <v>164</v>
      </c>
    </row>
    <row r="166" spans="1:18">
      <c r="A166" s="33" t="s">
        <v>426</v>
      </c>
      <c r="B166" s="1" t="s">
        <v>203</v>
      </c>
      <c r="C166" s="1" t="s">
        <v>427</v>
      </c>
      <c r="D166" s="33">
        <v>108</v>
      </c>
      <c r="E166" s="33">
        <v>391</v>
      </c>
      <c r="F166" s="33">
        <v>129</v>
      </c>
      <c r="G166" s="33">
        <v>63</v>
      </c>
      <c r="H166" s="33">
        <v>120</v>
      </c>
      <c r="I166" s="33">
        <v>211</v>
      </c>
      <c r="J166" s="33">
        <v>85</v>
      </c>
      <c r="K166" s="33">
        <v>117</v>
      </c>
      <c r="L166" s="33">
        <v>75</v>
      </c>
      <c r="M166" s="33">
        <v>671</v>
      </c>
      <c r="N166" s="33">
        <v>67</v>
      </c>
      <c r="O166" s="33">
        <v>489</v>
      </c>
      <c r="P166" s="1">
        <v>584</v>
      </c>
      <c r="Q166" s="1">
        <v>9</v>
      </c>
      <c r="R166" s="1">
        <v>164</v>
      </c>
    </row>
    <row r="167" spans="1:18">
      <c r="A167" s="33" t="s">
        <v>428</v>
      </c>
      <c r="B167" s="1" t="s">
        <v>97</v>
      </c>
      <c r="C167" s="1" t="s">
        <v>429</v>
      </c>
      <c r="D167" s="33">
        <v>121</v>
      </c>
      <c r="E167" s="33">
        <v>30</v>
      </c>
      <c r="F167" s="33">
        <v>105</v>
      </c>
      <c r="G167" s="33">
        <v>341</v>
      </c>
      <c r="H167" s="33">
        <v>130</v>
      </c>
      <c r="I167" s="33">
        <v>34</v>
      </c>
      <c r="J167" s="33">
        <v>69</v>
      </c>
      <c r="K167" s="33">
        <v>452</v>
      </c>
      <c r="L167" s="33">
        <v>84</v>
      </c>
      <c r="M167" s="33">
        <v>379</v>
      </c>
      <c r="N167" s="33">
        <v>75</v>
      </c>
      <c r="O167" s="33">
        <v>219</v>
      </c>
      <c r="P167" s="1">
        <v>584</v>
      </c>
      <c r="Q167" s="1">
        <v>11</v>
      </c>
      <c r="R167" s="1">
        <v>164</v>
      </c>
    </row>
    <row r="168" spans="1:18">
      <c r="A168" s="33" t="s">
        <v>430</v>
      </c>
      <c r="B168" s="1" t="s">
        <v>249</v>
      </c>
      <c r="C168" s="1" t="s">
        <v>431</v>
      </c>
      <c r="D168" s="33">
        <v>108</v>
      </c>
      <c r="E168" s="33">
        <v>391</v>
      </c>
      <c r="F168" s="33">
        <v>120</v>
      </c>
      <c r="G168" s="33">
        <v>146</v>
      </c>
      <c r="H168" s="33">
        <v>121.5</v>
      </c>
      <c r="I168" s="33">
        <v>160</v>
      </c>
      <c r="J168" s="33">
        <v>73</v>
      </c>
      <c r="K168" s="33">
        <v>370</v>
      </c>
      <c r="L168" s="33">
        <v>88</v>
      </c>
      <c r="M168" s="33">
        <v>240</v>
      </c>
      <c r="N168" s="33">
        <v>73</v>
      </c>
      <c r="O168" s="33">
        <v>275</v>
      </c>
      <c r="P168" s="1">
        <v>583.5</v>
      </c>
      <c r="Q168" s="1">
        <v>8</v>
      </c>
      <c r="R168" s="1">
        <v>167</v>
      </c>
    </row>
    <row r="169" spans="1:18">
      <c r="A169" s="33" t="s">
        <v>432</v>
      </c>
      <c r="B169" s="1" t="s">
        <v>84</v>
      </c>
      <c r="C169" s="1" t="s">
        <v>433</v>
      </c>
      <c r="D169" s="33">
        <v>111</v>
      </c>
      <c r="E169" s="33">
        <v>271</v>
      </c>
      <c r="F169" s="33">
        <v>111</v>
      </c>
      <c r="G169" s="33">
        <v>248</v>
      </c>
      <c r="H169" s="33">
        <v>121.5</v>
      </c>
      <c r="I169" s="33">
        <v>160</v>
      </c>
      <c r="J169" s="33">
        <v>89</v>
      </c>
      <c r="K169" s="33">
        <v>79</v>
      </c>
      <c r="L169" s="33">
        <v>86</v>
      </c>
      <c r="M169" s="33">
        <v>304</v>
      </c>
      <c r="N169" s="33">
        <v>65</v>
      </c>
      <c r="O169" s="33">
        <v>554</v>
      </c>
      <c r="P169" s="1">
        <v>583.5</v>
      </c>
      <c r="Q169" s="1">
        <v>7</v>
      </c>
      <c r="R169" s="1">
        <v>167</v>
      </c>
    </row>
    <row r="170" spans="1:18">
      <c r="A170" s="33" t="s">
        <v>436</v>
      </c>
      <c r="B170" s="1" t="s">
        <v>169</v>
      </c>
      <c r="C170" s="1" t="s">
        <v>437</v>
      </c>
      <c r="D170" s="33">
        <v>96</v>
      </c>
      <c r="E170" s="33">
        <v>814</v>
      </c>
      <c r="F170" s="33">
        <v>126</v>
      </c>
      <c r="G170" s="33">
        <v>86</v>
      </c>
      <c r="H170" s="33">
        <v>98</v>
      </c>
      <c r="I170" s="33">
        <v>728</v>
      </c>
      <c r="J170" s="33">
        <v>87</v>
      </c>
      <c r="K170" s="33">
        <v>92</v>
      </c>
      <c r="L170" s="33">
        <v>97</v>
      </c>
      <c r="M170" s="33">
        <v>30</v>
      </c>
      <c r="N170" s="33">
        <v>79</v>
      </c>
      <c r="O170" s="33">
        <v>103</v>
      </c>
      <c r="P170" s="1">
        <v>583</v>
      </c>
      <c r="Q170" s="1">
        <v>8</v>
      </c>
      <c r="R170" s="1">
        <v>169</v>
      </c>
    </row>
    <row r="171" spans="1:18">
      <c r="A171" s="33" t="s">
        <v>438</v>
      </c>
      <c r="B171" s="1" t="s">
        <v>217</v>
      </c>
      <c r="C171" s="1" t="s">
        <v>439</v>
      </c>
      <c r="D171" s="33">
        <v>103</v>
      </c>
      <c r="E171" s="33">
        <v>606</v>
      </c>
      <c r="F171" s="33">
        <v>109</v>
      </c>
      <c r="G171" s="33">
        <v>279</v>
      </c>
      <c r="H171" s="33">
        <v>120</v>
      </c>
      <c r="I171" s="33">
        <v>211</v>
      </c>
      <c r="J171" s="33">
        <v>86</v>
      </c>
      <c r="K171" s="33">
        <v>101</v>
      </c>
      <c r="L171" s="33">
        <v>89</v>
      </c>
      <c r="M171" s="33">
        <v>200</v>
      </c>
      <c r="N171" s="33">
        <v>76</v>
      </c>
      <c r="O171" s="33">
        <v>194</v>
      </c>
      <c r="P171" s="1">
        <v>583</v>
      </c>
      <c r="Q171" s="1">
        <v>9</v>
      </c>
      <c r="R171" s="1">
        <v>169</v>
      </c>
    </row>
    <row r="172" spans="1:18">
      <c r="A172" s="33" t="s">
        <v>434</v>
      </c>
      <c r="B172" s="1" t="s">
        <v>210</v>
      </c>
      <c r="C172" s="1" t="s">
        <v>435</v>
      </c>
      <c r="D172" s="33">
        <v>119</v>
      </c>
      <c r="E172" s="33">
        <v>51</v>
      </c>
      <c r="F172" s="33">
        <v>109</v>
      </c>
      <c r="G172" s="33">
        <v>279</v>
      </c>
      <c r="H172" s="33">
        <v>112</v>
      </c>
      <c r="I172" s="33">
        <v>413</v>
      </c>
      <c r="J172" s="33">
        <v>68</v>
      </c>
      <c r="K172" s="33">
        <v>474</v>
      </c>
      <c r="L172" s="33">
        <v>95</v>
      </c>
      <c r="M172" s="33">
        <v>60</v>
      </c>
      <c r="N172" s="33">
        <v>80</v>
      </c>
      <c r="O172" s="33">
        <v>85</v>
      </c>
      <c r="P172" s="1">
        <v>583</v>
      </c>
      <c r="Q172" s="1">
        <v>4</v>
      </c>
      <c r="R172" s="1">
        <v>169</v>
      </c>
    </row>
    <row r="173" spans="1:18">
      <c r="A173" s="33" t="s">
        <v>440</v>
      </c>
      <c r="B173" s="1" t="s">
        <v>122</v>
      </c>
      <c r="C173" s="1" t="s">
        <v>441</v>
      </c>
      <c r="D173" s="33">
        <v>125</v>
      </c>
      <c r="E173" s="33">
        <v>12</v>
      </c>
      <c r="F173" s="33">
        <v>100</v>
      </c>
      <c r="G173" s="33">
        <v>422</v>
      </c>
      <c r="H173" s="33">
        <v>125</v>
      </c>
      <c r="I173" s="33">
        <v>96</v>
      </c>
      <c r="J173" s="33">
        <v>68</v>
      </c>
      <c r="K173" s="33">
        <v>474</v>
      </c>
      <c r="L173" s="33">
        <v>90</v>
      </c>
      <c r="M173" s="33">
        <v>177</v>
      </c>
      <c r="N173" s="33">
        <v>75</v>
      </c>
      <c r="O173" s="33">
        <v>219</v>
      </c>
      <c r="P173" s="1">
        <v>583</v>
      </c>
      <c r="Q173" s="1">
        <v>21</v>
      </c>
      <c r="R173" s="1">
        <v>169</v>
      </c>
    </row>
    <row r="174" spans="1:18">
      <c r="A174" s="33" t="s">
        <v>444</v>
      </c>
      <c r="B174" s="1" t="s">
        <v>210</v>
      </c>
      <c r="C174" s="1" t="s">
        <v>445</v>
      </c>
      <c r="D174" s="33">
        <v>109</v>
      </c>
      <c r="E174" s="33">
        <v>353</v>
      </c>
      <c r="F174" s="33">
        <v>115</v>
      </c>
      <c r="G174" s="33">
        <v>196</v>
      </c>
      <c r="H174" s="33">
        <v>101.5</v>
      </c>
      <c r="I174" s="33">
        <v>654</v>
      </c>
      <c r="J174" s="33">
        <v>88</v>
      </c>
      <c r="K174" s="33">
        <v>87</v>
      </c>
      <c r="L174" s="33">
        <v>89</v>
      </c>
      <c r="M174" s="33">
        <v>200</v>
      </c>
      <c r="N174" s="33">
        <v>79</v>
      </c>
      <c r="O174" s="33">
        <v>103</v>
      </c>
      <c r="P174" s="1">
        <v>581.5</v>
      </c>
      <c r="Q174" s="1">
        <v>5</v>
      </c>
      <c r="R174" s="1">
        <v>173</v>
      </c>
    </row>
    <row r="175" spans="1:18">
      <c r="A175" s="33" t="s">
        <v>442</v>
      </c>
      <c r="B175" s="1" t="s">
        <v>249</v>
      </c>
      <c r="C175" s="1" t="s">
        <v>443</v>
      </c>
      <c r="D175" s="33">
        <v>118</v>
      </c>
      <c r="E175" s="33">
        <v>69</v>
      </c>
      <c r="F175" s="33">
        <v>112</v>
      </c>
      <c r="G175" s="33">
        <v>236</v>
      </c>
      <c r="H175" s="33">
        <v>126.5</v>
      </c>
      <c r="I175" s="33">
        <v>76</v>
      </c>
      <c r="J175" s="33">
        <v>72</v>
      </c>
      <c r="K175" s="33">
        <v>392</v>
      </c>
      <c r="L175" s="33">
        <v>85</v>
      </c>
      <c r="M175" s="33">
        <v>339</v>
      </c>
      <c r="N175" s="33">
        <v>68</v>
      </c>
      <c r="O175" s="33">
        <v>452</v>
      </c>
      <c r="P175" s="1">
        <v>581.5</v>
      </c>
      <c r="Q175" s="1">
        <v>9</v>
      </c>
      <c r="R175" s="1">
        <v>173</v>
      </c>
    </row>
    <row r="176" spans="1:18">
      <c r="A176" s="33" t="s">
        <v>446</v>
      </c>
      <c r="B176" s="1" t="s">
        <v>203</v>
      </c>
      <c r="C176" s="1" t="s">
        <v>447</v>
      </c>
      <c r="D176" s="33">
        <v>108</v>
      </c>
      <c r="E176" s="33">
        <v>391</v>
      </c>
      <c r="F176" s="33">
        <v>115</v>
      </c>
      <c r="G176" s="33">
        <v>196</v>
      </c>
      <c r="H176" s="33">
        <v>123</v>
      </c>
      <c r="I176" s="33">
        <v>132</v>
      </c>
      <c r="J176" s="33">
        <v>76</v>
      </c>
      <c r="K176" s="33">
        <v>302</v>
      </c>
      <c r="L176" s="33">
        <v>82</v>
      </c>
      <c r="M176" s="33">
        <v>452</v>
      </c>
      <c r="N176" s="33">
        <v>77</v>
      </c>
      <c r="O176" s="33">
        <v>162</v>
      </c>
      <c r="P176" s="1">
        <v>581</v>
      </c>
      <c r="Q176" s="1">
        <v>10</v>
      </c>
      <c r="R176" s="1">
        <v>175</v>
      </c>
    </row>
    <row r="177" spans="1:18">
      <c r="A177" s="33" t="s">
        <v>448</v>
      </c>
      <c r="B177" s="1" t="s">
        <v>210</v>
      </c>
      <c r="C177" s="1" t="s">
        <v>449</v>
      </c>
      <c r="D177" s="33">
        <v>108</v>
      </c>
      <c r="E177" s="33">
        <v>391</v>
      </c>
      <c r="F177" s="33">
        <v>134</v>
      </c>
      <c r="G177" s="33">
        <v>35</v>
      </c>
      <c r="H177" s="33">
        <v>79.5</v>
      </c>
      <c r="I177" s="33">
        <v>897</v>
      </c>
      <c r="J177" s="33">
        <v>90</v>
      </c>
      <c r="K177" s="33">
        <v>63</v>
      </c>
      <c r="L177" s="33">
        <v>86</v>
      </c>
      <c r="M177" s="33">
        <v>304</v>
      </c>
      <c r="N177" s="33">
        <v>83</v>
      </c>
      <c r="O177" s="33">
        <v>30</v>
      </c>
      <c r="P177" s="1">
        <v>580.5</v>
      </c>
      <c r="Q177" s="1">
        <v>6</v>
      </c>
      <c r="R177" s="1">
        <v>176</v>
      </c>
    </row>
    <row r="178" spans="1:18">
      <c r="A178" s="33" t="s">
        <v>452</v>
      </c>
      <c r="B178" s="1" t="s">
        <v>92</v>
      </c>
      <c r="C178" s="1" t="s">
        <v>453</v>
      </c>
      <c r="D178" s="33">
        <v>106</v>
      </c>
      <c r="E178" s="33">
        <v>477</v>
      </c>
      <c r="F178" s="33">
        <v>130</v>
      </c>
      <c r="G178" s="33">
        <v>54</v>
      </c>
      <c r="H178" s="33">
        <v>113.5</v>
      </c>
      <c r="I178" s="33">
        <v>374</v>
      </c>
      <c r="J178" s="33">
        <v>75</v>
      </c>
      <c r="K178" s="33">
        <v>324</v>
      </c>
      <c r="L178" s="33">
        <v>79</v>
      </c>
      <c r="M178" s="33">
        <v>539</v>
      </c>
      <c r="N178" s="33">
        <v>77</v>
      </c>
      <c r="O178" s="33">
        <v>162</v>
      </c>
      <c r="P178" s="1">
        <v>580.5</v>
      </c>
      <c r="Q178" s="1">
        <v>4</v>
      </c>
      <c r="R178" s="1">
        <v>176</v>
      </c>
    </row>
    <row r="179" spans="1:18">
      <c r="A179" s="33" t="s">
        <v>454</v>
      </c>
      <c r="B179" s="1" t="s">
        <v>133</v>
      </c>
      <c r="C179" s="1" t="s">
        <v>455</v>
      </c>
      <c r="D179" s="33">
        <v>113</v>
      </c>
      <c r="E179" s="33">
        <v>196</v>
      </c>
      <c r="F179" s="33">
        <v>112</v>
      </c>
      <c r="G179" s="33">
        <v>236</v>
      </c>
      <c r="H179" s="33">
        <v>98.5</v>
      </c>
      <c r="I179" s="33">
        <v>719</v>
      </c>
      <c r="J179" s="33">
        <v>84</v>
      </c>
      <c r="K179" s="33">
        <v>131</v>
      </c>
      <c r="L179" s="33">
        <v>87</v>
      </c>
      <c r="M179" s="33">
        <v>268</v>
      </c>
      <c r="N179" s="33">
        <v>86</v>
      </c>
      <c r="O179" s="33">
        <v>7</v>
      </c>
      <c r="P179" s="1">
        <v>580.5</v>
      </c>
      <c r="Q179" s="1">
        <v>12</v>
      </c>
      <c r="R179" s="1">
        <v>176</v>
      </c>
    </row>
    <row r="180" spans="1:18">
      <c r="A180" s="33" t="s">
        <v>450</v>
      </c>
      <c r="B180" s="1" t="s">
        <v>122</v>
      </c>
      <c r="C180" s="1" t="s">
        <v>451</v>
      </c>
      <c r="D180" s="33">
        <v>111</v>
      </c>
      <c r="E180" s="33">
        <v>271</v>
      </c>
      <c r="F180" s="33">
        <v>104</v>
      </c>
      <c r="G180" s="33">
        <v>359</v>
      </c>
      <c r="H180" s="33">
        <v>120.5</v>
      </c>
      <c r="I180" s="33">
        <v>192</v>
      </c>
      <c r="J180" s="33">
        <v>82</v>
      </c>
      <c r="K180" s="33">
        <v>171</v>
      </c>
      <c r="L180" s="33">
        <v>93</v>
      </c>
      <c r="M180" s="33">
        <v>93</v>
      </c>
      <c r="N180" s="33">
        <v>70</v>
      </c>
      <c r="O180" s="33">
        <v>380</v>
      </c>
      <c r="P180" s="1">
        <v>580.5</v>
      </c>
      <c r="Q180" s="1">
        <v>22</v>
      </c>
      <c r="R180" s="1">
        <v>176</v>
      </c>
    </row>
    <row r="181" spans="1:18">
      <c r="A181" s="33" t="s">
        <v>462</v>
      </c>
      <c r="B181" s="1" t="s">
        <v>210</v>
      </c>
      <c r="C181" s="1" t="s">
        <v>463</v>
      </c>
      <c r="D181" s="33">
        <v>111</v>
      </c>
      <c r="E181" s="33">
        <v>271</v>
      </c>
      <c r="F181" s="33">
        <v>109</v>
      </c>
      <c r="G181" s="33">
        <v>279</v>
      </c>
      <c r="H181" s="33">
        <v>121</v>
      </c>
      <c r="I181" s="33">
        <v>173</v>
      </c>
      <c r="J181" s="33">
        <v>76</v>
      </c>
      <c r="K181" s="33">
        <v>302</v>
      </c>
      <c r="L181" s="33">
        <v>90</v>
      </c>
      <c r="M181" s="33">
        <v>177</v>
      </c>
      <c r="N181" s="33">
        <v>73</v>
      </c>
      <c r="O181" s="33">
        <v>275</v>
      </c>
      <c r="P181" s="1">
        <v>580</v>
      </c>
      <c r="Q181" s="1">
        <v>7</v>
      </c>
      <c r="R181" s="1">
        <v>180</v>
      </c>
    </row>
    <row r="182" spans="1:18">
      <c r="A182" s="33" t="s">
        <v>458</v>
      </c>
      <c r="B182" s="1" t="s">
        <v>122</v>
      </c>
      <c r="C182" s="1" t="s">
        <v>459</v>
      </c>
      <c r="D182" s="33">
        <v>117</v>
      </c>
      <c r="E182" s="33">
        <v>86</v>
      </c>
      <c r="F182" s="33">
        <v>108</v>
      </c>
      <c r="G182" s="33">
        <v>297</v>
      </c>
      <c r="H182" s="33">
        <v>116</v>
      </c>
      <c r="I182" s="33">
        <v>309</v>
      </c>
      <c r="J182" s="33">
        <v>76</v>
      </c>
      <c r="K182" s="33">
        <v>302</v>
      </c>
      <c r="L182" s="33">
        <v>91</v>
      </c>
      <c r="M182" s="33">
        <v>151</v>
      </c>
      <c r="N182" s="33">
        <v>72</v>
      </c>
      <c r="O182" s="33">
        <v>312</v>
      </c>
      <c r="P182" s="1">
        <v>580</v>
      </c>
      <c r="Q182" s="1">
        <v>23</v>
      </c>
      <c r="R182" s="1">
        <v>180</v>
      </c>
    </row>
    <row r="183" spans="1:18">
      <c r="A183" s="33" t="s">
        <v>464</v>
      </c>
      <c r="B183" s="1" t="s">
        <v>169</v>
      </c>
      <c r="C183" s="1" t="s">
        <v>465</v>
      </c>
      <c r="D183" s="33">
        <v>112</v>
      </c>
      <c r="E183" s="33">
        <v>226</v>
      </c>
      <c r="F183" s="33">
        <v>108</v>
      </c>
      <c r="G183" s="33">
        <v>297</v>
      </c>
      <c r="H183" s="33">
        <v>102</v>
      </c>
      <c r="I183" s="33">
        <v>642</v>
      </c>
      <c r="J183" s="33">
        <v>87</v>
      </c>
      <c r="K183" s="33">
        <v>92</v>
      </c>
      <c r="L183" s="33">
        <v>87</v>
      </c>
      <c r="M183" s="33">
        <v>268</v>
      </c>
      <c r="N183" s="33">
        <v>84</v>
      </c>
      <c r="O183" s="33">
        <v>21</v>
      </c>
      <c r="P183" s="1">
        <v>580</v>
      </c>
      <c r="Q183" s="1">
        <v>9</v>
      </c>
      <c r="R183" s="1">
        <v>180</v>
      </c>
    </row>
    <row r="184" spans="1:18">
      <c r="A184" s="33" t="s">
        <v>456</v>
      </c>
      <c r="B184" s="1" t="s">
        <v>106</v>
      </c>
      <c r="C184" s="1" t="s">
        <v>457</v>
      </c>
      <c r="D184" s="33">
        <v>118</v>
      </c>
      <c r="E184" s="33">
        <v>69</v>
      </c>
      <c r="F184" s="33">
        <v>105</v>
      </c>
      <c r="G184" s="33">
        <v>341</v>
      </c>
      <c r="H184" s="33">
        <v>121</v>
      </c>
      <c r="I184" s="33">
        <v>173</v>
      </c>
      <c r="J184" s="33">
        <v>86</v>
      </c>
      <c r="K184" s="33">
        <v>101</v>
      </c>
      <c r="L184" s="33">
        <v>80</v>
      </c>
      <c r="M184" s="33">
        <v>511</v>
      </c>
      <c r="N184" s="33">
        <v>70</v>
      </c>
      <c r="O184" s="33">
        <v>380</v>
      </c>
      <c r="P184" s="1">
        <v>580</v>
      </c>
      <c r="Q184" s="1">
        <v>7</v>
      </c>
      <c r="R184" s="1">
        <v>180</v>
      </c>
    </row>
    <row r="185" spans="1:18">
      <c r="A185" s="33" t="s">
        <v>466</v>
      </c>
      <c r="B185" s="1" t="s">
        <v>169</v>
      </c>
      <c r="C185" s="1" t="s">
        <v>467</v>
      </c>
      <c r="D185" s="33">
        <v>122</v>
      </c>
      <c r="E185" s="33">
        <v>25</v>
      </c>
      <c r="F185" s="33">
        <v>92</v>
      </c>
      <c r="G185" s="33">
        <v>558</v>
      </c>
      <c r="H185" s="33">
        <v>120</v>
      </c>
      <c r="I185" s="33">
        <v>211</v>
      </c>
      <c r="J185" s="33">
        <v>88</v>
      </c>
      <c r="K185" s="33">
        <v>87</v>
      </c>
      <c r="L185" s="33">
        <v>83</v>
      </c>
      <c r="M185" s="33">
        <v>407</v>
      </c>
      <c r="N185" s="33">
        <v>75</v>
      </c>
      <c r="O185" s="33">
        <v>219</v>
      </c>
      <c r="P185" s="1">
        <v>580</v>
      </c>
      <c r="Q185" s="1">
        <v>9</v>
      </c>
      <c r="R185" s="1">
        <v>180</v>
      </c>
    </row>
    <row r="186" spans="1:18">
      <c r="A186" s="33" t="s">
        <v>460</v>
      </c>
      <c r="B186" s="1" t="s">
        <v>87</v>
      </c>
      <c r="C186" s="1" t="s">
        <v>461</v>
      </c>
      <c r="D186" s="33">
        <v>110</v>
      </c>
      <c r="E186" s="33">
        <v>310</v>
      </c>
      <c r="F186" s="33">
        <v>91</v>
      </c>
      <c r="G186" s="33">
        <v>567</v>
      </c>
      <c r="H186" s="33">
        <v>130</v>
      </c>
      <c r="I186" s="33">
        <v>34</v>
      </c>
      <c r="J186" s="33">
        <v>81</v>
      </c>
      <c r="K186" s="33">
        <v>195</v>
      </c>
      <c r="L186" s="33">
        <v>97</v>
      </c>
      <c r="M186" s="33">
        <v>30</v>
      </c>
      <c r="N186" s="33">
        <v>71</v>
      </c>
      <c r="O186" s="33">
        <v>342</v>
      </c>
      <c r="P186" s="1">
        <v>580</v>
      </c>
      <c r="Q186" s="1">
        <v>43</v>
      </c>
      <c r="R186" s="1">
        <v>180</v>
      </c>
    </row>
    <row r="187" spans="1:18">
      <c r="A187" s="33" t="s">
        <v>470</v>
      </c>
      <c r="B187" s="1" t="s">
        <v>172</v>
      </c>
      <c r="C187" s="1" t="s">
        <v>471</v>
      </c>
      <c r="D187" s="33">
        <v>117</v>
      </c>
      <c r="E187" s="33">
        <v>86</v>
      </c>
      <c r="F187" s="33">
        <v>106</v>
      </c>
      <c r="G187" s="33">
        <v>323</v>
      </c>
      <c r="H187" s="33">
        <v>121.5</v>
      </c>
      <c r="I187" s="33">
        <v>160</v>
      </c>
      <c r="J187" s="33">
        <v>67</v>
      </c>
      <c r="K187" s="33">
        <v>497</v>
      </c>
      <c r="L187" s="33">
        <v>92</v>
      </c>
      <c r="M187" s="33">
        <v>116</v>
      </c>
      <c r="N187" s="33">
        <v>76</v>
      </c>
      <c r="O187" s="33">
        <v>194</v>
      </c>
      <c r="P187" s="1">
        <v>579.5</v>
      </c>
      <c r="Q187" s="1">
        <v>9</v>
      </c>
      <c r="R187" s="1">
        <v>186</v>
      </c>
    </row>
    <row r="188" spans="1:18">
      <c r="A188" s="33" t="s">
        <v>468</v>
      </c>
      <c r="B188" s="1" t="s">
        <v>210</v>
      </c>
      <c r="C188" s="1" t="s">
        <v>469</v>
      </c>
      <c r="D188" s="33">
        <v>112</v>
      </c>
      <c r="E188" s="33">
        <v>226</v>
      </c>
      <c r="F188" s="33">
        <v>98</v>
      </c>
      <c r="G188" s="33">
        <v>459</v>
      </c>
      <c r="H188" s="33">
        <v>125.5</v>
      </c>
      <c r="I188" s="33">
        <v>87</v>
      </c>
      <c r="J188" s="33">
        <v>82</v>
      </c>
      <c r="K188" s="33">
        <v>171</v>
      </c>
      <c r="L188" s="33">
        <v>91</v>
      </c>
      <c r="M188" s="33">
        <v>151</v>
      </c>
      <c r="N188" s="33">
        <v>71</v>
      </c>
      <c r="O188" s="33">
        <v>342</v>
      </c>
      <c r="P188" s="1">
        <v>579.5</v>
      </c>
      <c r="Q188" s="1">
        <v>8</v>
      </c>
      <c r="R188" s="1">
        <v>186</v>
      </c>
    </row>
    <row r="189" spans="1:18">
      <c r="A189" s="33" t="s">
        <v>476</v>
      </c>
      <c r="B189" s="1" t="s">
        <v>84</v>
      </c>
      <c r="C189" s="1" t="s">
        <v>477</v>
      </c>
      <c r="D189" s="33">
        <v>106</v>
      </c>
      <c r="E189" s="33">
        <v>477</v>
      </c>
      <c r="F189" s="33">
        <v>129</v>
      </c>
      <c r="G189" s="33">
        <v>63</v>
      </c>
      <c r="H189" s="33">
        <v>107</v>
      </c>
      <c r="I189" s="33">
        <v>546</v>
      </c>
      <c r="J189" s="33">
        <v>77</v>
      </c>
      <c r="K189" s="33">
        <v>278</v>
      </c>
      <c r="L189" s="33">
        <v>83</v>
      </c>
      <c r="M189" s="33">
        <v>407</v>
      </c>
      <c r="N189" s="33">
        <v>77</v>
      </c>
      <c r="O189" s="33">
        <v>162</v>
      </c>
      <c r="P189" s="1">
        <v>579</v>
      </c>
      <c r="Q189" s="1">
        <v>8</v>
      </c>
      <c r="R189" s="1">
        <v>188</v>
      </c>
    </row>
    <row r="190" spans="1:18">
      <c r="A190" s="33" t="s">
        <v>478</v>
      </c>
      <c r="B190" s="1" t="s">
        <v>296</v>
      </c>
      <c r="C190" s="1" t="s">
        <v>479</v>
      </c>
      <c r="D190" s="33">
        <v>91</v>
      </c>
      <c r="E190" s="33">
        <v>890</v>
      </c>
      <c r="F190" s="33">
        <v>125</v>
      </c>
      <c r="G190" s="33">
        <v>94</v>
      </c>
      <c r="H190" s="33">
        <v>118</v>
      </c>
      <c r="I190" s="33">
        <v>263</v>
      </c>
      <c r="J190" s="33">
        <v>79</v>
      </c>
      <c r="K190" s="33">
        <v>236</v>
      </c>
      <c r="L190" s="33">
        <v>92</v>
      </c>
      <c r="M190" s="33">
        <v>116</v>
      </c>
      <c r="N190" s="33">
        <v>74</v>
      </c>
      <c r="O190" s="33">
        <v>247</v>
      </c>
      <c r="P190" s="1">
        <v>579</v>
      </c>
      <c r="Q190" s="1">
        <v>7</v>
      </c>
      <c r="R190" s="1">
        <v>188</v>
      </c>
    </row>
    <row r="191" spans="1:18">
      <c r="A191" s="33" t="s">
        <v>472</v>
      </c>
      <c r="B191" s="1" t="s">
        <v>87</v>
      </c>
      <c r="C191" s="1" t="s">
        <v>473</v>
      </c>
      <c r="D191" s="33">
        <v>112</v>
      </c>
      <c r="E191" s="33">
        <v>226</v>
      </c>
      <c r="F191" s="33">
        <v>99</v>
      </c>
      <c r="G191" s="33">
        <v>437</v>
      </c>
      <c r="H191" s="33">
        <v>123</v>
      </c>
      <c r="I191" s="33">
        <v>132</v>
      </c>
      <c r="J191" s="33">
        <v>82</v>
      </c>
      <c r="K191" s="33">
        <v>171</v>
      </c>
      <c r="L191" s="33">
        <v>89</v>
      </c>
      <c r="M191" s="33">
        <v>200</v>
      </c>
      <c r="N191" s="33">
        <v>74</v>
      </c>
      <c r="O191" s="33">
        <v>247</v>
      </c>
      <c r="P191" s="1">
        <v>579</v>
      </c>
      <c r="Q191" s="1">
        <v>44</v>
      </c>
      <c r="R191" s="1">
        <v>188</v>
      </c>
    </row>
    <row r="192" spans="1:18">
      <c r="A192" s="33" t="s">
        <v>474</v>
      </c>
      <c r="B192" s="1" t="s">
        <v>92</v>
      </c>
      <c r="C192" s="1" t="s">
        <v>475</v>
      </c>
      <c r="D192" s="33">
        <v>119</v>
      </c>
      <c r="E192" s="33">
        <v>51</v>
      </c>
      <c r="F192" s="33">
        <v>85</v>
      </c>
      <c r="G192" s="33">
        <v>644</v>
      </c>
      <c r="H192" s="33">
        <v>125</v>
      </c>
      <c r="I192" s="33">
        <v>96</v>
      </c>
      <c r="J192" s="33">
        <v>77</v>
      </c>
      <c r="K192" s="33">
        <v>278</v>
      </c>
      <c r="L192" s="33">
        <v>90</v>
      </c>
      <c r="M192" s="33">
        <v>177</v>
      </c>
      <c r="N192" s="33">
        <v>83</v>
      </c>
      <c r="O192" s="33">
        <v>30</v>
      </c>
      <c r="P192" s="1">
        <v>579</v>
      </c>
      <c r="Q192" s="1">
        <v>5</v>
      </c>
      <c r="R192" s="1">
        <v>188</v>
      </c>
    </row>
    <row r="193" spans="1:18">
      <c r="A193" s="33" t="s">
        <v>482</v>
      </c>
      <c r="B193" s="1" t="s">
        <v>87</v>
      </c>
      <c r="C193" s="1" t="s">
        <v>483</v>
      </c>
      <c r="D193" s="33">
        <v>101</v>
      </c>
      <c r="E193" s="33">
        <v>688</v>
      </c>
      <c r="F193" s="33">
        <v>118</v>
      </c>
      <c r="G193" s="33">
        <v>162</v>
      </c>
      <c r="H193" s="33">
        <v>122.5</v>
      </c>
      <c r="I193" s="33">
        <v>146</v>
      </c>
      <c r="J193" s="33">
        <v>84</v>
      </c>
      <c r="K193" s="33">
        <v>131</v>
      </c>
      <c r="L193" s="33">
        <v>87</v>
      </c>
      <c r="M193" s="33">
        <v>268</v>
      </c>
      <c r="N193" s="33">
        <v>66</v>
      </c>
      <c r="O193" s="33">
        <v>519</v>
      </c>
      <c r="P193" s="1">
        <v>578.5</v>
      </c>
      <c r="Q193" s="1">
        <v>45</v>
      </c>
      <c r="R193" s="1">
        <v>192</v>
      </c>
    </row>
    <row r="194" spans="1:18">
      <c r="A194" s="33" t="s">
        <v>480</v>
      </c>
      <c r="B194" s="1" t="s">
        <v>169</v>
      </c>
      <c r="C194" s="1" t="s">
        <v>481</v>
      </c>
      <c r="D194" s="33">
        <v>117</v>
      </c>
      <c r="E194" s="33">
        <v>86</v>
      </c>
      <c r="F194" s="33">
        <v>117</v>
      </c>
      <c r="G194" s="33">
        <v>174</v>
      </c>
      <c r="H194" s="33">
        <v>122.5</v>
      </c>
      <c r="I194" s="33">
        <v>146</v>
      </c>
      <c r="J194" s="33">
        <v>59</v>
      </c>
      <c r="K194" s="33">
        <v>672</v>
      </c>
      <c r="L194" s="33">
        <v>90</v>
      </c>
      <c r="M194" s="33">
        <v>177</v>
      </c>
      <c r="N194" s="33">
        <v>73</v>
      </c>
      <c r="O194" s="33">
        <v>275</v>
      </c>
      <c r="P194" s="1">
        <v>578.5</v>
      </c>
      <c r="Q194" s="1">
        <v>11</v>
      </c>
      <c r="R194" s="1">
        <v>192</v>
      </c>
    </row>
    <row r="195" spans="1:18">
      <c r="A195" s="33" t="s">
        <v>484</v>
      </c>
      <c r="B195" s="1" t="s">
        <v>122</v>
      </c>
      <c r="C195" s="1" t="s">
        <v>485</v>
      </c>
      <c r="D195" s="33">
        <v>118</v>
      </c>
      <c r="E195" s="33">
        <v>69</v>
      </c>
      <c r="F195" s="33">
        <v>95</v>
      </c>
      <c r="G195" s="33">
        <v>502</v>
      </c>
      <c r="H195" s="33">
        <v>120.5</v>
      </c>
      <c r="I195" s="33">
        <v>192</v>
      </c>
      <c r="J195" s="33">
        <v>73</v>
      </c>
      <c r="K195" s="33">
        <v>370</v>
      </c>
      <c r="L195" s="33">
        <v>92</v>
      </c>
      <c r="M195" s="33">
        <v>116</v>
      </c>
      <c r="N195" s="33">
        <v>80</v>
      </c>
      <c r="O195" s="33">
        <v>85</v>
      </c>
      <c r="P195" s="1">
        <v>578.5</v>
      </c>
      <c r="Q195" s="1">
        <v>24</v>
      </c>
      <c r="R195" s="1">
        <v>192</v>
      </c>
    </row>
    <row r="196" spans="1:18">
      <c r="A196" s="33" t="s">
        <v>486</v>
      </c>
      <c r="B196" s="1" t="s">
        <v>111</v>
      </c>
      <c r="C196" s="1" t="s">
        <v>487</v>
      </c>
      <c r="D196" s="33">
        <v>118</v>
      </c>
      <c r="E196" s="33">
        <v>69</v>
      </c>
      <c r="F196" s="33">
        <v>118</v>
      </c>
      <c r="G196" s="33">
        <v>162</v>
      </c>
      <c r="H196" s="33">
        <v>103.5</v>
      </c>
      <c r="I196" s="33">
        <v>612</v>
      </c>
      <c r="J196" s="33">
        <v>83</v>
      </c>
      <c r="K196" s="33">
        <v>153</v>
      </c>
      <c r="L196" s="33">
        <v>85</v>
      </c>
      <c r="M196" s="33">
        <v>339</v>
      </c>
      <c r="N196" s="33">
        <v>70</v>
      </c>
      <c r="O196" s="33">
        <v>380</v>
      </c>
      <c r="P196" s="1">
        <v>577.5</v>
      </c>
      <c r="Q196" s="1">
        <v>7</v>
      </c>
      <c r="R196" s="1">
        <v>195</v>
      </c>
    </row>
    <row r="197" spans="1:18">
      <c r="A197" s="33" t="s">
        <v>488</v>
      </c>
      <c r="B197" s="1" t="s">
        <v>84</v>
      </c>
      <c r="C197" s="1" t="s">
        <v>489</v>
      </c>
      <c r="D197" s="33">
        <v>111</v>
      </c>
      <c r="E197" s="33">
        <v>271</v>
      </c>
      <c r="F197" s="33">
        <v>88</v>
      </c>
      <c r="G197" s="33">
        <v>602</v>
      </c>
      <c r="H197" s="33">
        <v>133.5</v>
      </c>
      <c r="I197" s="33">
        <v>13</v>
      </c>
      <c r="J197" s="33">
        <v>87</v>
      </c>
      <c r="K197" s="33">
        <v>92</v>
      </c>
      <c r="L197" s="33">
        <v>88</v>
      </c>
      <c r="M197" s="33">
        <v>240</v>
      </c>
      <c r="N197" s="33">
        <v>70</v>
      </c>
      <c r="O197" s="33">
        <v>380</v>
      </c>
      <c r="P197" s="1">
        <v>577.5</v>
      </c>
      <c r="Q197" s="1">
        <v>9</v>
      </c>
      <c r="R197" s="1">
        <v>195</v>
      </c>
    </row>
    <row r="198" spans="1:18">
      <c r="A198" s="33" t="s">
        <v>492</v>
      </c>
      <c r="B198" s="1" t="s">
        <v>203</v>
      </c>
      <c r="C198" s="1" t="s">
        <v>493</v>
      </c>
      <c r="D198" s="33">
        <v>111</v>
      </c>
      <c r="E198" s="33">
        <v>271</v>
      </c>
      <c r="F198" s="33">
        <v>118</v>
      </c>
      <c r="G198" s="33">
        <v>162</v>
      </c>
      <c r="H198" s="33">
        <v>102</v>
      </c>
      <c r="I198" s="33">
        <v>642</v>
      </c>
      <c r="J198" s="33">
        <v>73</v>
      </c>
      <c r="K198" s="33">
        <v>370</v>
      </c>
      <c r="L198" s="33">
        <v>90</v>
      </c>
      <c r="M198" s="33">
        <v>177</v>
      </c>
      <c r="N198" s="33">
        <v>83</v>
      </c>
      <c r="O198" s="33">
        <v>30</v>
      </c>
      <c r="P198" s="1">
        <v>577</v>
      </c>
      <c r="Q198" s="1">
        <v>11</v>
      </c>
      <c r="R198" s="1">
        <v>197</v>
      </c>
    </row>
    <row r="199" spans="1:18">
      <c r="A199" s="33" t="s">
        <v>490</v>
      </c>
      <c r="B199" s="1" t="s">
        <v>240</v>
      </c>
      <c r="C199" s="1" t="s">
        <v>491</v>
      </c>
      <c r="D199" s="33">
        <v>114</v>
      </c>
      <c r="E199" s="33">
        <v>170</v>
      </c>
      <c r="F199" s="33">
        <v>116</v>
      </c>
      <c r="G199" s="33">
        <v>187</v>
      </c>
      <c r="H199" s="33">
        <v>106</v>
      </c>
      <c r="I199" s="33">
        <v>558</v>
      </c>
      <c r="J199" s="33">
        <v>84</v>
      </c>
      <c r="K199" s="33">
        <v>131</v>
      </c>
      <c r="L199" s="33">
        <v>81</v>
      </c>
      <c r="M199" s="33">
        <v>474</v>
      </c>
      <c r="N199" s="33">
        <v>76</v>
      </c>
      <c r="O199" s="33">
        <v>194</v>
      </c>
      <c r="P199" s="1">
        <v>577</v>
      </c>
      <c r="Q199" s="1">
        <v>8</v>
      </c>
      <c r="R199" s="1">
        <v>197</v>
      </c>
    </row>
    <row r="200" spans="1:18">
      <c r="A200" s="33" t="s">
        <v>494</v>
      </c>
      <c r="B200" s="1" t="s">
        <v>92</v>
      </c>
      <c r="C200" s="1" t="s">
        <v>495</v>
      </c>
      <c r="D200" s="33">
        <v>113</v>
      </c>
      <c r="E200" s="33">
        <v>196</v>
      </c>
      <c r="F200" s="33">
        <v>113</v>
      </c>
      <c r="G200" s="33">
        <v>225</v>
      </c>
      <c r="H200" s="33">
        <v>104</v>
      </c>
      <c r="I200" s="33">
        <v>600</v>
      </c>
      <c r="J200" s="33">
        <v>81</v>
      </c>
      <c r="K200" s="33">
        <v>195</v>
      </c>
      <c r="L200" s="33">
        <v>85</v>
      </c>
      <c r="M200" s="33">
        <v>339</v>
      </c>
      <c r="N200" s="33">
        <v>81</v>
      </c>
      <c r="O200" s="33">
        <v>66</v>
      </c>
      <c r="P200" s="1">
        <v>577</v>
      </c>
      <c r="Q200" s="1">
        <v>6</v>
      </c>
      <c r="R200" s="1">
        <v>197</v>
      </c>
    </row>
    <row r="201" spans="1:18">
      <c r="A201" s="33" t="s">
        <v>498</v>
      </c>
      <c r="B201" s="1" t="s">
        <v>150</v>
      </c>
      <c r="C201" s="1" t="s">
        <v>499</v>
      </c>
      <c r="D201" s="33">
        <v>105</v>
      </c>
      <c r="E201" s="33">
        <v>515</v>
      </c>
      <c r="F201" s="33">
        <v>115</v>
      </c>
      <c r="G201" s="33">
        <v>196</v>
      </c>
      <c r="H201" s="33">
        <v>117.5</v>
      </c>
      <c r="I201" s="33">
        <v>281</v>
      </c>
      <c r="J201" s="33">
        <v>80</v>
      </c>
      <c r="K201" s="33">
        <v>211</v>
      </c>
      <c r="L201" s="33">
        <v>85</v>
      </c>
      <c r="M201" s="33">
        <v>339</v>
      </c>
      <c r="N201" s="33">
        <v>74</v>
      </c>
      <c r="O201" s="33">
        <v>247</v>
      </c>
      <c r="P201" s="1">
        <v>576.5</v>
      </c>
      <c r="Q201" s="1">
        <v>7</v>
      </c>
      <c r="R201" s="1">
        <v>200</v>
      </c>
    </row>
    <row r="202" spans="1:18">
      <c r="A202" s="33" t="s">
        <v>496</v>
      </c>
      <c r="B202" s="1" t="s">
        <v>106</v>
      </c>
      <c r="C202" s="1" t="s">
        <v>497</v>
      </c>
      <c r="D202" s="33">
        <v>102</v>
      </c>
      <c r="E202" s="33">
        <v>655</v>
      </c>
      <c r="F202" s="33">
        <v>100</v>
      </c>
      <c r="G202" s="33">
        <v>422</v>
      </c>
      <c r="H202" s="33">
        <v>127.5</v>
      </c>
      <c r="I202" s="33">
        <v>63</v>
      </c>
      <c r="J202" s="33">
        <v>80</v>
      </c>
      <c r="K202" s="33">
        <v>211</v>
      </c>
      <c r="L202" s="33">
        <v>91</v>
      </c>
      <c r="M202" s="33">
        <v>151</v>
      </c>
      <c r="N202" s="33">
        <v>76</v>
      </c>
      <c r="O202" s="33">
        <v>194</v>
      </c>
      <c r="P202" s="1">
        <v>576.5</v>
      </c>
      <c r="Q202" s="1">
        <v>8</v>
      </c>
      <c r="R202" s="1">
        <v>200</v>
      </c>
    </row>
    <row r="203" spans="1:18">
      <c r="A203" s="33" t="s">
        <v>500</v>
      </c>
      <c r="B203" s="1" t="s">
        <v>106</v>
      </c>
      <c r="C203" s="1" t="s">
        <v>501</v>
      </c>
      <c r="D203" s="33">
        <v>109</v>
      </c>
      <c r="E203" s="33">
        <v>353</v>
      </c>
      <c r="F203" s="33">
        <v>127</v>
      </c>
      <c r="G203" s="33">
        <v>78</v>
      </c>
      <c r="H203" s="33">
        <v>112</v>
      </c>
      <c r="I203" s="33">
        <v>413</v>
      </c>
      <c r="J203" s="33">
        <v>74</v>
      </c>
      <c r="K203" s="33">
        <v>345</v>
      </c>
      <c r="L203" s="33">
        <v>89</v>
      </c>
      <c r="M203" s="33">
        <v>200</v>
      </c>
      <c r="N203" s="33">
        <v>65</v>
      </c>
      <c r="O203" s="33">
        <v>554</v>
      </c>
      <c r="P203" s="1">
        <v>576</v>
      </c>
      <c r="Q203" s="1">
        <v>9</v>
      </c>
      <c r="R203" s="1">
        <v>202</v>
      </c>
    </row>
    <row r="204" spans="1:18">
      <c r="A204" s="33" t="s">
        <v>502</v>
      </c>
      <c r="B204" s="1" t="s">
        <v>296</v>
      </c>
      <c r="C204" s="1" t="s">
        <v>503</v>
      </c>
      <c r="D204" s="33">
        <v>105</v>
      </c>
      <c r="E204" s="33">
        <v>515</v>
      </c>
      <c r="F204" s="33">
        <v>124</v>
      </c>
      <c r="G204" s="33">
        <v>101</v>
      </c>
      <c r="H204" s="33">
        <v>130</v>
      </c>
      <c r="I204" s="33">
        <v>34</v>
      </c>
      <c r="J204" s="33">
        <v>82</v>
      </c>
      <c r="K204" s="33">
        <v>171</v>
      </c>
      <c r="L204" s="33">
        <v>80</v>
      </c>
      <c r="M204" s="33">
        <v>511</v>
      </c>
      <c r="N204" s="33">
        <v>55</v>
      </c>
      <c r="O204" s="33">
        <v>802</v>
      </c>
      <c r="P204" s="1">
        <v>576</v>
      </c>
      <c r="Q204" s="1">
        <v>8</v>
      </c>
      <c r="R204" s="1">
        <v>202</v>
      </c>
    </row>
    <row r="205" spans="1:18">
      <c r="A205" s="33" t="s">
        <v>504</v>
      </c>
      <c r="B205" s="1" t="s">
        <v>133</v>
      </c>
      <c r="C205" s="1" t="s">
        <v>505</v>
      </c>
      <c r="D205" s="33">
        <v>110</v>
      </c>
      <c r="E205" s="33">
        <v>310</v>
      </c>
      <c r="F205" s="33">
        <v>106</v>
      </c>
      <c r="G205" s="33">
        <v>323</v>
      </c>
      <c r="H205" s="33">
        <v>119.5</v>
      </c>
      <c r="I205" s="33">
        <v>229</v>
      </c>
      <c r="J205" s="33">
        <v>79</v>
      </c>
      <c r="K205" s="33">
        <v>236</v>
      </c>
      <c r="L205" s="33">
        <v>90</v>
      </c>
      <c r="M205" s="33">
        <v>177</v>
      </c>
      <c r="N205" s="33">
        <v>71</v>
      </c>
      <c r="O205" s="33">
        <v>342</v>
      </c>
      <c r="P205" s="1">
        <v>575.5</v>
      </c>
      <c r="Q205" s="1">
        <v>13</v>
      </c>
      <c r="R205" s="1">
        <v>204</v>
      </c>
    </row>
    <row r="206" spans="1:18">
      <c r="A206" s="33" t="s">
        <v>508</v>
      </c>
      <c r="B206" s="1" t="s">
        <v>249</v>
      </c>
      <c r="C206" s="1" t="s">
        <v>509</v>
      </c>
      <c r="D206" s="33">
        <v>112</v>
      </c>
      <c r="E206" s="33">
        <v>226</v>
      </c>
      <c r="F206" s="33">
        <v>106</v>
      </c>
      <c r="G206" s="33">
        <v>323</v>
      </c>
      <c r="H206" s="33">
        <v>128.5</v>
      </c>
      <c r="I206" s="33">
        <v>53</v>
      </c>
      <c r="J206" s="33">
        <v>72</v>
      </c>
      <c r="K206" s="33">
        <v>392</v>
      </c>
      <c r="L206" s="33">
        <v>82</v>
      </c>
      <c r="M206" s="33">
        <v>452</v>
      </c>
      <c r="N206" s="33">
        <v>75</v>
      </c>
      <c r="O206" s="33">
        <v>219</v>
      </c>
      <c r="P206" s="1">
        <v>575.5</v>
      </c>
      <c r="Q206" s="1">
        <v>10</v>
      </c>
      <c r="R206" s="1">
        <v>204</v>
      </c>
    </row>
    <row r="207" spans="1:18">
      <c r="A207" s="33" t="s">
        <v>506</v>
      </c>
      <c r="B207" s="1" t="s">
        <v>122</v>
      </c>
      <c r="C207" s="1" t="s">
        <v>507</v>
      </c>
      <c r="D207" s="33">
        <v>114</v>
      </c>
      <c r="E207" s="33">
        <v>170</v>
      </c>
      <c r="F207" s="33">
        <v>102</v>
      </c>
      <c r="G207" s="33">
        <v>387</v>
      </c>
      <c r="H207" s="33">
        <v>106.5</v>
      </c>
      <c r="I207" s="33">
        <v>554</v>
      </c>
      <c r="J207" s="33">
        <v>86</v>
      </c>
      <c r="K207" s="33">
        <v>101</v>
      </c>
      <c r="L207" s="33">
        <v>95</v>
      </c>
      <c r="M207" s="33">
        <v>60</v>
      </c>
      <c r="N207" s="33">
        <v>72</v>
      </c>
      <c r="O207" s="33">
        <v>312</v>
      </c>
      <c r="P207" s="1">
        <v>575.5</v>
      </c>
      <c r="Q207" s="1">
        <v>25</v>
      </c>
      <c r="R207" s="1">
        <v>204</v>
      </c>
    </row>
    <row r="208" spans="1:18">
      <c r="A208" s="33" t="s">
        <v>512</v>
      </c>
      <c r="B208" s="1" t="s">
        <v>296</v>
      </c>
      <c r="C208" s="1" t="s">
        <v>513</v>
      </c>
      <c r="D208" s="33">
        <v>93</v>
      </c>
      <c r="E208" s="33">
        <v>868</v>
      </c>
      <c r="F208" s="33">
        <v>124</v>
      </c>
      <c r="G208" s="33">
        <v>101</v>
      </c>
      <c r="H208" s="33">
        <v>111</v>
      </c>
      <c r="I208" s="33">
        <v>445</v>
      </c>
      <c r="J208" s="33">
        <v>87</v>
      </c>
      <c r="K208" s="33">
        <v>92</v>
      </c>
      <c r="L208" s="33">
        <v>89</v>
      </c>
      <c r="M208" s="33">
        <v>200</v>
      </c>
      <c r="N208" s="33">
        <v>71</v>
      </c>
      <c r="O208" s="33">
        <v>342</v>
      </c>
      <c r="P208" s="1">
        <v>575</v>
      </c>
      <c r="Q208" s="1">
        <v>9</v>
      </c>
      <c r="R208" s="1">
        <v>207</v>
      </c>
    </row>
    <row r="209" spans="1:18">
      <c r="A209" s="33" t="s">
        <v>518</v>
      </c>
      <c r="B209" s="1" t="s">
        <v>84</v>
      </c>
      <c r="C209" s="1" t="s">
        <v>41</v>
      </c>
      <c r="D209" s="33">
        <v>115</v>
      </c>
      <c r="E209" s="33">
        <v>140</v>
      </c>
      <c r="F209" s="33">
        <v>119</v>
      </c>
      <c r="G209" s="33">
        <v>154</v>
      </c>
      <c r="H209" s="33">
        <v>128</v>
      </c>
      <c r="I209" s="33">
        <v>58</v>
      </c>
      <c r="J209" s="33">
        <v>65</v>
      </c>
      <c r="K209" s="33">
        <v>539</v>
      </c>
      <c r="L209" s="33">
        <v>76</v>
      </c>
      <c r="M209" s="33">
        <v>642</v>
      </c>
      <c r="N209" s="33">
        <v>72</v>
      </c>
      <c r="O209" s="33">
        <v>312</v>
      </c>
      <c r="P209" s="1">
        <v>575</v>
      </c>
      <c r="Q209" s="1">
        <v>10</v>
      </c>
      <c r="R209" s="1">
        <v>207</v>
      </c>
    </row>
    <row r="210" spans="1:18">
      <c r="A210" s="33" t="s">
        <v>519</v>
      </c>
      <c r="B210" s="1" t="s">
        <v>210</v>
      </c>
      <c r="C210" s="1" t="s">
        <v>520</v>
      </c>
      <c r="D210" s="33">
        <v>108</v>
      </c>
      <c r="E210" s="33">
        <v>391</v>
      </c>
      <c r="F210" s="33">
        <v>116</v>
      </c>
      <c r="G210" s="33">
        <v>187</v>
      </c>
      <c r="H210" s="33">
        <v>117</v>
      </c>
      <c r="I210" s="33">
        <v>291</v>
      </c>
      <c r="J210" s="33">
        <v>78</v>
      </c>
      <c r="K210" s="33">
        <v>256</v>
      </c>
      <c r="L210" s="33">
        <v>88</v>
      </c>
      <c r="M210" s="33">
        <v>240</v>
      </c>
      <c r="N210" s="33">
        <v>68</v>
      </c>
      <c r="O210" s="33">
        <v>452</v>
      </c>
      <c r="P210" s="1">
        <v>575</v>
      </c>
      <c r="Q210" s="1">
        <v>9</v>
      </c>
      <c r="R210" s="1">
        <v>207</v>
      </c>
    </row>
    <row r="211" spans="1:18">
      <c r="A211" s="33" t="s">
        <v>510</v>
      </c>
      <c r="B211" s="1" t="s">
        <v>87</v>
      </c>
      <c r="C211" s="1" t="s">
        <v>511</v>
      </c>
      <c r="D211" s="33">
        <v>116</v>
      </c>
      <c r="E211" s="33">
        <v>117</v>
      </c>
      <c r="F211" s="33">
        <v>108</v>
      </c>
      <c r="G211" s="33">
        <v>297</v>
      </c>
      <c r="H211" s="33">
        <v>122</v>
      </c>
      <c r="I211" s="33">
        <v>154</v>
      </c>
      <c r="J211" s="33">
        <v>77</v>
      </c>
      <c r="K211" s="33">
        <v>278</v>
      </c>
      <c r="L211" s="33">
        <v>86</v>
      </c>
      <c r="M211" s="33">
        <v>304</v>
      </c>
      <c r="N211" s="33">
        <v>66</v>
      </c>
      <c r="O211" s="33">
        <v>519</v>
      </c>
      <c r="P211" s="1">
        <v>575</v>
      </c>
      <c r="Q211" s="1">
        <v>46</v>
      </c>
      <c r="R211" s="1">
        <v>207</v>
      </c>
    </row>
    <row r="212" spans="1:18">
      <c r="A212" s="33" t="s">
        <v>516</v>
      </c>
      <c r="B212" s="1" t="s">
        <v>240</v>
      </c>
      <c r="C212" s="1" t="s">
        <v>517</v>
      </c>
      <c r="D212" s="33">
        <v>113</v>
      </c>
      <c r="E212" s="33">
        <v>196</v>
      </c>
      <c r="F212" s="33">
        <v>108</v>
      </c>
      <c r="G212" s="33">
        <v>297</v>
      </c>
      <c r="H212" s="33">
        <v>128</v>
      </c>
      <c r="I212" s="33">
        <v>58</v>
      </c>
      <c r="J212" s="33">
        <v>77</v>
      </c>
      <c r="K212" s="33">
        <v>278</v>
      </c>
      <c r="L212" s="33">
        <v>66</v>
      </c>
      <c r="M212" s="33">
        <v>849</v>
      </c>
      <c r="N212" s="33">
        <v>83</v>
      </c>
      <c r="O212" s="33">
        <v>30</v>
      </c>
      <c r="P212" s="1">
        <v>575</v>
      </c>
      <c r="Q212" s="1">
        <v>9</v>
      </c>
      <c r="R212" s="1">
        <v>207</v>
      </c>
    </row>
    <row r="213" spans="1:18">
      <c r="A213" s="33" t="s">
        <v>514</v>
      </c>
      <c r="B213" s="1" t="s">
        <v>296</v>
      </c>
      <c r="C213" s="1" t="s">
        <v>515</v>
      </c>
      <c r="D213" s="33">
        <v>120</v>
      </c>
      <c r="E213" s="33">
        <v>43</v>
      </c>
      <c r="F213" s="33">
        <v>100</v>
      </c>
      <c r="G213" s="33">
        <v>422</v>
      </c>
      <c r="H213" s="33">
        <v>122</v>
      </c>
      <c r="I213" s="33">
        <v>154</v>
      </c>
      <c r="J213" s="33">
        <v>73</v>
      </c>
      <c r="K213" s="33">
        <v>370</v>
      </c>
      <c r="L213" s="33">
        <v>92</v>
      </c>
      <c r="M213" s="33">
        <v>116</v>
      </c>
      <c r="N213" s="33">
        <v>68</v>
      </c>
      <c r="O213" s="33">
        <v>452</v>
      </c>
      <c r="P213" s="1">
        <v>575</v>
      </c>
      <c r="Q213" s="1">
        <v>9</v>
      </c>
      <c r="R213" s="1">
        <v>207</v>
      </c>
    </row>
    <row r="214" spans="1:18">
      <c r="A214" s="33" t="s">
        <v>523</v>
      </c>
      <c r="B214" s="1" t="s">
        <v>150</v>
      </c>
      <c r="C214" s="1" t="s">
        <v>524</v>
      </c>
      <c r="D214" s="33">
        <v>104</v>
      </c>
      <c r="E214" s="33">
        <v>573</v>
      </c>
      <c r="F214" s="33">
        <v>128</v>
      </c>
      <c r="G214" s="33">
        <v>70</v>
      </c>
      <c r="H214" s="33">
        <v>95.5</v>
      </c>
      <c r="I214" s="33">
        <v>769</v>
      </c>
      <c r="J214" s="33">
        <v>78</v>
      </c>
      <c r="K214" s="33">
        <v>256</v>
      </c>
      <c r="L214" s="33">
        <v>92</v>
      </c>
      <c r="M214" s="33">
        <v>116</v>
      </c>
      <c r="N214" s="33">
        <v>77</v>
      </c>
      <c r="O214" s="33">
        <v>162</v>
      </c>
      <c r="P214" s="1">
        <v>574.5</v>
      </c>
      <c r="Q214" s="1">
        <v>8</v>
      </c>
      <c r="R214" s="1">
        <v>213</v>
      </c>
    </row>
    <row r="215" spans="1:18">
      <c r="A215" s="33" t="s">
        <v>521</v>
      </c>
      <c r="B215" s="1" t="s">
        <v>217</v>
      </c>
      <c r="C215" s="1" t="s">
        <v>522</v>
      </c>
      <c r="D215" s="33">
        <v>106</v>
      </c>
      <c r="E215" s="33">
        <v>477</v>
      </c>
      <c r="F215" s="33">
        <v>110</v>
      </c>
      <c r="G215" s="33">
        <v>265</v>
      </c>
      <c r="H215" s="33">
        <v>113.5</v>
      </c>
      <c r="I215" s="33">
        <v>374</v>
      </c>
      <c r="J215" s="33">
        <v>80</v>
      </c>
      <c r="K215" s="33">
        <v>211</v>
      </c>
      <c r="L215" s="33">
        <v>87</v>
      </c>
      <c r="M215" s="33">
        <v>268</v>
      </c>
      <c r="N215" s="33">
        <v>78</v>
      </c>
      <c r="O215" s="33">
        <v>133</v>
      </c>
      <c r="P215" s="1">
        <v>574.5</v>
      </c>
      <c r="Q215" s="1">
        <v>10</v>
      </c>
      <c r="R215" s="1">
        <v>213</v>
      </c>
    </row>
    <row r="216" spans="1:18">
      <c r="A216" s="33" t="s">
        <v>535</v>
      </c>
      <c r="B216" s="1" t="s">
        <v>111</v>
      </c>
      <c r="C216" s="1" t="s">
        <v>536</v>
      </c>
      <c r="D216" s="33">
        <v>99</v>
      </c>
      <c r="E216" s="33">
        <v>754</v>
      </c>
      <c r="F216" s="33">
        <v>129</v>
      </c>
      <c r="G216" s="33">
        <v>63</v>
      </c>
      <c r="H216" s="33">
        <v>104</v>
      </c>
      <c r="I216" s="33">
        <v>600</v>
      </c>
      <c r="J216" s="33">
        <v>90</v>
      </c>
      <c r="K216" s="33">
        <v>63</v>
      </c>
      <c r="L216" s="33">
        <v>83</v>
      </c>
      <c r="M216" s="33">
        <v>407</v>
      </c>
      <c r="N216" s="33">
        <v>69</v>
      </c>
      <c r="O216" s="33">
        <v>420</v>
      </c>
      <c r="P216" s="1">
        <v>574</v>
      </c>
      <c r="Q216" s="1">
        <v>8</v>
      </c>
      <c r="R216" s="1">
        <v>215</v>
      </c>
    </row>
    <row r="217" spans="1:18">
      <c r="A217" s="33" t="s">
        <v>527</v>
      </c>
      <c r="B217" s="1" t="s">
        <v>133</v>
      </c>
      <c r="C217" s="1" t="s">
        <v>528</v>
      </c>
      <c r="D217" s="33">
        <v>105</v>
      </c>
      <c r="E217" s="33">
        <v>515</v>
      </c>
      <c r="F217" s="33">
        <v>121</v>
      </c>
      <c r="G217" s="33">
        <v>131</v>
      </c>
      <c r="H217" s="33">
        <v>98</v>
      </c>
      <c r="I217" s="33">
        <v>728</v>
      </c>
      <c r="J217" s="33">
        <v>83</v>
      </c>
      <c r="K217" s="33">
        <v>153</v>
      </c>
      <c r="L217" s="33">
        <v>87</v>
      </c>
      <c r="M217" s="33">
        <v>268</v>
      </c>
      <c r="N217" s="33">
        <v>80</v>
      </c>
      <c r="O217" s="33">
        <v>85</v>
      </c>
      <c r="P217" s="1">
        <v>574</v>
      </c>
      <c r="Q217" s="1">
        <v>14</v>
      </c>
      <c r="R217" s="1">
        <v>215</v>
      </c>
    </row>
    <row r="218" spans="1:18">
      <c r="A218" s="33" t="s">
        <v>525</v>
      </c>
      <c r="B218" s="1" t="s">
        <v>92</v>
      </c>
      <c r="C218" s="1" t="s">
        <v>526</v>
      </c>
      <c r="D218" s="33">
        <v>103</v>
      </c>
      <c r="E218" s="33">
        <v>606</v>
      </c>
      <c r="F218" s="33">
        <v>119</v>
      </c>
      <c r="G218" s="33">
        <v>154</v>
      </c>
      <c r="H218" s="33">
        <v>104</v>
      </c>
      <c r="I218" s="33">
        <v>600</v>
      </c>
      <c r="J218" s="33">
        <v>85</v>
      </c>
      <c r="K218" s="33">
        <v>117</v>
      </c>
      <c r="L218" s="33">
        <v>89</v>
      </c>
      <c r="M218" s="33">
        <v>200</v>
      </c>
      <c r="N218" s="33">
        <v>74</v>
      </c>
      <c r="O218" s="33">
        <v>247</v>
      </c>
      <c r="P218" s="1">
        <v>574</v>
      </c>
      <c r="Q218" s="1">
        <v>7</v>
      </c>
      <c r="R218" s="1">
        <v>215</v>
      </c>
    </row>
    <row r="219" spans="1:18">
      <c r="A219" s="33" t="s">
        <v>529</v>
      </c>
      <c r="B219" s="1" t="s">
        <v>122</v>
      </c>
      <c r="C219" s="1" t="s">
        <v>530</v>
      </c>
      <c r="D219" s="33">
        <v>100</v>
      </c>
      <c r="E219" s="33">
        <v>715</v>
      </c>
      <c r="F219" s="33">
        <v>117</v>
      </c>
      <c r="G219" s="33">
        <v>174</v>
      </c>
      <c r="H219" s="33">
        <v>114</v>
      </c>
      <c r="I219" s="33">
        <v>356</v>
      </c>
      <c r="J219" s="33">
        <v>90</v>
      </c>
      <c r="K219" s="33">
        <v>63</v>
      </c>
      <c r="L219" s="33">
        <v>89</v>
      </c>
      <c r="M219" s="33">
        <v>200</v>
      </c>
      <c r="N219" s="33">
        <v>64</v>
      </c>
      <c r="O219" s="33">
        <v>593</v>
      </c>
      <c r="P219" s="1">
        <v>574</v>
      </c>
      <c r="Q219" s="1">
        <v>26</v>
      </c>
      <c r="R219" s="1">
        <v>215</v>
      </c>
    </row>
    <row r="220" spans="1:18">
      <c r="A220" s="33" t="s">
        <v>531</v>
      </c>
      <c r="B220" s="1" t="s">
        <v>111</v>
      </c>
      <c r="C220" s="1" t="s">
        <v>532</v>
      </c>
      <c r="D220" s="33">
        <v>103</v>
      </c>
      <c r="E220" s="33">
        <v>606</v>
      </c>
      <c r="F220" s="33">
        <v>114</v>
      </c>
      <c r="G220" s="33">
        <v>216</v>
      </c>
      <c r="H220" s="33">
        <v>121</v>
      </c>
      <c r="I220" s="33">
        <v>173</v>
      </c>
      <c r="J220" s="33">
        <v>83</v>
      </c>
      <c r="K220" s="33">
        <v>153</v>
      </c>
      <c r="L220" s="33">
        <v>88</v>
      </c>
      <c r="M220" s="33">
        <v>240</v>
      </c>
      <c r="N220" s="33">
        <v>65</v>
      </c>
      <c r="O220" s="33">
        <v>554</v>
      </c>
      <c r="P220" s="1">
        <v>574</v>
      </c>
      <c r="Q220" s="1">
        <v>8</v>
      </c>
      <c r="R220" s="1">
        <v>215</v>
      </c>
    </row>
    <row r="221" spans="1:18">
      <c r="A221" s="33" t="s">
        <v>533</v>
      </c>
      <c r="B221" s="1" t="s">
        <v>111</v>
      </c>
      <c r="C221" s="1" t="s">
        <v>534</v>
      </c>
      <c r="D221" s="33">
        <v>104</v>
      </c>
      <c r="E221" s="33">
        <v>573</v>
      </c>
      <c r="F221" s="33">
        <v>108</v>
      </c>
      <c r="G221" s="33">
        <v>297</v>
      </c>
      <c r="H221" s="33">
        <v>122</v>
      </c>
      <c r="I221" s="33">
        <v>154</v>
      </c>
      <c r="J221" s="33">
        <v>79</v>
      </c>
      <c r="K221" s="33">
        <v>236</v>
      </c>
      <c r="L221" s="33">
        <v>91</v>
      </c>
      <c r="M221" s="33">
        <v>151</v>
      </c>
      <c r="N221" s="33">
        <v>70</v>
      </c>
      <c r="O221" s="33">
        <v>380</v>
      </c>
      <c r="P221" s="1">
        <v>574</v>
      </c>
      <c r="Q221" s="1">
        <v>8</v>
      </c>
      <c r="R221" s="1">
        <v>215</v>
      </c>
    </row>
    <row r="222" spans="1:18">
      <c r="A222" s="33" t="s">
        <v>539</v>
      </c>
      <c r="B222" s="1" t="s">
        <v>150</v>
      </c>
      <c r="C222" s="1" t="s">
        <v>540</v>
      </c>
      <c r="D222" s="33">
        <v>114</v>
      </c>
      <c r="E222" s="33">
        <v>170</v>
      </c>
      <c r="F222" s="33">
        <v>110</v>
      </c>
      <c r="G222" s="33">
        <v>265</v>
      </c>
      <c r="H222" s="33">
        <v>110.5</v>
      </c>
      <c r="I222" s="33">
        <v>465</v>
      </c>
      <c r="J222" s="33">
        <v>68</v>
      </c>
      <c r="K222" s="33">
        <v>474</v>
      </c>
      <c r="L222" s="33">
        <v>92</v>
      </c>
      <c r="M222" s="33">
        <v>116</v>
      </c>
      <c r="N222" s="33">
        <v>79</v>
      </c>
      <c r="O222" s="33">
        <v>103</v>
      </c>
      <c r="P222" s="1">
        <v>573.5</v>
      </c>
      <c r="Q222" s="1">
        <v>9</v>
      </c>
      <c r="R222" s="1">
        <v>221</v>
      </c>
    </row>
    <row r="223" spans="1:18">
      <c r="A223" s="33" t="s">
        <v>541</v>
      </c>
      <c r="B223" s="1" t="s">
        <v>133</v>
      </c>
      <c r="C223" s="1" t="s">
        <v>542</v>
      </c>
      <c r="D223" s="33">
        <v>105</v>
      </c>
      <c r="E223" s="33">
        <v>515</v>
      </c>
      <c r="F223" s="33">
        <v>108</v>
      </c>
      <c r="G223" s="33">
        <v>297</v>
      </c>
      <c r="H223" s="33">
        <v>111.5</v>
      </c>
      <c r="I223" s="33">
        <v>427</v>
      </c>
      <c r="J223" s="33">
        <v>80</v>
      </c>
      <c r="K223" s="33">
        <v>211</v>
      </c>
      <c r="L223" s="33">
        <v>91</v>
      </c>
      <c r="M223" s="33">
        <v>151</v>
      </c>
      <c r="N223" s="33">
        <v>78</v>
      </c>
      <c r="O223" s="33">
        <v>133</v>
      </c>
      <c r="P223" s="1">
        <v>573.5</v>
      </c>
      <c r="Q223" s="1">
        <v>15</v>
      </c>
      <c r="R223" s="1">
        <v>221</v>
      </c>
    </row>
    <row r="224" spans="1:18">
      <c r="A224" s="33" t="s">
        <v>537</v>
      </c>
      <c r="B224" s="1" t="s">
        <v>87</v>
      </c>
      <c r="C224" s="1" t="s">
        <v>538</v>
      </c>
      <c r="D224" s="33">
        <v>102</v>
      </c>
      <c r="E224" s="33">
        <v>655</v>
      </c>
      <c r="F224" s="33">
        <v>99</v>
      </c>
      <c r="G224" s="33">
        <v>437</v>
      </c>
      <c r="H224" s="33">
        <v>124.5</v>
      </c>
      <c r="I224" s="33">
        <v>103</v>
      </c>
      <c r="J224" s="33">
        <v>83</v>
      </c>
      <c r="K224" s="33">
        <v>153</v>
      </c>
      <c r="L224" s="33">
        <v>92</v>
      </c>
      <c r="M224" s="33">
        <v>116</v>
      </c>
      <c r="N224" s="33">
        <v>73</v>
      </c>
      <c r="O224" s="33">
        <v>275</v>
      </c>
      <c r="P224" s="1">
        <v>573.5</v>
      </c>
      <c r="Q224" s="1">
        <v>47</v>
      </c>
      <c r="R224" s="1">
        <v>221</v>
      </c>
    </row>
    <row r="225" spans="1:18">
      <c r="A225" s="33" t="s">
        <v>543</v>
      </c>
      <c r="B225" s="1" t="s">
        <v>150</v>
      </c>
      <c r="C225" s="1" t="s">
        <v>544</v>
      </c>
      <c r="D225" s="33">
        <v>106</v>
      </c>
      <c r="E225" s="33">
        <v>477</v>
      </c>
      <c r="F225" s="33">
        <v>120</v>
      </c>
      <c r="G225" s="33">
        <v>146</v>
      </c>
      <c r="H225" s="33">
        <v>120</v>
      </c>
      <c r="I225" s="33">
        <v>211</v>
      </c>
      <c r="J225" s="33">
        <v>67</v>
      </c>
      <c r="K225" s="33">
        <v>497</v>
      </c>
      <c r="L225" s="33">
        <v>92</v>
      </c>
      <c r="M225" s="33">
        <v>116</v>
      </c>
      <c r="N225" s="33">
        <v>68</v>
      </c>
      <c r="O225" s="33">
        <v>452</v>
      </c>
      <c r="P225" s="1">
        <v>573</v>
      </c>
      <c r="Q225" s="1">
        <v>10</v>
      </c>
      <c r="R225" s="1">
        <v>224</v>
      </c>
    </row>
    <row r="226" spans="1:18">
      <c r="A226" s="33" t="s">
        <v>545</v>
      </c>
      <c r="B226" s="1" t="s">
        <v>210</v>
      </c>
      <c r="C226" s="1" t="s">
        <v>546</v>
      </c>
      <c r="D226" s="33">
        <v>107</v>
      </c>
      <c r="E226" s="33">
        <v>429</v>
      </c>
      <c r="F226" s="33">
        <v>110</v>
      </c>
      <c r="G226" s="33">
        <v>265</v>
      </c>
      <c r="H226" s="33">
        <v>118</v>
      </c>
      <c r="I226" s="33">
        <v>263</v>
      </c>
      <c r="J226" s="33">
        <v>69</v>
      </c>
      <c r="K226" s="33">
        <v>452</v>
      </c>
      <c r="L226" s="33">
        <v>87</v>
      </c>
      <c r="M226" s="33">
        <v>268</v>
      </c>
      <c r="N226" s="33">
        <v>82</v>
      </c>
      <c r="O226" s="33">
        <v>46</v>
      </c>
      <c r="P226" s="1">
        <v>573</v>
      </c>
      <c r="Q226" s="1">
        <v>10</v>
      </c>
      <c r="R226" s="1">
        <v>224</v>
      </c>
    </row>
    <row r="227" spans="1:18">
      <c r="A227" s="33" t="s">
        <v>547</v>
      </c>
      <c r="B227" s="1" t="s">
        <v>249</v>
      </c>
      <c r="C227" s="1" t="s">
        <v>548</v>
      </c>
      <c r="D227" s="33">
        <v>111</v>
      </c>
      <c r="E227" s="33">
        <v>271</v>
      </c>
      <c r="F227" s="33">
        <v>124</v>
      </c>
      <c r="G227" s="33">
        <v>101</v>
      </c>
      <c r="H227" s="33">
        <v>122.5</v>
      </c>
      <c r="I227" s="33">
        <v>146</v>
      </c>
      <c r="J227" s="33">
        <v>82</v>
      </c>
      <c r="K227" s="33">
        <v>171</v>
      </c>
      <c r="L227" s="33">
        <v>70</v>
      </c>
      <c r="M227" s="33">
        <v>787</v>
      </c>
      <c r="N227" s="33">
        <v>63</v>
      </c>
      <c r="O227" s="33">
        <v>625</v>
      </c>
      <c r="P227" s="1">
        <v>572.5</v>
      </c>
      <c r="Q227" s="1">
        <v>11</v>
      </c>
      <c r="R227" s="1">
        <v>226</v>
      </c>
    </row>
    <row r="228" spans="1:18">
      <c r="A228" s="33" t="s">
        <v>1746</v>
      </c>
      <c r="B228" s="1" t="s">
        <v>169</v>
      </c>
      <c r="C228" s="1" t="s">
        <v>1747</v>
      </c>
      <c r="D228" s="33">
        <v>112</v>
      </c>
      <c r="E228" s="33">
        <v>226</v>
      </c>
      <c r="F228" s="33">
        <v>117</v>
      </c>
      <c r="G228" s="33">
        <v>174</v>
      </c>
      <c r="H228" s="33">
        <v>114.5</v>
      </c>
      <c r="I228" s="33">
        <v>340</v>
      </c>
      <c r="J228" s="33">
        <v>80</v>
      </c>
      <c r="K228" s="33">
        <v>211</v>
      </c>
      <c r="L228" s="33">
        <v>86</v>
      </c>
      <c r="M228" s="33">
        <v>304</v>
      </c>
      <c r="N228" s="33">
        <v>63</v>
      </c>
      <c r="O228" s="33">
        <v>625</v>
      </c>
      <c r="P228" s="1">
        <v>572.5</v>
      </c>
      <c r="Q228" s="1">
        <v>12</v>
      </c>
      <c r="R228" s="1">
        <v>226</v>
      </c>
    </row>
    <row r="229" spans="1:18">
      <c r="A229" s="33" t="s">
        <v>549</v>
      </c>
      <c r="B229" s="1" t="s">
        <v>84</v>
      </c>
      <c r="C229" s="1" t="s">
        <v>550</v>
      </c>
      <c r="D229" s="33">
        <v>106</v>
      </c>
      <c r="E229" s="33">
        <v>477</v>
      </c>
      <c r="F229" s="33">
        <v>124</v>
      </c>
      <c r="G229" s="33">
        <v>101</v>
      </c>
      <c r="H229" s="33">
        <v>107</v>
      </c>
      <c r="I229" s="33">
        <v>546</v>
      </c>
      <c r="J229" s="33">
        <v>74</v>
      </c>
      <c r="K229" s="33">
        <v>345</v>
      </c>
      <c r="L229" s="33">
        <v>83</v>
      </c>
      <c r="M229" s="33">
        <v>407</v>
      </c>
      <c r="N229" s="33">
        <v>78</v>
      </c>
      <c r="O229" s="33">
        <v>133</v>
      </c>
      <c r="P229" s="1">
        <v>572</v>
      </c>
      <c r="Q229" s="1">
        <v>11</v>
      </c>
      <c r="R229" s="1">
        <v>228</v>
      </c>
    </row>
    <row r="230" spans="1:18">
      <c r="A230" s="33" t="s">
        <v>553</v>
      </c>
      <c r="B230" s="1" t="s">
        <v>203</v>
      </c>
      <c r="C230" s="1" t="s">
        <v>554</v>
      </c>
      <c r="D230" s="33">
        <v>98</v>
      </c>
      <c r="E230" s="33">
        <v>774</v>
      </c>
      <c r="F230" s="33">
        <v>124</v>
      </c>
      <c r="G230" s="33">
        <v>101</v>
      </c>
      <c r="H230" s="33">
        <v>85</v>
      </c>
      <c r="I230" s="33">
        <v>870</v>
      </c>
      <c r="J230" s="33">
        <v>92</v>
      </c>
      <c r="K230" s="33">
        <v>48</v>
      </c>
      <c r="L230" s="33">
        <v>95</v>
      </c>
      <c r="M230" s="33">
        <v>60</v>
      </c>
      <c r="N230" s="33">
        <v>78</v>
      </c>
      <c r="O230" s="33">
        <v>133</v>
      </c>
      <c r="P230" s="1">
        <v>572</v>
      </c>
      <c r="Q230" s="1">
        <v>12</v>
      </c>
      <c r="R230" s="1">
        <v>228</v>
      </c>
    </row>
    <row r="231" spans="1:18">
      <c r="A231" s="33" t="s">
        <v>551</v>
      </c>
      <c r="B231" s="1" t="s">
        <v>210</v>
      </c>
      <c r="C231" s="1" t="s">
        <v>552</v>
      </c>
      <c r="D231" s="33">
        <v>97</v>
      </c>
      <c r="E231" s="33">
        <v>795</v>
      </c>
      <c r="F231" s="33">
        <v>116</v>
      </c>
      <c r="G231" s="33">
        <v>187</v>
      </c>
      <c r="H231" s="33">
        <v>96</v>
      </c>
      <c r="I231" s="33">
        <v>762</v>
      </c>
      <c r="J231" s="33">
        <v>91</v>
      </c>
      <c r="K231" s="33">
        <v>56</v>
      </c>
      <c r="L231" s="33">
        <v>90</v>
      </c>
      <c r="M231" s="33">
        <v>177</v>
      </c>
      <c r="N231" s="33">
        <v>82</v>
      </c>
      <c r="O231" s="33">
        <v>46</v>
      </c>
      <c r="P231" s="1">
        <v>572</v>
      </c>
      <c r="Q231" s="1">
        <v>11</v>
      </c>
      <c r="R231" s="1">
        <v>228</v>
      </c>
    </row>
    <row r="232" spans="1:18">
      <c r="A232" s="33" t="s">
        <v>555</v>
      </c>
      <c r="B232" s="1" t="s">
        <v>133</v>
      </c>
      <c r="C232" s="1" t="s">
        <v>556</v>
      </c>
      <c r="D232" s="33">
        <v>116</v>
      </c>
      <c r="E232" s="33">
        <v>117</v>
      </c>
      <c r="F232" s="33">
        <v>126</v>
      </c>
      <c r="G232" s="33">
        <v>86</v>
      </c>
      <c r="H232" s="33">
        <v>89</v>
      </c>
      <c r="I232" s="33">
        <v>841</v>
      </c>
      <c r="J232" s="33">
        <v>65</v>
      </c>
      <c r="K232" s="33">
        <v>539</v>
      </c>
      <c r="L232" s="33">
        <v>92</v>
      </c>
      <c r="M232" s="33">
        <v>116</v>
      </c>
      <c r="N232" s="33">
        <v>83</v>
      </c>
      <c r="O232" s="33">
        <v>30</v>
      </c>
      <c r="P232" s="1">
        <v>571</v>
      </c>
      <c r="Q232" s="1">
        <v>16</v>
      </c>
      <c r="R232" s="1">
        <v>231</v>
      </c>
    </row>
    <row r="233" spans="1:18">
      <c r="A233" s="33" t="s">
        <v>557</v>
      </c>
      <c r="B233" s="1" t="s">
        <v>97</v>
      </c>
      <c r="C233" s="1" t="s">
        <v>558</v>
      </c>
      <c r="D233" s="33">
        <v>111</v>
      </c>
      <c r="E233" s="33">
        <v>271</v>
      </c>
      <c r="F233" s="33">
        <v>125</v>
      </c>
      <c r="G233" s="33">
        <v>94</v>
      </c>
      <c r="H233" s="33">
        <v>94</v>
      </c>
      <c r="I233" s="33">
        <v>783</v>
      </c>
      <c r="J233" s="33">
        <v>80</v>
      </c>
      <c r="K233" s="33">
        <v>211</v>
      </c>
      <c r="L233" s="33">
        <v>83</v>
      </c>
      <c r="M233" s="33">
        <v>407</v>
      </c>
      <c r="N233" s="33">
        <v>78</v>
      </c>
      <c r="O233" s="33">
        <v>133</v>
      </c>
      <c r="P233" s="1">
        <v>571</v>
      </c>
      <c r="Q233" s="1">
        <v>12</v>
      </c>
      <c r="R233" s="1">
        <v>231</v>
      </c>
    </row>
    <row r="234" spans="1:18">
      <c r="A234" s="33" t="s">
        <v>563</v>
      </c>
      <c r="B234" s="1" t="s">
        <v>296</v>
      </c>
      <c r="C234" s="1" t="s">
        <v>564</v>
      </c>
      <c r="D234" s="33">
        <v>108</v>
      </c>
      <c r="E234" s="33">
        <v>391</v>
      </c>
      <c r="F234" s="33">
        <v>134</v>
      </c>
      <c r="G234" s="33">
        <v>35</v>
      </c>
      <c r="H234" s="33">
        <v>92.5</v>
      </c>
      <c r="I234" s="33">
        <v>801</v>
      </c>
      <c r="J234" s="33">
        <v>84</v>
      </c>
      <c r="K234" s="33">
        <v>131</v>
      </c>
      <c r="L234" s="33">
        <v>89</v>
      </c>
      <c r="M234" s="33">
        <v>200</v>
      </c>
      <c r="N234" s="33">
        <v>63</v>
      </c>
      <c r="O234" s="33">
        <v>625</v>
      </c>
      <c r="P234" s="1">
        <v>570.5</v>
      </c>
      <c r="Q234" s="1">
        <v>11</v>
      </c>
      <c r="R234" s="1">
        <v>233</v>
      </c>
    </row>
    <row r="235" spans="1:18">
      <c r="A235" s="33" t="s">
        <v>561</v>
      </c>
      <c r="B235" s="1" t="s">
        <v>150</v>
      </c>
      <c r="C235" s="1" t="s">
        <v>562</v>
      </c>
      <c r="D235" s="33">
        <v>97</v>
      </c>
      <c r="E235" s="33">
        <v>795</v>
      </c>
      <c r="F235" s="33">
        <v>128</v>
      </c>
      <c r="G235" s="33">
        <v>70</v>
      </c>
      <c r="H235" s="33">
        <v>107.5</v>
      </c>
      <c r="I235" s="33">
        <v>532</v>
      </c>
      <c r="J235" s="33">
        <v>78</v>
      </c>
      <c r="K235" s="33">
        <v>256</v>
      </c>
      <c r="L235" s="33">
        <v>87</v>
      </c>
      <c r="M235" s="33">
        <v>268</v>
      </c>
      <c r="N235" s="33">
        <v>73</v>
      </c>
      <c r="O235" s="33">
        <v>275</v>
      </c>
      <c r="P235" s="1">
        <v>570.5</v>
      </c>
      <c r="Q235" s="1">
        <v>11</v>
      </c>
      <c r="R235" s="1">
        <v>233</v>
      </c>
    </row>
    <row r="236" spans="1:18">
      <c r="A236" s="33" t="s">
        <v>559</v>
      </c>
      <c r="B236" s="1" t="s">
        <v>92</v>
      </c>
      <c r="C236" s="1" t="s">
        <v>560</v>
      </c>
      <c r="D236" s="33">
        <v>106</v>
      </c>
      <c r="E236" s="33">
        <v>477</v>
      </c>
      <c r="F236" s="33">
        <v>116</v>
      </c>
      <c r="G236" s="33">
        <v>187</v>
      </c>
      <c r="H236" s="33">
        <v>104.5</v>
      </c>
      <c r="I236" s="33">
        <v>593</v>
      </c>
      <c r="J236" s="33">
        <v>74</v>
      </c>
      <c r="K236" s="33">
        <v>345</v>
      </c>
      <c r="L236" s="33">
        <v>92</v>
      </c>
      <c r="M236" s="33">
        <v>116</v>
      </c>
      <c r="N236" s="33">
        <v>78</v>
      </c>
      <c r="O236" s="33">
        <v>133</v>
      </c>
      <c r="P236" s="1">
        <v>570.5</v>
      </c>
      <c r="Q236" s="1">
        <v>8</v>
      </c>
      <c r="R236" s="1">
        <v>233</v>
      </c>
    </row>
    <row r="237" spans="1:18">
      <c r="A237" s="33" t="s">
        <v>565</v>
      </c>
      <c r="B237" s="1" t="s">
        <v>133</v>
      </c>
      <c r="C237" s="1" t="s">
        <v>566</v>
      </c>
      <c r="D237" s="33">
        <v>107</v>
      </c>
      <c r="E237" s="33">
        <v>429</v>
      </c>
      <c r="F237" s="33">
        <v>107</v>
      </c>
      <c r="G237" s="33">
        <v>314</v>
      </c>
      <c r="H237" s="33">
        <v>118</v>
      </c>
      <c r="I237" s="33">
        <v>263</v>
      </c>
      <c r="J237" s="33">
        <v>87</v>
      </c>
      <c r="K237" s="33">
        <v>92</v>
      </c>
      <c r="L237" s="33">
        <v>88</v>
      </c>
      <c r="M237" s="33">
        <v>240</v>
      </c>
      <c r="N237" s="33">
        <v>63</v>
      </c>
      <c r="O237" s="33">
        <v>625</v>
      </c>
      <c r="P237" s="1">
        <v>570</v>
      </c>
      <c r="Q237" s="1">
        <v>17</v>
      </c>
      <c r="R237" s="1">
        <v>236</v>
      </c>
    </row>
    <row r="238" spans="1:18">
      <c r="A238" s="33" t="s">
        <v>567</v>
      </c>
      <c r="B238" s="1" t="s">
        <v>92</v>
      </c>
      <c r="C238" s="1" t="s">
        <v>568</v>
      </c>
      <c r="D238" s="33">
        <v>115</v>
      </c>
      <c r="E238" s="33">
        <v>140</v>
      </c>
      <c r="F238" s="33">
        <v>82</v>
      </c>
      <c r="G238" s="33">
        <v>677</v>
      </c>
      <c r="H238" s="33">
        <v>125</v>
      </c>
      <c r="I238" s="33">
        <v>96</v>
      </c>
      <c r="J238" s="33">
        <v>85</v>
      </c>
      <c r="K238" s="33">
        <v>117</v>
      </c>
      <c r="L238" s="33">
        <v>84</v>
      </c>
      <c r="M238" s="33">
        <v>379</v>
      </c>
      <c r="N238" s="33">
        <v>79</v>
      </c>
      <c r="O238" s="33">
        <v>103</v>
      </c>
      <c r="P238" s="1">
        <v>570</v>
      </c>
      <c r="Q238" s="1">
        <v>9</v>
      </c>
      <c r="R238" s="1">
        <v>236</v>
      </c>
    </row>
    <row r="239" spans="1:18">
      <c r="A239" s="33" t="s">
        <v>573</v>
      </c>
      <c r="B239" s="1" t="s">
        <v>87</v>
      </c>
      <c r="C239" s="1" t="s">
        <v>574</v>
      </c>
      <c r="D239" s="33">
        <v>100</v>
      </c>
      <c r="E239" s="33">
        <v>715</v>
      </c>
      <c r="F239" s="33">
        <v>115</v>
      </c>
      <c r="G239" s="33">
        <v>196</v>
      </c>
      <c r="H239" s="33">
        <v>122.5</v>
      </c>
      <c r="I239" s="33">
        <v>146</v>
      </c>
      <c r="J239" s="33">
        <v>83</v>
      </c>
      <c r="K239" s="33">
        <v>153</v>
      </c>
      <c r="L239" s="33">
        <v>92</v>
      </c>
      <c r="M239" s="33">
        <v>116</v>
      </c>
      <c r="N239" s="33">
        <v>57</v>
      </c>
      <c r="O239" s="33">
        <v>770</v>
      </c>
      <c r="P239" s="1">
        <v>569.5</v>
      </c>
      <c r="Q239" s="1">
        <v>48</v>
      </c>
      <c r="R239" s="1">
        <v>238</v>
      </c>
    </row>
    <row r="240" spans="1:18">
      <c r="A240" s="33" t="s">
        <v>571</v>
      </c>
      <c r="B240" s="1" t="s">
        <v>133</v>
      </c>
      <c r="C240" s="1" t="s">
        <v>572</v>
      </c>
      <c r="D240" s="33">
        <v>118</v>
      </c>
      <c r="E240" s="33">
        <v>69</v>
      </c>
      <c r="F240" s="33">
        <v>100</v>
      </c>
      <c r="G240" s="33">
        <v>422</v>
      </c>
      <c r="H240" s="33">
        <v>110.5</v>
      </c>
      <c r="I240" s="33">
        <v>465</v>
      </c>
      <c r="J240" s="33">
        <v>85</v>
      </c>
      <c r="K240" s="33">
        <v>117</v>
      </c>
      <c r="L240" s="33">
        <v>84</v>
      </c>
      <c r="M240" s="33">
        <v>379</v>
      </c>
      <c r="N240" s="33">
        <v>72</v>
      </c>
      <c r="O240" s="33">
        <v>312</v>
      </c>
      <c r="P240" s="1">
        <v>569.5</v>
      </c>
      <c r="Q240" s="1">
        <v>18</v>
      </c>
      <c r="R240" s="1">
        <v>238</v>
      </c>
    </row>
    <row r="241" spans="1:18">
      <c r="A241" s="33" t="s">
        <v>569</v>
      </c>
      <c r="B241" s="1" t="s">
        <v>97</v>
      </c>
      <c r="C241" s="1" t="s">
        <v>570</v>
      </c>
      <c r="D241" s="33">
        <v>104</v>
      </c>
      <c r="E241" s="33">
        <v>573</v>
      </c>
      <c r="F241" s="33">
        <v>85</v>
      </c>
      <c r="G241" s="33">
        <v>644</v>
      </c>
      <c r="H241" s="33">
        <v>133.5</v>
      </c>
      <c r="I241" s="33">
        <v>13</v>
      </c>
      <c r="J241" s="33">
        <v>74</v>
      </c>
      <c r="K241" s="33">
        <v>345</v>
      </c>
      <c r="L241" s="33">
        <v>99</v>
      </c>
      <c r="M241" s="33">
        <v>13</v>
      </c>
      <c r="N241" s="33">
        <v>74</v>
      </c>
      <c r="O241" s="33">
        <v>247</v>
      </c>
      <c r="P241" s="1">
        <v>569.5</v>
      </c>
      <c r="Q241" s="1">
        <v>13</v>
      </c>
      <c r="R241" s="1">
        <v>238</v>
      </c>
    </row>
    <row r="242" spans="1:18">
      <c r="A242" s="33" t="s">
        <v>577</v>
      </c>
      <c r="B242" s="1" t="s">
        <v>122</v>
      </c>
      <c r="C242" s="1" t="s">
        <v>578</v>
      </c>
      <c r="D242" s="33">
        <v>104</v>
      </c>
      <c r="E242" s="33">
        <v>573</v>
      </c>
      <c r="F242" s="33">
        <v>118</v>
      </c>
      <c r="G242" s="33">
        <v>162</v>
      </c>
      <c r="H242" s="33">
        <v>115</v>
      </c>
      <c r="I242" s="33">
        <v>330</v>
      </c>
      <c r="J242" s="33">
        <v>81</v>
      </c>
      <c r="K242" s="33">
        <v>195</v>
      </c>
      <c r="L242" s="33">
        <v>88</v>
      </c>
      <c r="M242" s="33">
        <v>240</v>
      </c>
      <c r="N242" s="33">
        <v>63</v>
      </c>
      <c r="O242" s="33">
        <v>625</v>
      </c>
      <c r="P242" s="1">
        <v>569</v>
      </c>
      <c r="Q242" s="1">
        <v>27</v>
      </c>
      <c r="R242" s="1">
        <v>241</v>
      </c>
    </row>
    <row r="243" spans="1:18">
      <c r="A243" s="33" t="s">
        <v>575</v>
      </c>
      <c r="B243" s="1" t="s">
        <v>87</v>
      </c>
      <c r="C243" s="1" t="s">
        <v>576</v>
      </c>
      <c r="D243" s="33">
        <v>126</v>
      </c>
      <c r="E243" s="33">
        <v>11</v>
      </c>
      <c r="F243" s="33">
        <v>112</v>
      </c>
      <c r="G243" s="33">
        <v>236</v>
      </c>
      <c r="H243" s="33">
        <v>115</v>
      </c>
      <c r="I243" s="33">
        <v>330</v>
      </c>
      <c r="J243" s="33">
        <v>54</v>
      </c>
      <c r="K243" s="33">
        <v>766</v>
      </c>
      <c r="L243" s="33">
        <v>96</v>
      </c>
      <c r="M243" s="33">
        <v>45</v>
      </c>
      <c r="N243" s="33">
        <v>66</v>
      </c>
      <c r="O243" s="33">
        <v>519</v>
      </c>
      <c r="P243" s="1">
        <v>569</v>
      </c>
      <c r="Q243" s="1">
        <v>49</v>
      </c>
      <c r="R243" s="1">
        <v>241</v>
      </c>
    </row>
    <row r="244" spans="1:18">
      <c r="A244" s="33" t="s">
        <v>581</v>
      </c>
      <c r="B244" s="1" t="s">
        <v>240</v>
      </c>
      <c r="C244" s="1" t="s">
        <v>582</v>
      </c>
      <c r="D244" s="33">
        <v>111</v>
      </c>
      <c r="E244" s="33">
        <v>271</v>
      </c>
      <c r="F244" s="33">
        <v>109</v>
      </c>
      <c r="G244" s="33">
        <v>279</v>
      </c>
      <c r="H244" s="33">
        <v>113.5</v>
      </c>
      <c r="I244" s="33">
        <v>374</v>
      </c>
      <c r="J244" s="33">
        <v>71</v>
      </c>
      <c r="K244" s="33">
        <v>411</v>
      </c>
      <c r="L244" s="33">
        <v>90</v>
      </c>
      <c r="M244" s="33">
        <v>177</v>
      </c>
      <c r="N244" s="33">
        <v>74</v>
      </c>
      <c r="O244" s="33">
        <v>247</v>
      </c>
      <c r="P244" s="1">
        <v>568.5</v>
      </c>
      <c r="Q244" s="1">
        <v>10</v>
      </c>
      <c r="R244" s="1">
        <v>243</v>
      </c>
    </row>
    <row r="245" spans="1:18">
      <c r="A245" s="33" t="s">
        <v>579</v>
      </c>
      <c r="B245" s="1" t="s">
        <v>122</v>
      </c>
      <c r="C245" s="1" t="s">
        <v>580</v>
      </c>
      <c r="D245" s="33">
        <v>116</v>
      </c>
      <c r="E245" s="33">
        <v>117</v>
      </c>
      <c r="F245" s="33">
        <v>95</v>
      </c>
      <c r="G245" s="33">
        <v>502</v>
      </c>
      <c r="H245" s="33">
        <v>114.5</v>
      </c>
      <c r="I245" s="33">
        <v>340</v>
      </c>
      <c r="J245" s="33">
        <v>86</v>
      </c>
      <c r="K245" s="33">
        <v>101</v>
      </c>
      <c r="L245" s="33">
        <v>87</v>
      </c>
      <c r="M245" s="33">
        <v>268</v>
      </c>
      <c r="N245" s="33">
        <v>70</v>
      </c>
      <c r="O245" s="33">
        <v>380</v>
      </c>
      <c r="P245" s="1">
        <v>568.5</v>
      </c>
      <c r="Q245" s="1">
        <v>28</v>
      </c>
      <c r="R245" s="1">
        <v>243</v>
      </c>
    </row>
    <row r="246" spans="1:18">
      <c r="A246" s="33" t="s">
        <v>583</v>
      </c>
      <c r="B246" s="1" t="s">
        <v>210</v>
      </c>
      <c r="C246" s="1" t="s">
        <v>584</v>
      </c>
      <c r="D246" s="33">
        <v>104</v>
      </c>
      <c r="E246" s="33">
        <v>573</v>
      </c>
      <c r="F246" s="33">
        <v>119</v>
      </c>
      <c r="G246" s="33">
        <v>154</v>
      </c>
      <c r="H246" s="33">
        <v>111</v>
      </c>
      <c r="I246" s="33">
        <v>445</v>
      </c>
      <c r="J246" s="33">
        <v>65</v>
      </c>
      <c r="K246" s="33">
        <v>539</v>
      </c>
      <c r="L246" s="33">
        <v>92</v>
      </c>
      <c r="M246" s="33">
        <v>116</v>
      </c>
      <c r="N246" s="33">
        <v>77</v>
      </c>
      <c r="O246" s="33">
        <v>162</v>
      </c>
      <c r="P246" s="1">
        <v>568</v>
      </c>
      <c r="Q246" s="1">
        <v>12</v>
      </c>
      <c r="R246" s="1">
        <v>245</v>
      </c>
    </row>
    <row r="247" spans="1:18">
      <c r="A247" s="33" t="s">
        <v>585</v>
      </c>
      <c r="B247" s="1" t="s">
        <v>87</v>
      </c>
      <c r="C247" s="1" t="s">
        <v>586</v>
      </c>
      <c r="D247" s="33">
        <v>117</v>
      </c>
      <c r="E247" s="33">
        <v>86</v>
      </c>
      <c r="F247" s="33">
        <v>91</v>
      </c>
      <c r="G247" s="33">
        <v>567</v>
      </c>
      <c r="H247" s="33">
        <v>118</v>
      </c>
      <c r="I247" s="33">
        <v>263</v>
      </c>
      <c r="J247" s="33">
        <v>82</v>
      </c>
      <c r="K247" s="33">
        <v>171</v>
      </c>
      <c r="L247" s="33">
        <v>82</v>
      </c>
      <c r="M247" s="33">
        <v>452</v>
      </c>
      <c r="N247" s="33">
        <v>78</v>
      </c>
      <c r="O247" s="33">
        <v>133</v>
      </c>
      <c r="P247" s="1">
        <v>568</v>
      </c>
      <c r="Q247" s="1">
        <v>50</v>
      </c>
      <c r="R247" s="1">
        <v>245</v>
      </c>
    </row>
    <row r="248" spans="1:18">
      <c r="A248" s="33" t="s">
        <v>587</v>
      </c>
      <c r="B248" s="1" t="s">
        <v>210</v>
      </c>
      <c r="C248" s="1" t="s">
        <v>588</v>
      </c>
      <c r="D248" s="33">
        <v>111</v>
      </c>
      <c r="E248" s="33">
        <v>271</v>
      </c>
      <c r="F248" s="33">
        <v>118</v>
      </c>
      <c r="G248" s="33">
        <v>162</v>
      </c>
      <c r="H248" s="33">
        <v>99.5</v>
      </c>
      <c r="I248" s="33">
        <v>694</v>
      </c>
      <c r="J248" s="33">
        <v>85</v>
      </c>
      <c r="K248" s="33">
        <v>117</v>
      </c>
      <c r="L248" s="33">
        <v>85</v>
      </c>
      <c r="M248" s="33">
        <v>339</v>
      </c>
      <c r="N248" s="33">
        <v>69</v>
      </c>
      <c r="O248" s="33">
        <v>420</v>
      </c>
      <c r="P248" s="1">
        <v>567.5</v>
      </c>
      <c r="Q248" s="1">
        <v>13</v>
      </c>
      <c r="R248" s="1">
        <v>247</v>
      </c>
    </row>
    <row r="249" spans="1:18">
      <c r="A249" s="33" t="s">
        <v>589</v>
      </c>
      <c r="B249" s="1" t="s">
        <v>150</v>
      </c>
      <c r="C249" s="1" t="s">
        <v>590</v>
      </c>
      <c r="D249" s="33">
        <v>89</v>
      </c>
      <c r="E249" s="33">
        <v>909</v>
      </c>
      <c r="F249" s="33">
        <v>109</v>
      </c>
      <c r="G249" s="33">
        <v>279</v>
      </c>
      <c r="H249" s="33">
        <v>122.5</v>
      </c>
      <c r="I249" s="33">
        <v>146</v>
      </c>
      <c r="J249" s="33">
        <v>82</v>
      </c>
      <c r="K249" s="33">
        <v>171</v>
      </c>
      <c r="L249" s="33">
        <v>86</v>
      </c>
      <c r="M249" s="33">
        <v>304</v>
      </c>
      <c r="N249" s="33">
        <v>78</v>
      </c>
      <c r="O249" s="33">
        <v>133</v>
      </c>
      <c r="P249" s="1">
        <v>566.5</v>
      </c>
      <c r="Q249" s="1">
        <v>12</v>
      </c>
      <c r="R249" s="1">
        <v>248</v>
      </c>
    </row>
    <row r="250" spans="1:18">
      <c r="A250" s="33" t="s">
        <v>595</v>
      </c>
      <c r="B250" s="1" t="s">
        <v>92</v>
      </c>
      <c r="C250" s="1" t="s">
        <v>596</v>
      </c>
      <c r="D250" s="33">
        <v>105</v>
      </c>
      <c r="E250" s="33">
        <v>515</v>
      </c>
      <c r="F250" s="33">
        <v>119</v>
      </c>
      <c r="G250" s="33">
        <v>154</v>
      </c>
      <c r="H250" s="33">
        <v>101</v>
      </c>
      <c r="I250" s="33">
        <v>661</v>
      </c>
      <c r="J250" s="33">
        <v>83</v>
      </c>
      <c r="K250" s="33">
        <v>153</v>
      </c>
      <c r="L250" s="33">
        <v>78</v>
      </c>
      <c r="M250" s="33">
        <v>577</v>
      </c>
      <c r="N250" s="33">
        <v>80</v>
      </c>
      <c r="O250" s="33">
        <v>85</v>
      </c>
      <c r="P250" s="1">
        <v>566</v>
      </c>
      <c r="Q250" s="1">
        <v>10</v>
      </c>
      <c r="R250" s="1">
        <v>249</v>
      </c>
    </row>
    <row r="251" spans="1:18">
      <c r="A251" s="33" t="s">
        <v>593</v>
      </c>
      <c r="B251" s="1" t="s">
        <v>150</v>
      </c>
      <c r="C251" s="1" t="s">
        <v>594</v>
      </c>
      <c r="D251" s="33">
        <v>105</v>
      </c>
      <c r="E251" s="33">
        <v>515</v>
      </c>
      <c r="F251" s="33">
        <v>117</v>
      </c>
      <c r="G251" s="33">
        <v>174</v>
      </c>
      <c r="H251" s="33">
        <v>100</v>
      </c>
      <c r="I251" s="33">
        <v>680</v>
      </c>
      <c r="J251" s="33">
        <v>75</v>
      </c>
      <c r="K251" s="33">
        <v>324</v>
      </c>
      <c r="L251" s="33">
        <v>89</v>
      </c>
      <c r="M251" s="33">
        <v>200</v>
      </c>
      <c r="N251" s="33">
        <v>80</v>
      </c>
      <c r="O251" s="33">
        <v>85</v>
      </c>
      <c r="P251" s="1">
        <v>566</v>
      </c>
      <c r="Q251" s="1">
        <v>13</v>
      </c>
      <c r="R251" s="1">
        <v>249</v>
      </c>
    </row>
    <row r="252" spans="1:18">
      <c r="A252" s="33" t="s">
        <v>591</v>
      </c>
      <c r="B252" s="1" t="s">
        <v>133</v>
      </c>
      <c r="C252" s="1" t="s">
        <v>592</v>
      </c>
      <c r="D252" s="33">
        <v>110</v>
      </c>
      <c r="E252" s="33">
        <v>310</v>
      </c>
      <c r="F252" s="33">
        <v>106</v>
      </c>
      <c r="G252" s="33">
        <v>323</v>
      </c>
      <c r="H252" s="33">
        <v>134</v>
      </c>
      <c r="I252" s="33">
        <v>12</v>
      </c>
      <c r="J252" s="33">
        <v>55</v>
      </c>
      <c r="K252" s="33">
        <v>748</v>
      </c>
      <c r="L252" s="33">
        <v>88</v>
      </c>
      <c r="M252" s="33">
        <v>240</v>
      </c>
      <c r="N252" s="33">
        <v>73</v>
      </c>
      <c r="O252" s="33">
        <v>275</v>
      </c>
      <c r="P252" s="1">
        <v>566</v>
      </c>
      <c r="Q252" s="1">
        <v>19</v>
      </c>
      <c r="R252" s="1">
        <v>249</v>
      </c>
    </row>
    <row r="253" spans="1:18">
      <c r="A253" s="33" t="s">
        <v>597</v>
      </c>
      <c r="B253" s="1" t="s">
        <v>240</v>
      </c>
      <c r="C253" s="1" t="s">
        <v>598</v>
      </c>
      <c r="D253" s="33">
        <v>110</v>
      </c>
      <c r="E253" s="33">
        <v>310</v>
      </c>
      <c r="F253" s="33">
        <v>93</v>
      </c>
      <c r="G253" s="33">
        <v>541</v>
      </c>
      <c r="H253" s="33">
        <v>116</v>
      </c>
      <c r="I253" s="33">
        <v>309</v>
      </c>
      <c r="J253" s="33">
        <v>76</v>
      </c>
      <c r="K253" s="33">
        <v>302</v>
      </c>
      <c r="L253" s="33">
        <v>93</v>
      </c>
      <c r="M253" s="33">
        <v>93</v>
      </c>
      <c r="N253" s="33">
        <v>78</v>
      </c>
      <c r="O253" s="33">
        <v>133</v>
      </c>
      <c r="P253" s="1">
        <v>566</v>
      </c>
      <c r="Q253" s="1">
        <v>11</v>
      </c>
      <c r="R253" s="1">
        <v>249</v>
      </c>
    </row>
    <row r="254" spans="1:18">
      <c r="A254" s="33" t="s">
        <v>599</v>
      </c>
      <c r="B254" s="1" t="s">
        <v>150</v>
      </c>
      <c r="C254" s="1" t="s">
        <v>600</v>
      </c>
      <c r="D254" s="33">
        <v>97</v>
      </c>
      <c r="E254" s="33">
        <v>795</v>
      </c>
      <c r="F254" s="33">
        <v>120</v>
      </c>
      <c r="G254" s="33">
        <v>146</v>
      </c>
      <c r="H254" s="33">
        <v>104.5</v>
      </c>
      <c r="I254" s="33">
        <v>593</v>
      </c>
      <c r="J254" s="33">
        <v>77</v>
      </c>
      <c r="K254" s="33">
        <v>278</v>
      </c>
      <c r="L254" s="33">
        <v>87</v>
      </c>
      <c r="M254" s="33">
        <v>268</v>
      </c>
      <c r="N254" s="33">
        <v>80</v>
      </c>
      <c r="O254" s="33">
        <v>85</v>
      </c>
      <c r="P254" s="1">
        <v>565.5</v>
      </c>
      <c r="Q254" s="1">
        <v>14</v>
      </c>
      <c r="R254" s="1">
        <v>253</v>
      </c>
    </row>
    <row r="255" spans="1:18">
      <c r="A255" s="33" t="s">
        <v>603</v>
      </c>
      <c r="B255" s="1" t="s">
        <v>203</v>
      </c>
      <c r="C255" s="1" t="s">
        <v>604</v>
      </c>
      <c r="D255" s="33">
        <v>108</v>
      </c>
      <c r="E255" s="33">
        <v>391</v>
      </c>
      <c r="F255" s="33">
        <v>118</v>
      </c>
      <c r="G255" s="33">
        <v>162</v>
      </c>
      <c r="H255" s="33">
        <v>119.5</v>
      </c>
      <c r="I255" s="33">
        <v>229</v>
      </c>
      <c r="J255" s="33">
        <v>69</v>
      </c>
      <c r="K255" s="33">
        <v>452</v>
      </c>
      <c r="L255" s="33">
        <v>79</v>
      </c>
      <c r="M255" s="33">
        <v>539</v>
      </c>
      <c r="N255" s="33">
        <v>72</v>
      </c>
      <c r="O255" s="33">
        <v>312</v>
      </c>
      <c r="P255" s="1">
        <v>565.5</v>
      </c>
      <c r="Q255" s="1">
        <v>13</v>
      </c>
      <c r="R255" s="1">
        <v>253</v>
      </c>
    </row>
    <row r="256" spans="1:18">
      <c r="A256" s="33" t="s">
        <v>601</v>
      </c>
      <c r="B256" s="1" t="s">
        <v>106</v>
      </c>
      <c r="C256" s="1" t="s">
        <v>602</v>
      </c>
      <c r="D256" s="33">
        <v>114</v>
      </c>
      <c r="E256" s="33">
        <v>170</v>
      </c>
      <c r="F256" s="33">
        <v>106</v>
      </c>
      <c r="G256" s="33">
        <v>323</v>
      </c>
      <c r="H256" s="33">
        <v>117.5</v>
      </c>
      <c r="I256" s="33">
        <v>281</v>
      </c>
      <c r="J256" s="33">
        <v>85</v>
      </c>
      <c r="K256" s="33">
        <v>117</v>
      </c>
      <c r="L256" s="33">
        <v>70</v>
      </c>
      <c r="M256" s="33">
        <v>787</v>
      </c>
      <c r="N256" s="33">
        <v>73</v>
      </c>
      <c r="O256" s="33">
        <v>275</v>
      </c>
      <c r="P256" s="1">
        <v>565.5</v>
      </c>
      <c r="Q256" s="1">
        <v>10</v>
      </c>
      <c r="R256" s="1">
        <v>253</v>
      </c>
    </row>
    <row r="257" spans="1:18">
      <c r="A257" s="33" t="s">
        <v>605</v>
      </c>
      <c r="B257" s="1" t="s">
        <v>169</v>
      </c>
      <c r="C257" s="1" t="s">
        <v>606</v>
      </c>
      <c r="D257" s="33">
        <v>99</v>
      </c>
      <c r="E257" s="33">
        <v>754</v>
      </c>
      <c r="F257" s="33">
        <v>124</v>
      </c>
      <c r="G257" s="33">
        <v>101</v>
      </c>
      <c r="H257" s="33">
        <v>103</v>
      </c>
      <c r="I257" s="33">
        <v>630</v>
      </c>
      <c r="J257" s="33">
        <v>75</v>
      </c>
      <c r="K257" s="33">
        <v>324</v>
      </c>
      <c r="L257" s="33">
        <v>88</v>
      </c>
      <c r="M257" s="33">
        <v>240</v>
      </c>
      <c r="N257" s="33">
        <v>76</v>
      </c>
      <c r="O257" s="33">
        <v>194</v>
      </c>
      <c r="P257" s="1">
        <v>565</v>
      </c>
      <c r="Q257" s="1">
        <v>13</v>
      </c>
      <c r="R257" s="1">
        <v>256</v>
      </c>
    </row>
    <row r="258" spans="1:18">
      <c r="A258" s="33" t="s">
        <v>607</v>
      </c>
      <c r="B258" s="1" t="s">
        <v>133</v>
      </c>
      <c r="C258" s="1" t="s">
        <v>608</v>
      </c>
      <c r="D258" s="33">
        <v>108</v>
      </c>
      <c r="E258" s="33">
        <v>391</v>
      </c>
      <c r="F258" s="33">
        <v>119</v>
      </c>
      <c r="G258" s="33">
        <v>154</v>
      </c>
      <c r="H258" s="33">
        <v>105</v>
      </c>
      <c r="I258" s="33">
        <v>578</v>
      </c>
      <c r="J258" s="33">
        <v>77</v>
      </c>
      <c r="K258" s="33">
        <v>278</v>
      </c>
      <c r="L258" s="33">
        <v>89</v>
      </c>
      <c r="M258" s="33">
        <v>200</v>
      </c>
      <c r="N258" s="33">
        <v>67</v>
      </c>
      <c r="O258" s="33">
        <v>489</v>
      </c>
      <c r="P258" s="1">
        <v>565</v>
      </c>
      <c r="Q258" s="1">
        <v>20</v>
      </c>
      <c r="R258" s="1">
        <v>256</v>
      </c>
    </row>
    <row r="259" spans="1:18">
      <c r="A259" s="33" t="s">
        <v>609</v>
      </c>
      <c r="B259" s="1" t="s">
        <v>92</v>
      </c>
      <c r="C259" s="1" t="s">
        <v>610</v>
      </c>
      <c r="D259" s="33">
        <v>110</v>
      </c>
      <c r="E259" s="33">
        <v>310</v>
      </c>
      <c r="F259" s="33">
        <v>101</v>
      </c>
      <c r="G259" s="33">
        <v>404</v>
      </c>
      <c r="H259" s="33">
        <v>108</v>
      </c>
      <c r="I259" s="33">
        <v>519</v>
      </c>
      <c r="J259" s="33">
        <v>75</v>
      </c>
      <c r="K259" s="33">
        <v>324</v>
      </c>
      <c r="L259" s="33">
        <v>85</v>
      </c>
      <c r="M259" s="33">
        <v>339</v>
      </c>
      <c r="N259" s="33">
        <v>86</v>
      </c>
      <c r="O259" s="33">
        <v>7</v>
      </c>
      <c r="P259" s="1">
        <v>565</v>
      </c>
      <c r="Q259" s="1">
        <v>11</v>
      </c>
      <c r="R259" s="1">
        <v>256</v>
      </c>
    </row>
    <row r="260" spans="1:18">
      <c r="A260" s="33" t="s">
        <v>611</v>
      </c>
      <c r="B260" s="1" t="s">
        <v>122</v>
      </c>
      <c r="C260" s="1" t="s">
        <v>612</v>
      </c>
      <c r="D260" s="33">
        <v>115</v>
      </c>
      <c r="E260" s="33">
        <v>140</v>
      </c>
      <c r="F260" s="33">
        <v>99</v>
      </c>
      <c r="G260" s="33">
        <v>437</v>
      </c>
      <c r="H260" s="33">
        <v>119</v>
      </c>
      <c r="I260" s="33">
        <v>237</v>
      </c>
      <c r="J260" s="33">
        <v>67</v>
      </c>
      <c r="K260" s="33">
        <v>497</v>
      </c>
      <c r="L260" s="33">
        <v>92</v>
      </c>
      <c r="M260" s="33">
        <v>116</v>
      </c>
      <c r="N260" s="33">
        <v>73</v>
      </c>
      <c r="O260" s="33">
        <v>275</v>
      </c>
      <c r="P260" s="1">
        <v>565</v>
      </c>
      <c r="Q260" s="1">
        <v>29</v>
      </c>
      <c r="R260" s="1">
        <v>256</v>
      </c>
    </row>
    <row r="261" spans="1:18">
      <c r="A261" s="33" t="s">
        <v>613</v>
      </c>
      <c r="B261" s="1" t="s">
        <v>217</v>
      </c>
      <c r="C261" s="1" t="s">
        <v>614</v>
      </c>
      <c r="D261" s="33">
        <v>113</v>
      </c>
      <c r="E261" s="33">
        <v>196</v>
      </c>
      <c r="F261" s="33">
        <v>128</v>
      </c>
      <c r="G261" s="33">
        <v>70</v>
      </c>
      <c r="H261" s="33">
        <v>93.5</v>
      </c>
      <c r="I261" s="33">
        <v>790</v>
      </c>
      <c r="J261" s="33">
        <v>71</v>
      </c>
      <c r="K261" s="33">
        <v>411</v>
      </c>
      <c r="L261" s="33">
        <v>83</v>
      </c>
      <c r="M261" s="33">
        <v>407</v>
      </c>
      <c r="N261" s="33">
        <v>76</v>
      </c>
      <c r="O261" s="33">
        <v>194</v>
      </c>
      <c r="P261" s="1">
        <v>564.5</v>
      </c>
      <c r="Q261" s="1">
        <v>11</v>
      </c>
      <c r="R261" s="1">
        <v>260</v>
      </c>
    </row>
    <row r="262" spans="1:18">
      <c r="A262" s="33" t="s">
        <v>615</v>
      </c>
      <c r="B262" s="1" t="s">
        <v>169</v>
      </c>
      <c r="C262" s="1" t="s">
        <v>616</v>
      </c>
      <c r="D262" s="33">
        <v>108</v>
      </c>
      <c r="E262" s="33">
        <v>391</v>
      </c>
      <c r="F262" s="33">
        <v>112</v>
      </c>
      <c r="G262" s="33">
        <v>236</v>
      </c>
      <c r="H262" s="33">
        <v>99.5</v>
      </c>
      <c r="I262" s="33">
        <v>694</v>
      </c>
      <c r="J262" s="33">
        <v>83</v>
      </c>
      <c r="K262" s="33">
        <v>153</v>
      </c>
      <c r="L262" s="33">
        <v>92</v>
      </c>
      <c r="M262" s="33">
        <v>116</v>
      </c>
      <c r="N262" s="33">
        <v>70</v>
      </c>
      <c r="O262" s="33">
        <v>380</v>
      </c>
      <c r="P262" s="1">
        <v>564.5</v>
      </c>
      <c r="Q262" s="1">
        <v>14</v>
      </c>
      <c r="R262" s="1">
        <v>260</v>
      </c>
    </row>
    <row r="263" spans="1:18">
      <c r="A263" s="33" t="s">
        <v>617</v>
      </c>
      <c r="B263" s="1" t="s">
        <v>240</v>
      </c>
      <c r="C263" s="1" t="s">
        <v>618</v>
      </c>
      <c r="D263" s="33">
        <v>120</v>
      </c>
      <c r="E263" s="33">
        <v>43</v>
      </c>
      <c r="F263" s="33">
        <v>93</v>
      </c>
      <c r="G263" s="33">
        <v>541</v>
      </c>
      <c r="H263" s="33">
        <v>133</v>
      </c>
      <c r="I263" s="33">
        <v>17</v>
      </c>
      <c r="J263" s="33">
        <v>73</v>
      </c>
      <c r="K263" s="33">
        <v>370</v>
      </c>
      <c r="L263" s="33">
        <v>73</v>
      </c>
      <c r="M263" s="33">
        <v>717</v>
      </c>
      <c r="N263" s="33">
        <v>72</v>
      </c>
      <c r="O263" s="33">
        <v>312</v>
      </c>
      <c r="P263" s="1">
        <v>564</v>
      </c>
      <c r="Q263" s="1">
        <v>12</v>
      </c>
      <c r="R263" s="1">
        <v>262</v>
      </c>
    </row>
    <row r="264" spans="1:18">
      <c r="A264" s="33" t="s">
        <v>625</v>
      </c>
      <c r="B264" s="1" t="s">
        <v>150</v>
      </c>
      <c r="C264" s="1" t="s">
        <v>626</v>
      </c>
      <c r="D264" s="33">
        <v>104</v>
      </c>
      <c r="E264" s="33">
        <v>573</v>
      </c>
      <c r="F264" s="33">
        <v>129</v>
      </c>
      <c r="G264" s="33">
        <v>63</v>
      </c>
      <c r="H264" s="33">
        <v>101.5</v>
      </c>
      <c r="I264" s="33">
        <v>654</v>
      </c>
      <c r="J264" s="33">
        <v>74</v>
      </c>
      <c r="K264" s="33">
        <v>345</v>
      </c>
      <c r="L264" s="33">
        <v>83</v>
      </c>
      <c r="M264" s="33">
        <v>407</v>
      </c>
      <c r="N264" s="33">
        <v>72</v>
      </c>
      <c r="O264" s="33">
        <v>312</v>
      </c>
      <c r="P264" s="1">
        <v>563.5</v>
      </c>
      <c r="Q264" s="1">
        <v>15</v>
      </c>
      <c r="R264" s="1">
        <v>263</v>
      </c>
    </row>
    <row r="265" spans="1:18">
      <c r="A265" s="33" t="s">
        <v>629</v>
      </c>
      <c r="B265" s="1" t="s">
        <v>150</v>
      </c>
      <c r="C265" s="1" t="s">
        <v>630</v>
      </c>
      <c r="D265" s="33">
        <v>101</v>
      </c>
      <c r="E265" s="33">
        <v>688</v>
      </c>
      <c r="F265" s="33">
        <v>121</v>
      </c>
      <c r="G265" s="33">
        <v>131</v>
      </c>
      <c r="H265" s="33">
        <v>114.5</v>
      </c>
      <c r="I265" s="33">
        <v>340</v>
      </c>
      <c r="J265" s="33">
        <v>71</v>
      </c>
      <c r="K265" s="33">
        <v>411</v>
      </c>
      <c r="L265" s="33">
        <v>84</v>
      </c>
      <c r="M265" s="33">
        <v>379</v>
      </c>
      <c r="N265" s="33">
        <v>72</v>
      </c>
      <c r="O265" s="33">
        <v>312</v>
      </c>
      <c r="P265" s="1">
        <v>563.5</v>
      </c>
      <c r="Q265" s="1">
        <v>15</v>
      </c>
      <c r="R265" s="1">
        <v>263</v>
      </c>
    </row>
    <row r="266" spans="1:18">
      <c r="A266" s="33" t="s">
        <v>623</v>
      </c>
      <c r="B266" s="1" t="s">
        <v>133</v>
      </c>
      <c r="C266" s="1" t="s">
        <v>624</v>
      </c>
      <c r="D266" s="33">
        <v>91</v>
      </c>
      <c r="E266" s="33">
        <v>890</v>
      </c>
      <c r="F266" s="33">
        <v>120</v>
      </c>
      <c r="G266" s="33">
        <v>146</v>
      </c>
      <c r="H266" s="33">
        <v>117.5</v>
      </c>
      <c r="I266" s="33">
        <v>281</v>
      </c>
      <c r="J266" s="33">
        <v>81</v>
      </c>
      <c r="K266" s="33">
        <v>195</v>
      </c>
      <c r="L266" s="33">
        <v>89</v>
      </c>
      <c r="M266" s="33">
        <v>200</v>
      </c>
      <c r="N266" s="33">
        <v>65</v>
      </c>
      <c r="O266" s="33">
        <v>554</v>
      </c>
      <c r="P266" s="1">
        <v>563.5</v>
      </c>
      <c r="Q266" s="1">
        <v>21</v>
      </c>
      <c r="R266" s="1">
        <v>263</v>
      </c>
    </row>
    <row r="267" spans="1:18">
      <c r="A267" s="33" t="s">
        <v>619</v>
      </c>
      <c r="B267" s="1" t="s">
        <v>122</v>
      </c>
      <c r="C267" s="1" t="s">
        <v>620</v>
      </c>
      <c r="D267" s="33">
        <v>115</v>
      </c>
      <c r="E267" s="33">
        <v>140</v>
      </c>
      <c r="F267" s="33">
        <v>111</v>
      </c>
      <c r="G267" s="33">
        <v>248</v>
      </c>
      <c r="H267" s="33">
        <v>120.5</v>
      </c>
      <c r="I267" s="33">
        <v>192</v>
      </c>
      <c r="J267" s="33">
        <v>53</v>
      </c>
      <c r="K267" s="33">
        <v>786</v>
      </c>
      <c r="L267" s="33">
        <v>92</v>
      </c>
      <c r="M267" s="33">
        <v>116</v>
      </c>
      <c r="N267" s="33">
        <v>72</v>
      </c>
      <c r="O267" s="33">
        <v>312</v>
      </c>
      <c r="P267" s="1">
        <v>563.5</v>
      </c>
      <c r="Q267" s="1">
        <v>30</v>
      </c>
      <c r="R267" s="1">
        <v>263</v>
      </c>
    </row>
    <row r="268" spans="1:18">
      <c r="A268" s="33" t="s">
        <v>621</v>
      </c>
      <c r="B268" s="1" t="s">
        <v>92</v>
      </c>
      <c r="C268" s="1" t="s">
        <v>622</v>
      </c>
      <c r="D268" s="33">
        <v>109</v>
      </c>
      <c r="E268" s="33">
        <v>353</v>
      </c>
      <c r="F268" s="33">
        <v>99</v>
      </c>
      <c r="G268" s="33">
        <v>437</v>
      </c>
      <c r="H268" s="33">
        <v>130.5</v>
      </c>
      <c r="I268" s="33">
        <v>31</v>
      </c>
      <c r="J268" s="33">
        <v>63</v>
      </c>
      <c r="K268" s="33">
        <v>581</v>
      </c>
      <c r="L268" s="33">
        <v>89</v>
      </c>
      <c r="M268" s="33">
        <v>200</v>
      </c>
      <c r="N268" s="33">
        <v>73</v>
      </c>
      <c r="O268" s="33">
        <v>275</v>
      </c>
      <c r="P268" s="1">
        <v>563.5</v>
      </c>
      <c r="Q268" s="1">
        <v>12</v>
      </c>
      <c r="R268" s="1">
        <v>263</v>
      </c>
    </row>
    <row r="269" spans="1:18">
      <c r="A269" s="33" t="s">
        <v>631</v>
      </c>
      <c r="B269" s="1" t="s">
        <v>111</v>
      </c>
      <c r="C269" s="1" t="s">
        <v>632</v>
      </c>
      <c r="D269" s="33">
        <v>113</v>
      </c>
      <c r="E269" s="33">
        <v>196</v>
      </c>
      <c r="F269" s="33">
        <v>98</v>
      </c>
      <c r="G269" s="33">
        <v>459</v>
      </c>
      <c r="H269" s="33">
        <v>124.5</v>
      </c>
      <c r="I269" s="33">
        <v>103</v>
      </c>
      <c r="J269" s="33">
        <v>76</v>
      </c>
      <c r="K269" s="33">
        <v>302</v>
      </c>
      <c r="L269" s="33">
        <v>82</v>
      </c>
      <c r="M269" s="33">
        <v>452</v>
      </c>
      <c r="N269" s="33">
        <v>70</v>
      </c>
      <c r="O269" s="33">
        <v>380</v>
      </c>
      <c r="P269" s="1">
        <v>563.5</v>
      </c>
      <c r="Q269" s="1">
        <v>11</v>
      </c>
      <c r="R269" s="1">
        <v>263</v>
      </c>
    </row>
    <row r="270" spans="1:18">
      <c r="A270" s="33" t="s">
        <v>627</v>
      </c>
      <c r="B270" s="1" t="s">
        <v>106</v>
      </c>
      <c r="C270" s="1" t="s">
        <v>628</v>
      </c>
      <c r="D270" s="33">
        <v>113</v>
      </c>
      <c r="E270" s="33">
        <v>196</v>
      </c>
      <c r="F270" s="33">
        <v>79</v>
      </c>
      <c r="G270" s="33">
        <v>714</v>
      </c>
      <c r="H270" s="33">
        <v>123.5</v>
      </c>
      <c r="I270" s="33">
        <v>124</v>
      </c>
      <c r="J270" s="33">
        <v>86</v>
      </c>
      <c r="K270" s="33">
        <v>101</v>
      </c>
      <c r="L270" s="33">
        <v>83</v>
      </c>
      <c r="M270" s="33">
        <v>407</v>
      </c>
      <c r="N270" s="33">
        <v>79</v>
      </c>
      <c r="O270" s="33">
        <v>103</v>
      </c>
      <c r="P270" s="1">
        <v>563.5</v>
      </c>
      <c r="Q270" s="1">
        <v>11</v>
      </c>
      <c r="R270" s="1">
        <v>263</v>
      </c>
    </row>
    <row r="271" spans="1:18">
      <c r="A271" s="33" t="s">
        <v>635</v>
      </c>
      <c r="B271" s="1" t="s">
        <v>169</v>
      </c>
      <c r="C271" s="1" t="s">
        <v>636</v>
      </c>
      <c r="D271" s="33">
        <v>109</v>
      </c>
      <c r="E271" s="33">
        <v>353</v>
      </c>
      <c r="F271" s="33">
        <v>122</v>
      </c>
      <c r="G271" s="33">
        <v>116</v>
      </c>
      <c r="H271" s="33">
        <v>119</v>
      </c>
      <c r="I271" s="33">
        <v>237</v>
      </c>
      <c r="J271" s="33">
        <v>63</v>
      </c>
      <c r="K271" s="33">
        <v>581</v>
      </c>
      <c r="L271" s="33">
        <v>80</v>
      </c>
      <c r="M271" s="33">
        <v>511</v>
      </c>
      <c r="N271" s="33">
        <v>70</v>
      </c>
      <c r="O271" s="33">
        <v>380</v>
      </c>
      <c r="P271" s="1">
        <v>563</v>
      </c>
      <c r="Q271" s="1">
        <v>15</v>
      </c>
      <c r="R271" s="1">
        <v>270</v>
      </c>
    </row>
    <row r="272" spans="1:18">
      <c r="A272" s="33" t="s">
        <v>637</v>
      </c>
      <c r="B272" s="1" t="s">
        <v>172</v>
      </c>
      <c r="C272" s="1" t="s">
        <v>638</v>
      </c>
      <c r="D272" s="33">
        <v>119</v>
      </c>
      <c r="E272" s="33">
        <v>51</v>
      </c>
      <c r="F272" s="33">
        <v>109</v>
      </c>
      <c r="G272" s="33">
        <v>279</v>
      </c>
      <c r="H272" s="33">
        <v>121</v>
      </c>
      <c r="I272" s="33">
        <v>173</v>
      </c>
      <c r="J272" s="33">
        <v>58</v>
      </c>
      <c r="K272" s="33">
        <v>698</v>
      </c>
      <c r="L272" s="33">
        <v>77</v>
      </c>
      <c r="M272" s="33">
        <v>608</v>
      </c>
      <c r="N272" s="33">
        <v>79</v>
      </c>
      <c r="O272" s="33">
        <v>103</v>
      </c>
      <c r="P272" s="1">
        <v>563</v>
      </c>
      <c r="Q272" s="1">
        <v>10</v>
      </c>
      <c r="R272" s="1">
        <v>270</v>
      </c>
    </row>
    <row r="273" spans="1:18">
      <c r="A273" s="33" t="s">
        <v>633</v>
      </c>
      <c r="B273" s="1" t="s">
        <v>111</v>
      </c>
      <c r="C273" s="1" t="s">
        <v>634</v>
      </c>
      <c r="D273" s="33">
        <v>102</v>
      </c>
      <c r="E273" s="33">
        <v>655</v>
      </c>
      <c r="F273" s="33">
        <v>104</v>
      </c>
      <c r="G273" s="33">
        <v>359</v>
      </c>
      <c r="H273" s="33">
        <v>101</v>
      </c>
      <c r="I273" s="33">
        <v>661</v>
      </c>
      <c r="J273" s="33">
        <v>86</v>
      </c>
      <c r="K273" s="33">
        <v>101</v>
      </c>
      <c r="L273" s="33">
        <v>92</v>
      </c>
      <c r="M273" s="33">
        <v>116</v>
      </c>
      <c r="N273" s="33">
        <v>78</v>
      </c>
      <c r="O273" s="33">
        <v>133</v>
      </c>
      <c r="P273" s="1">
        <v>563</v>
      </c>
      <c r="Q273" s="1">
        <v>12</v>
      </c>
      <c r="R273" s="1">
        <v>270</v>
      </c>
    </row>
    <row r="274" spans="1:18">
      <c r="A274" s="33" t="s">
        <v>641</v>
      </c>
      <c r="B274" s="1" t="s">
        <v>240</v>
      </c>
      <c r="C274" s="1" t="s">
        <v>642</v>
      </c>
      <c r="D274" s="33">
        <v>105</v>
      </c>
      <c r="E274" s="33">
        <v>515</v>
      </c>
      <c r="F274" s="33">
        <v>117</v>
      </c>
      <c r="G274" s="33">
        <v>174</v>
      </c>
      <c r="H274" s="33">
        <v>108.5</v>
      </c>
      <c r="I274" s="33">
        <v>508</v>
      </c>
      <c r="J274" s="33">
        <v>75</v>
      </c>
      <c r="K274" s="33">
        <v>324</v>
      </c>
      <c r="L274" s="33">
        <v>83</v>
      </c>
      <c r="M274" s="33">
        <v>407</v>
      </c>
      <c r="N274" s="33">
        <v>73</v>
      </c>
      <c r="O274" s="33">
        <v>275</v>
      </c>
      <c r="P274" s="1">
        <v>561.5</v>
      </c>
      <c r="Q274" s="1">
        <v>13</v>
      </c>
      <c r="R274" s="1">
        <v>273</v>
      </c>
    </row>
    <row r="275" spans="1:18">
      <c r="A275" s="33" t="s">
        <v>639</v>
      </c>
      <c r="B275" s="1" t="s">
        <v>122</v>
      </c>
      <c r="C275" s="1" t="s">
        <v>640</v>
      </c>
      <c r="D275" s="33">
        <v>125</v>
      </c>
      <c r="E275" s="33">
        <v>12</v>
      </c>
      <c r="F275" s="33">
        <v>96</v>
      </c>
      <c r="G275" s="33">
        <v>484</v>
      </c>
      <c r="H275" s="33">
        <v>118.5</v>
      </c>
      <c r="I275" s="33">
        <v>247</v>
      </c>
      <c r="J275" s="33">
        <v>63</v>
      </c>
      <c r="K275" s="33">
        <v>581</v>
      </c>
      <c r="L275" s="33">
        <v>91</v>
      </c>
      <c r="M275" s="33">
        <v>151</v>
      </c>
      <c r="N275" s="33">
        <v>68</v>
      </c>
      <c r="O275" s="33">
        <v>452</v>
      </c>
      <c r="P275" s="1">
        <v>561.5</v>
      </c>
      <c r="Q275" s="1">
        <v>31</v>
      </c>
      <c r="R275" s="1">
        <v>273</v>
      </c>
    </row>
    <row r="276" spans="1:18">
      <c r="A276" s="33" t="s">
        <v>645</v>
      </c>
      <c r="B276" s="1" t="s">
        <v>217</v>
      </c>
      <c r="C276" s="1" t="s">
        <v>646</v>
      </c>
      <c r="D276" s="33">
        <v>98</v>
      </c>
      <c r="E276" s="33">
        <v>774</v>
      </c>
      <c r="F276" s="33">
        <v>126</v>
      </c>
      <c r="G276" s="33">
        <v>86</v>
      </c>
      <c r="H276" s="33">
        <v>91</v>
      </c>
      <c r="I276" s="33">
        <v>817</v>
      </c>
      <c r="J276" s="33">
        <v>90</v>
      </c>
      <c r="K276" s="33">
        <v>63</v>
      </c>
      <c r="L276" s="33">
        <v>85</v>
      </c>
      <c r="M276" s="33">
        <v>339</v>
      </c>
      <c r="N276" s="33">
        <v>71</v>
      </c>
      <c r="O276" s="33">
        <v>342</v>
      </c>
      <c r="P276" s="1">
        <v>561</v>
      </c>
      <c r="Q276" s="1">
        <v>12</v>
      </c>
      <c r="R276" s="1">
        <v>275</v>
      </c>
    </row>
    <row r="277" spans="1:18">
      <c r="A277" s="33" t="s">
        <v>643</v>
      </c>
      <c r="B277" s="1" t="s">
        <v>169</v>
      </c>
      <c r="C277" s="1" t="s">
        <v>644</v>
      </c>
      <c r="D277" s="33">
        <v>109</v>
      </c>
      <c r="E277" s="33">
        <v>353</v>
      </c>
      <c r="F277" s="33">
        <v>122</v>
      </c>
      <c r="G277" s="33">
        <v>116</v>
      </c>
      <c r="H277" s="33">
        <v>106</v>
      </c>
      <c r="I277" s="33">
        <v>558</v>
      </c>
      <c r="J277" s="33">
        <v>75</v>
      </c>
      <c r="K277" s="33">
        <v>324</v>
      </c>
      <c r="L277" s="33">
        <v>81</v>
      </c>
      <c r="M277" s="33">
        <v>474</v>
      </c>
      <c r="N277" s="33">
        <v>68</v>
      </c>
      <c r="O277" s="33">
        <v>452</v>
      </c>
      <c r="P277" s="1">
        <v>561</v>
      </c>
      <c r="Q277" s="1">
        <v>16</v>
      </c>
      <c r="R277" s="1">
        <v>275</v>
      </c>
    </row>
    <row r="278" spans="1:18">
      <c r="A278" s="33" t="s">
        <v>647</v>
      </c>
      <c r="B278" s="1" t="s">
        <v>122</v>
      </c>
      <c r="C278" s="1" t="s">
        <v>648</v>
      </c>
      <c r="D278" s="33">
        <v>102</v>
      </c>
      <c r="E278" s="33">
        <v>655</v>
      </c>
      <c r="F278" s="33">
        <v>106</v>
      </c>
      <c r="G278" s="33">
        <v>323</v>
      </c>
      <c r="H278" s="33">
        <v>101</v>
      </c>
      <c r="I278" s="33">
        <v>661</v>
      </c>
      <c r="J278" s="33">
        <v>88</v>
      </c>
      <c r="K278" s="33">
        <v>87</v>
      </c>
      <c r="L278" s="33">
        <v>94</v>
      </c>
      <c r="M278" s="33">
        <v>78</v>
      </c>
      <c r="N278" s="33">
        <v>69</v>
      </c>
      <c r="O278" s="33">
        <v>420</v>
      </c>
      <c r="P278" s="1">
        <v>560</v>
      </c>
      <c r="Q278" s="1">
        <v>32</v>
      </c>
      <c r="R278" s="1">
        <v>277</v>
      </c>
    </row>
    <row r="279" spans="1:18">
      <c r="A279" s="33" t="s">
        <v>649</v>
      </c>
      <c r="B279" s="1" t="s">
        <v>296</v>
      </c>
      <c r="C279" s="1" t="s">
        <v>650</v>
      </c>
      <c r="D279" s="33">
        <v>111</v>
      </c>
      <c r="E279" s="33">
        <v>271</v>
      </c>
      <c r="F279" s="33">
        <v>105</v>
      </c>
      <c r="G279" s="33">
        <v>341</v>
      </c>
      <c r="H279" s="33">
        <v>104</v>
      </c>
      <c r="I279" s="33">
        <v>600</v>
      </c>
      <c r="J279" s="33">
        <v>82</v>
      </c>
      <c r="K279" s="33">
        <v>171</v>
      </c>
      <c r="L279" s="33">
        <v>86</v>
      </c>
      <c r="M279" s="33">
        <v>304</v>
      </c>
      <c r="N279" s="33">
        <v>72</v>
      </c>
      <c r="O279" s="33">
        <v>312</v>
      </c>
      <c r="P279" s="1">
        <v>560</v>
      </c>
      <c r="Q279" s="1">
        <v>12</v>
      </c>
      <c r="R279" s="1">
        <v>277</v>
      </c>
    </row>
    <row r="280" spans="1:18">
      <c r="A280" s="33" t="s">
        <v>651</v>
      </c>
      <c r="B280" s="1" t="s">
        <v>210</v>
      </c>
      <c r="C280" s="1" t="s">
        <v>652</v>
      </c>
      <c r="D280" s="33">
        <v>119</v>
      </c>
      <c r="E280" s="33">
        <v>51</v>
      </c>
      <c r="F280" s="33">
        <v>86</v>
      </c>
      <c r="G280" s="33">
        <v>627</v>
      </c>
      <c r="H280" s="33">
        <v>124.5</v>
      </c>
      <c r="I280" s="33">
        <v>103</v>
      </c>
      <c r="J280" s="33">
        <v>78</v>
      </c>
      <c r="K280" s="33">
        <v>256</v>
      </c>
      <c r="L280" s="33">
        <v>87</v>
      </c>
      <c r="M280" s="33">
        <v>268</v>
      </c>
      <c r="N280" s="33">
        <v>65</v>
      </c>
      <c r="O280" s="33">
        <v>554</v>
      </c>
      <c r="P280" s="1">
        <v>559.5</v>
      </c>
      <c r="Q280" s="1">
        <v>14</v>
      </c>
      <c r="R280" s="1">
        <v>279</v>
      </c>
    </row>
    <row r="281" spans="1:18">
      <c r="A281" s="33" t="s">
        <v>653</v>
      </c>
      <c r="B281" s="1" t="s">
        <v>240</v>
      </c>
      <c r="C281" s="1" t="s">
        <v>654</v>
      </c>
      <c r="D281" s="33">
        <v>104</v>
      </c>
      <c r="E281" s="33">
        <v>573</v>
      </c>
      <c r="F281" s="33">
        <v>112</v>
      </c>
      <c r="G281" s="33">
        <v>236</v>
      </c>
      <c r="H281" s="33">
        <v>107</v>
      </c>
      <c r="I281" s="33">
        <v>546</v>
      </c>
      <c r="J281" s="33">
        <v>70</v>
      </c>
      <c r="K281" s="33">
        <v>429</v>
      </c>
      <c r="L281" s="33">
        <v>89</v>
      </c>
      <c r="M281" s="33">
        <v>200</v>
      </c>
      <c r="N281" s="33">
        <v>77</v>
      </c>
      <c r="O281" s="33">
        <v>162</v>
      </c>
      <c r="P281" s="1">
        <v>559</v>
      </c>
      <c r="Q281" s="1">
        <v>14</v>
      </c>
      <c r="R281" s="1">
        <v>280</v>
      </c>
    </row>
    <row r="282" spans="1:18">
      <c r="A282" s="33" t="s">
        <v>655</v>
      </c>
      <c r="B282" s="1" t="s">
        <v>122</v>
      </c>
      <c r="C282" s="1" t="s">
        <v>656</v>
      </c>
      <c r="D282" s="33">
        <v>109</v>
      </c>
      <c r="E282" s="33">
        <v>353</v>
      </c>
      <c r="F282" s="33">
        <v>108</v>
      </c>
      <c r="G282" s="33">
        <v>297</v>
      </c>
      <c r="H282" s="33">
        <v>116</v>
      </c>
      <c r="I282" s="33">
        <v>309</v>
      </c>
      <c r="J282" s="33">
        <v>72</v>
      </c>
      <c r="K282" s="33">
        <v>392</v>
      </c>
      <c r="L282" s="33">
        <v>86</v>
      </c>
      <c r="M282" s="33">
        <v>304</v>
      </c>
      <c r="N282" s="33">
        <v>68</v>
      </c>
      <c r="O282" s="33">
        <v>452</v>
      </c>
      <c r="P282" s="1">
        <v>559</v>
      </c>
      <c r="Q282" s="1">
        <v>33</v>
      </c>
      <c r="R282" s="1">
        <v>280</v>
      </c>
    </row>
    <row r="283" spans="1:18">
      <c r="A283" s="33" t="s">
        <v>659</v>
      </c>
      <c r="B283" s="1" t="s">
        <v>92</v>
      </c>
      <c r="C283" s="1" t="s">
        <v>660</v>
      </c>
      <c r="D283" s="33">
        <v>98</v>
      </c>
      <c r="E283" s="33">
        <v>774</v>
      </c>
      <c r="F283" s="33">
        <v>103</v>
      </c>
      <c r="G283" s="33">
        <v>375</v>
      </c>
      <c r="H283" s="33">
        <v>102</v>
      </c>
      <c r="I283" s="33">
        <v>642</v>
      </c>
      <c r="J283" s="33">
        <v>81</v>
      </c>
      <c r="K283" s="33">
        <v>195</v>
      </c>
      <c r="L283" s="33">
        <v>89</v>
      </c>
      <c r="M283" s="33">
        <v>200</v>
      </c>
      <c r="N283" s="33">
        <v>86</v>
      </c>
      <c r="O283" s="33">
        <v>7</v>
      </c>
      <c r="P283" s="1">
        <v>559</v>
      </c>
      <c r="Q283" s="1">
        <v>13</v>
      </c>
      <c r="R283" s="1">
        <v>280</v>
      </c>
    </row>
    <row r="284" spans="1:18">
      <c r="A284" s="33" t="s">
        <v>657</v>
      </c>
      <c r="B284" s="1" t="s">
        <v>172</v>
      </c>
      <c r="C284" s="1" t="s">
        <v>658</v>
      </c>
      <c r="D284" s="33">
        <v>103</v>
      </c>
      <c r="E284" s="33">
        <v>606</v>
      </c>
      <c r="F284" s="33">
        <v>102</v>
      </c>
      <c r="G284" s="33">
        <v>387</v>
      </c>
      <c r="H284" s="33">
        <v>115</v>
      </c>
      <c r="I284" s="33">
        <v>330</v>
      </c>
      <c r="J284" s="33">
        <v>85</v>
      </c>
      <c r="K284" s="33">
        <v>117</v>
      </c>
      <c r="L284" s="33">
        <v>84</v>
      </c>
      <c r="M284" s="33">
        <v>379</v>
      </c>
      <c r="N284" s="33">
        <v>70</v>
      </c>
      <c r="O284" s="33">
        <v>380</v>
      </c>
      <c r="P284" s="1">
        <v>559</v>
      </c>
      <c r="Q284" s="1">
        <v>11</v>
      </c>
      <c r="R284" s="1">
        <v>280</v>
      </c>
    </row>
    <row r="285" spans="1:18">
      <c r="A285" s="33" t="s">
        <v>665</v>
      </c>
      <c r="B285" s="1" t="s">
        <v>210</v>
      </c>
      <c r="C285" s="1" t="s">
        <v>666</v>
      </c>
      <c r="D285" s="33">
        <v>107</v>
      </c>
      <c r="E285" s="33">
        <v>429</v>
      </c>
      <c r="F285" s="33">
        <v>115</v>
      </c>
      <c r="G285" s="33">
        <v>196</v>
      </c>
      <c r="H285" s="33">
        <v>119.5</v>
      </c>
      <c r="I285" s="33">
        <v>229</v>
      </c>
      <c r="J285" s="33">
        <v>66</v>
      </c>
      <c r="K285" s="33">
        <v>513</v>
      </c>
      <c r="L285" s="33">
        <v>83</v>
      </c>
      <c r="M285" s="33">
        <v>407</v>
      </c>
      <c r="N285" s="33">
        <v>68</v>
      </c>
      <c r="O285" s="33">
        <v>452</v>
      </c>
      <c r="P285" s="1">
        <v>558.5</v>
      </c>
      <c r="Q285" s="1">
        <v>15</v>
      </c>
      <c r="R285" s="1">
        <v>284</v>
      </c>
    </row>
    <row r="286" spans="1:18">
      <c r="A286" s="33" t="s">
        <v>661</v>
      </c>
      <c r="B286" s="1" t="s">
        <v>150</v>
      </c>
      <c r="C286" s="1" t="s">
        <v>662</v>
      </c>
      <c r="D286" s="33">
        <v>109</v>
      </c>
      <c r="E286" s="33">
        <v>353</v>
      </c>
      <c r="F286" s="33">
        <v>99</v>
      </c>
      <c r="G286" s="33">
        <v>437</v>
      </c>
      <c r="H286" s="33">
        <v>125.5</v>
      </c>
      <c r="I286" s="33">
        <v>87</v>
      </c>
      <c r="J286" s="33">
        <v>59</v>
      </c>
      <c r="K286" s="33">
        <v>672</v>
      </c>
      <c r="L286" s="33">
        <v>91</v>
      </c>
      <c r="M286" s="33">
        <v>151</v>
      </c>
      <c r="N286" s="33">
        <v>75</v>
      </c>
      <c r="O286" s="33">
        <v>219</v>
      </c>
      <c r="P286" s="1">
        <v>558.5</v>
      </c>
      <c r="Q286" s="1">
        <v>17</v>
      </c>
      <c r="R286" s="1">
        <v>284</v>
      </c>
    </row>
    <row r="287" spans="1:18">
      <c r="A287" s="33" t="s">
        <v>663</v>
      </c>
      <c r="B287" s="1" t="s">
        <v>122</v>
      </c>
      <c r="C287" s="1" t="s">
        <v>664</v>
      </c>
      <c r="D287" s="33">
        <v>108</v>
      </c>
      <c r="E287" s="33">
        <v>391</v>
      </c>
      <c r="F287" s="33">
        <v>83</v>
      </c>
      <c r="G287" s="33">
        <v>668</v>
      </c>
      <c r="H287" s="33">
        <v>127.5</v>
      </c>
      <c r="I287" s="33">
        <v>63</v>
      </c>
      <c r="J287" s="33">
        <v>73</v>
      </c>
      <c r="K287" s="33">
        <v>370</v>
      </c>
      <c r="L287" s="33">
        <v>93</v>
      </c>
      <c r="M287" s="33">
        <v>93</v>
      </c>
      <c r="N287" s="33">
        <v>74</v>
      </c>
      <c r="O287" s="33">
        <v>247</v>
      </c>
      <c r="P287" s="1">
        <v>558.5</v>
      </c>
      <c r="Q287" s="1">
        <v>34</v>
      </c>
      <c r="R287" s="1">
        <v>284</v>
      </c>
    </row>
    <row r="288" spans="1:18">
      <c r="A288" s="33" t="s">
        <v>669</v>
      </c>
      <c r="B288" s="1" t="s">
        <v>92</v>
      </c>
      <c r="C288" s="1" t="s">
        <v>670</v>
      </c>
      <c r="D288" s="33">
        <v>101</v>
      </c>
      <c r="E288" s="33">
        <v>688</v>
      </c>
      <c r="F288" s="33">
        <v>118</v>
      </c>
      <c r="G288" s="33">
        <v>162</v>
      </c>
      <c r="H288" s="33">
        <v>108</v>
      </c>
      <c r="I288" s="33">
        <v>519</v>
      </c>
      <c r="J288" s="33">
        <v>80</v>
      </c>
      <c r="K288" s="33">
        <v>211</v>
      </c>
      <c r="L288" s="33">
        <v>79</v>
      </c>
      <c r="M288" s="33">
        <v>539</v>
      </c>
      <c r="N288" s="33">
        <v>72</v>
      </c>
      <c r="O288" s="33">
        <v>312</v>
      </c>
      <c r="P288" s="1">
        <v>558</v>
      </c>
      <c r="Q288" s="1">
        <v>14</v>
      </c>
      <c r="R288" s="1">
        <v>287</v>
      </c>
    </row>
    <row r="289" spans="1:18">
      <c r="A289" s="33" t="s">
        <v>667</v>
      </c>
      <c r="B289" s="1" t="s">
        <v>240</v>
      </c>
      <c r="C289" s="1" t="s">
        <v>668</v>
      </c>
      <c r="D289" s="33">
        <v>109</v>
      </c>
      <c r="E289" s="33">
        <v>353</v>
      </c>
      <c r="F289" s="33">
        <v>118</v>
      </c>
      <c r="G289" s="33">
        <v>162</v>
      </c>
      <c r="H289" s="33">
        <v>100</v>
      </c>
      <c r="I289" s="33">
        <v>680</v>
      </c>
      <c r="J289" s="33">
        <v>70</v>
      </c>
      <c r="K289" s="33">
        <v>429</v>
      </c>
      <c r="L289" s="33">
        <v>90</v>
      </c>
      <c r="M289" s="33">
        <v>177</v>
      </c>
      <c r="N289" s="33">
        <v>71</v>
      </c>
      <c r="O289" s="33">
        <v>342</v>
      </c>
      <c r="P289" s="1">
        <v>558</v>
      </c>
      <c r="Q289" s="1">
        <v>15</v>
      </c>
      <c r="R289" s="1">
        <v>287</v>
      </c>
    </row>
    <row r="290" spans="1:18">
      <c r="A290" s="33" t="s">
        <v>673</v>
      </c>
      <c r="B290" s="1" t="s">
        <v>122</v>
      </c>
      <c r="C290" s="1" t="s">
        <v>674</v>
      </c>
      <c r="D290" s="33">
        <v>106</v>
      </c>
      <c r="E290" s="33">
        <v>477</v>
      </c>
      <c r="F290" s="33">
        <v>122</v>
      </c>
      <c r="G290" s="33">
        <v>116</v>
      </c>
      <c r="H290" s="33">
        <v>115.5</v>
      </c>
      <c r="I290" s="33">
        <v>325</v>
      </c>
      <c r="J290" s="33">
        <v>48</v>
      </c>
      <c r="K290" s="33">
        <v>854</v>
      </c>
      <c r="L290" s="33">
        <v>93</v>
      </c>
      <c r="M290" s="33">
        <v>93</v>
      </c>
      <c r="N290" s="33">
        <v>73</v>
      </c>
      <c r="O290" s="33">
        <v>275</v>
      </c>
      <c r="P290" s="1">
        <v>557.5</v>
      </c>
      <c r="Q290" s="1">
        <v>35</v>
      </c>
      <c r="R290" s="1">
        <v>289</v>
      </c>
    </row>
    <row r="291" spans="1:18">
      <c r="A291" s="33" t="s">
        <v>671</v>
      </c>
      <c r="B291" s="1" t="s">
        <v>150</v>
      </c>
      <c r="C291" s="1" t="s">
        <v>672</v>
      </c>
      <c r="D291" s="33">
        <v>119</v>
      </c>
      <c r="E291" s="33">
        <v>51</v>
      </c>
      <c r="F291" s="33">
        <v>114</v>
      </c>
      <c r="G291" s="33">
        <v>216</v>
      </c>
      <c r="H291" s="33">
        <v>104.5</v>
      </c>
      <c r="I291" s="33">
        <v>593</v>
      </c>
      <c r="J291" s="33">
        <v>64</v>
      </c>
      <c r="K291" s="33">
        <v>559</v>
      </c>
      <c r="L291" s="33">
        <v>82</v>
      </c>
      <c r="M291" s="33">
        <v>452</v>
      </c>
      <c r="N291" s="33">
        <v>74</v>
      </c>
      <c r="O291" s="33">
        <v>247</v>
      </c>
      <c r="P291" s="1">
        <v>557.5</v>
      </c>
      <c r="Q291" s="1">
        <v>18</v>
      </c>
      <c r="R291" s="1">
        <v>289</v>
      </c>
    </row>
    <row r="292" spans="1:18">
      <c r="A292" s="33" t="s">
        <v>675</v>
      </c>
      <c r="B292" s="1" t="s">
        <v>249</v>
      </c>
      <c r="C292" s="1" t="s">
        <v>676</v>
      </c>
      <c r="D292" s="33">
        <v>113</v>
      </c>
      <c r="E292" s="33">
        <v>196</v>
      </c>
      <c r="F292" s="33">
        <v>115</v>
      </c>
      <c r="G292" s="33">
        <v>196</v>
      </c>
      <c r="H292" s="33">
        <v>114</v>
      </c>
      <c r="I292" s="33">
        <v>356</v>
      </c>
      <c r="J292" s="33">
        <v>77</v>
      </c>
      <c r="K292" s="33">
        <v>278</v>
      </c>
      <c r="L292" s="33">
        <v>79</v>
      </c>
      <c r="M292" s="33">
        <v>539</v>
      </c>
      <c r="N292" s="33">
        <v>59</v>
      </c>
      <c r="O292" s="33">
        <v>729</v>
      </c>
      <c r="P292" s="1">
        <v>557</v>
      </c>
      <c r="Q292" s="1">
        <v>12</v>
      </c>
      <c r="R292" s="1">
        <v>291</v>
      </c>
    </row>
    <row r="293" spans="1:18">
      <c r="A293" s="33" t="s">
        <v>679</v>
      </c>
      <c r="B293" s="1" t="s">
        <v>106</v>
      </c>
      <c r="C293" s="1" t="s">
        <v>680</v>
      </c>
      <c r="D293" s="33">
        <v>115</v>
      </c>
      <c r="E293" s="33">
        <v>140</v>
      </c>
      <c r="F293" s="33">
        <v>110</v>
      </c>
      <c r="G293" s="33">
        <v>265</v>
      </c>
      <c r="H293" s="33">
        <v>116</v>
      </c>
      <c r="I293" s="33">
        <v>309</v>
      </c>
      <c r="J293" s="33">
        <v>67</v>
      </c>
      <c r="K293" s="33">
        <v>497</v>
      </c>
      <c r="L293" s="33">
        <v>83</v>
      </c>
      <c r="M293" s="33">
        <v>407</v>
      </c>
      <c r="N293" s="33">
        <v>66</v>
      </c>
      <c r="O293" s="33">
        <v>519</v>
      </c>
      <c r="P293" s="1">
        <v>557</v>
      </c>
      <c r="Q293" s="1">
        <v>12</v>
      </c>
      <c r="R293" s="1">
        <v>291</v>
      </c>
    </row>
    <row r="294" spans="1:18">
      <c r="A294" s="33" t="s">
        <v>681</v>
      </c>
      <c r="B294" s="1" t="s">
        <v>111</v>
      </c>
      <c r="C294" s="1" t="s">
        <v>682</v>
      </c>
      <c r="D294" s="33">
        <v>103</v>
      </c>
      <c r="E294" s="33">
        <v>606</v>
      </c>
      <c r="F294" s="33">
        <v>109</v>
      </c>
      <c r="G294" s="33">
        <v>279</v>
      </c>
      <c r="H294" s="33">
        <v>104</v>
      </c>
      <c r="I294" s="33">
        <v>600</v>
      </c>
      <c r="J294" s="33">
        <v>71</v>
      </c>
      <c r="K294" s="33">
        <v>411</v>
      </c>
      <c r="L294" s="33">
        <v>100</v>
      </c>
      <c r="M294" s="33">
        <v>1</v>
      </c>
      <c r="N294" s="33">
        <v>70</v>
      </c>
      <c r="O294" s="33">
        <v>380</v>
      </c>
      <c r="P294" s="1">
        <v>557</v>
      </c>
      <c r="Q294" s="1">
        <v>13</v>
      </c>
      <c r="R294" s="1">
        <v>291</v>
      </c>
    </row>
    <row r="295" spans="1:18">
      <c r="A295" s="33" t="s">
        <v>677</v>
      </c>
      <c r="B295" s="1" t="s">
        <v>150</v>
      </c>
      <c r="C295" s="1" t="s">
        <v>678</v>
      </c>
      <c r="D295" s="33">
        <v>115</v>
      </c>
      <c r="E295" s="33">
        <v>140</v>
      </c>
      <c r="F295" s="33">
        <v>105</v>
      </c>
      <c r="G295" s="33">
        <v>341</v>
      </c>
      <c r="H295" s="33">
        <v>113</v>
      </c>
      <c r="I295" s="33">
        <v>396</v>
      </c>
      <c r="J295" s="33">
        <v>47</v>
      </c>
      <c r="K295" s="33">
        <v>863</v>
      </c>
      <c r="L295" s="33">
        <v>95</v>
      </c>
      <c r="M295" s="33">
        <v>60</v>
      </c>
      <c r="N295" s="33">
        <v>82</v>
      </c>
      <c r="O295" s="33">
        <v>46</v>
      </c>
      <c r="P295" s="1">
        <v>557</v>
      </c>
      <c r="Q295" s="1">
        <v>19</v>
      </c>
      <c r="R295" s="1">
        <v>291</v>
      </c>
    </row>
    <row r="296" spans="1:18">
      <c r="A296" s="33" t="s">
        <v>683</v>
      </c>
      <c r="B296" s="1" t="s">
        <v>296</v>
      </c>
      <c r="C296" s="1" t="s">
        <v>684</v>
      </c>
      <c r="D296" s="33">
        <v>106</v>
      </c>
      <c r="E296" s="33">
        <v>477</v>
      </c>
      <c r="F296" s="33">
        <v>96</v>
      </c>
      <c r="G296" s="33">
        <v>484</v>
      </c>
      <c r="H296" s="33">
        <v>114</v>
      </c>
      <c r="I296" s="33">
        <v>356</v>
      </c>
      <c r="J296" s="33">
        <v>76</v>
      </c>
      <c r="K296" s="33">
        <v>302</v>
      </c>
      <c r="L296" s="33">
        <v>89</v>
      </c>
      <c r="M296" s="33">
        <v>200</v>
      </c>
      <c r="N296" s="33">
        <v>76</v>
      </c>
      <c r="O296" s="33">
        <v>194</v>
      </c>
      <c r="P296" s="1">
        <v>557</v>
      </c>
      <c r="Q296" s="1">
        <v>13</v>
      </c>
      <c r="R296" s="1">
        <v>291</v>
      </c>
    </row>
    <row r="297" spans="1:18">
      <c r="A297" s="33" t="s">
        <v>685</v>
      </c>
      <c r="B297" s="1" t="s">
        <v>296</v>
      </c>
      <c r="C297" s="1" t="s">
        <v>686</v>
      </c>
      <c r="D297" s="33">
        <v>101</v>
      </c>
      <c r="E297" s="33">
        <v>688</v>
      </c>
      <c r="F297" s="33">
        <v>122</v>
      </c>
      <c r="G297" s="33">
        <v>116</v>
      </c>
      <c r="H297" s="33">
        <v>115.5</v>
      </c>
      <c r="I297" s="33">
        <v>325</v>
      </c>
      <c r="J297" s="33">
        <v>76</v>
      </c>
      <c r="K297" s="33">
        <v>302</v>
      </c>
      <c r="L297" s="33">
        <v>79</v>
      </c>
      <c r="M297" s="33">
        <v>539</v>
      </c>
      <c r="N297" s="33">
        <v>63</v>
      </c>
      <c r="O297" s="33">
        <v>625</v>
      </c>
      <c r="P297" s="1">
        <v>556.5</v>
      </c>
      <c r="Q297" s="1">
        <v>14</v>
      </c>
      <c r="R297" s="1">
        <v>296</v>
      </c>
    </row>
    <row r="298" spans="1:18">
      <c r="A298" s="33" t="s">
        <v>687</v>
      </c>
      <c r="B298" s="1" t="s">
        <v>172</v>
      </c>
      <c r="C298" s="1" t="s">
        <v>688</v>
      </c>
      <c r="D298" s="33">
        <v>105</v>
      </c>
      <c r="E298" s="33">
        <v>515</v>
      </c>
      <c r="F298" s="33">
        <v>110</v>
      </c>
      <c r="G298" s="33">
        <v>265</v>
      </c>
      <c r="H298" s="33">
        <v>105.5</v>
      </c>
      <c r="I298" s="33">
        <v>568</v>
      </c>
      <c r="J298" s="33">
        <v>77</v>
      </c>
      <c r="K298" s="33">
        <v>278</v>
      </c>
      <c r="L298" s="33">
        <v>88</v>
      </c>
      <c r="M298" s="33">
        <v>240</v>
      </c>
      <c r="N298" s="33">
        <v>71</v>
      </c>
      <c r="O298" s="33">
        <v>342</v>
      </c>
      <c r="P298" s="1">
        <v>556.5</v>
      </c>
      <c r="Q298" s="1">
        <v>12</v>
      </c>
      <c r="R298" s="1">
        <v>296</v>
      </c>
    </row>
    <row r="299" spans="1:18">
      <c r="A299" s="33" t="s">
        <v>689</v>
      </c>
      <c r="B299" s="1" t="s">
        <v>111</v>
      </c>
      <c r="C299" s="1" t="s">
        <v>690</v>
      </c>
      <c r="D299" s="33">
        <v>116</v>
      </c>
      <c r="E299" s="33">
        <v>117</v>
      </c>
      <c r="F299" s="33">
        <v>94</v>
      </c>
      <c r="G299" s="33">
        <v>524</v>
      </c>
      <c r="H299" s="33">
        <v>119</v>
      </c>
      <c r="I299" s="33">
        <v>237</v>
      </c>
      <c r="J299" s="33">
        <v>72</v>
      </c>
      <c r="K299" s="33">
        <v>392</v>
      </c>
      <c r="L299" s="33">
        <v>82</v>
      </c>
      <c r="M299" s="33">
        <v>452</v>
      </c>
      <c r="N299" s="33">
        <v>73</v>
      </c>
      <c r="O299" s="33">
        <v>275</v>
      </c>
      <c r="P299" s="1">
        <v>556</v>
      </c>
      <c r="Q299" s="1">
        <v>14</v>
      </c>
      <c r="R299" s="1">
        <v>298</v>
      </c>
    </row>
    <row r="300" spans="1:18">
      <c r="A300" s="33" t="s">
        <v>693</v>
      </c>
      <c r="B300" s="1" t="s">
        <v>203</v>
      </c>
      <c r="C300" s="1" t="s">
        <v>694</v>
      </c>
      <c r="D300" s="33">
        <v>120</v>
      </c>
      <c r="E300" s="33">
        <v>43</v>
      </c>
      <c r="F300" s="33">
        <v>104</v>
      </c>
      <c r="G300" s="33">
        <v>359</v>
      </c>
      <c r="H300" s="33">
        <v>104.5</v>
      </c>
      <c r="I300" s="33">
        <v>593</v>
      </c>
      <c r="J300" s="33">
        <v>84</v>
      </c>
      <c r="K300" s="33">
        <v>131</v>
      </c>
      <c r="L300" s="33">
        <v>86</v>
      </c>
      <c r="M300" s="33">
        <v>304</v>
      </c>
      <c r="N300" s="33">
        <v>57</v>
      </c>
      <c r="O300" s="33">
        <v>770</v>
      </c>
      <c r="P300" s="1">
        <v>555.5</v>
      </c>
      <c r="Q300" s="1">
        <v>14</v>
      </c>
      <c r="R300" s="1">
        <v>299</v>
      </c>
    </row>
    <row r="301" spans="1:18">
      <c r="A301" s="33" t="s">
        <v>691</v>
      </c>
      <c r="B301" s="1" t="s">
        <v>203</v>
      </c>
      <c r="C301" s="1" t="s">
        <v>692</v>
      </c>
      <c r="D301" s="33">
        <v>115</v>
      </c>
      <c r="E301" s="33">
        <v>140</v>
      </c>
      <c r="F301" s="33">
        <v>101</v>
      </c>
      <c r="G301" s="33">
        <v>404</v>
      </c>
      <c r="H301" s="33">
        <v>113.5</v>
      </c>
      <c r="I301" s="33">
        <v>374</v>
      </c>
      <c r="J301" s="33">
        <v>69</v>
      </c>
      <c r="K301" s="33">
        <v>452</v>
      </c>
      <c r="L301" s="33">
        <v>96</v>
      </c>
      <c r="M301" s="33">
        <v>45</v>
      </c>
      <c r="N301" s="33">
        <v>61</v>
      </c>
      <c r="O301" s="33">
        <v>686</v>
      </c>
      <c r="P301" s="1">
        <v>555.5</v>
      </c>
      <c r="Q301" s="1">
        <v>14</v>
      </c>
      <c r="R301" s="1">
        <v>299</v>
      </c>
    </row>
    <row r="302" spans="1:18">
      <c r="A302" s="33" t="s">
        <v>697</v>
      </c>
      <c r="B302" s="1" t="s">
        <v>169</v>
      </c>
      <c r="C302" s="1" t="s">
        <v>698</v>
      </c>
      <c r="D302" s="33">
        <v>119</v>
      </c>
      <c r="E302" s="33">
        <v>51</v>
      </c>
      <c r="F302" s="33">
        <v>114</v>
      </c>
      <c r="G302" s="33">
        <v>216</v>
      </c>
      <c r="H302" s="33">
        <v>94</v>
      </c>
      <c r="I302" s="33">
        <v>783</v>
      </c>
      <c r="J302" s="33">
        <v>79</v>
      </c>
      <c r="K302" s="33">
        <v>236</v>
      </c>
      <c r="L302" s="33">
        <v>81</v>
      </c>
      <c r="M302" s="33">
        <v>474</v>
      </c>
      <c r="N302" s="33">
        <v>68</v>
      </c>
      <c r="O302" s="33">
        <v>452</v>
      </c>
      <c r="P302" s="1">
        <v>555</v>
      </c>
      <c r="Q302" s="1">
        <v>17</v>
      </c>
      <c r="R302" s="1">
        <v>301</v>
      </c>
    </row>
    <row r="303" spans="1:18">
      <c r="A303" s="33" t="s">
        <v>699</v>
      </c>
      <c r="B303" s="1" t="s">
        <v>150</v>
      </c>
      <c r="C303" s="1" t="s">
        <v>700</v>
      </c>
      <c r="D303" s="33">
        <v>105</v>
      </c>
      <c r="E303" s="33">
        <v>515</v>
      </c>
      <c r="F303" s="33">
        <v>108</v>
      </c>
      <c r="G303" s="33">
        <v>297</v>
      </c>
      <c r="H303" s="33">
        <v>116</v>
      </c>
      <c r="I303" s="33">
        <v>309</v>
      </c>
      <c r="J303" s="33">
        <v>60</v>
      </c>
      <c r="K303" s="33">
        <v>647</v>
      </c>
      <c r="L303" s="33">
        <v>91</v>
      </c>
      <c r="M303" s="33">
        <v>151</v>
      </c>
      <c r="N303" s="33">
        <v>75</v>
      </c>
      <c r="O303" s="33">
        <v>219</v>
      </c>
      <c r="P303" s="1">
        <v>555</v>
      </c>
      <c r="Q303" s="1">
        <v>20</v>
      </c>
      <c r="R303" s="1">
        <v>301</v>
      </c>
    </row>
    <row r="304" spans="1:18">
      <c r="A304" s="33" t="s">
        <v>695</v>
      </c>
      <c r="B304" s="1" t="s">
        <v>296</v>
      </c>
      <c r="C304" s="1" t="s">
        <v>696</v>
      </c>
      <c r="D304" s="33">
        <v>103</v>
      </c>
      <c r="E304" s="33">
        <v>606</v>
      </c>
      <c r="F304" s="33">
        <v>107</v>
      </c>
      <c r="G304" s="33">
        <v>314</v>
      </c>
      <c r="H304" s="33">
        <v>130</v>
      </c>
      <c r="I304" s="33">
        <v>34</v>
      </c>
      <c r="J304" s="33">
        <v>71</v>
      </c>
      <c r="K304" s="33">
        <v>411</v>
      </c>
      <c r="L304" s="33">
        <v>77</v>
      </c>
      <c r="M304" s="33">
        <v>608</v>
      </c>
      <c r="N304" s="33">
        <v>67</v>
      </c>
      <c r="O304" s="33">
        <v>489</v>
      </c>
      <c r="P304" s="1">
        <v>555</v>
      </c>
      <c r="Q304" s="1">
        <v>15</v>
      </c>
      <c r="R304" s="1">
        <v>301</v>
      </c>
    </row>
    <row r="305" spans="1:18">
      <c r="A305" s="33" t="s">
        <v>703</v>
      </c>
      <c r="B305" s="1" t="s">
        <v>92</v>
      </c>
      <c r="C305" s="1" t="s">
        <v>704</v>
      </c>
      <c r="D305" s="33">
        <v>100</v>
      </c>
      <c r="E305" s="33">
        <v>715</v>
      </c>
      <c r="F305" s="33">
        <v>103</v>
      </c>
      <c r="G305" s="33">
        <v>375</v>
      </c>
      <c r="H305" s="33">
        <v>111.5</v>
      </c>
      <c r="I305" s="33">
        <v>427</v>
      </c>
      <c r="J305" s="33">
        <v>73</v>
      </c>
      <c r="K305" s="33">
        <v>370</v>
      </c>
      <c r="L305" s="33">
        <v>87</v>
      </c>
      <c r="M305" s="33">
        <v>268</v>
      </c>
      <c r="N305" s="33">
        <v>80</v>
      </c>
      <c r="O305" s="33">
        <v>85</v>
      </c>
      <c r="P305" s="1">
        <v>554.5</v>
      </c>
      <c r="Q305" s="1">
        <v>15</v>
      </c>
      <c r="R305" s="1">
        <v>304</v>
      </c>
    </row>
    <row r="306" spans="1:18">
      <c r="A306" s="33" t="s">
        <v>701</v>
      </c>
      <c r="B306" s="1" t="s">
        <v>133</v>
      </c>
      <c r="C306" s="1" t="s">
        <v>702</v>
      </c>
      <c r="D306" s="33">
        <v>102</v>
      </c>
      <c r="E306" s="33">
        <v>655</v>
      </c>
      <c r="F306" s="33">
        <v>102</v>
      </c>
      <c r="G306" s="33">
        <v>387</v>
      </c>
      <c r="H306" s="33">
        <v>117.5</v>
      </c>
      <c r="I306" s="33">
        <v>281</v>
      </c>
      <c r="J306" s="33">
        <v>78</v>
      </c>
      <c r="K306" s="33">
        <v>256</v>
      </c>
      <c r="L306" s="33">
        <v>84</v>
      </c>
      <c r="M306" s="33">
        <v>379</v>
      </c>
      <c r="N306" s="33">
        <v>71</v>
      </c>
      <c r="O306" s="33">
        <v>342</v>
      </c>
      <c r="P306" s="1">
        <v>554.5</v>
      </c>
      <c r="Q306" s="1">
        <v>22</v>
      </c>
      <c r="R306" s="1">
        <v>304</v>
      </c>
    </row>
    <row r="307" spans="1:18">
      <c r="A307" s="33" t="s">
        <v>707</v>
      </c>
      <c r="B307" s="1" t="s">
        <v>169</v>
      </c>
      <c r="C307" s="1" t="s">
        <v>708</v>
      </c>
      <c r="D307" s="33">
        <v>116</v>
      </c>
      <c r="E307" s="33">
        <v>117</v>
      </c>
      <c r="F307" s="33">
        <v>102</v>
      </c>
      <c r="G307" s="33">
        <v>387</v>
      </c>
      <c r="H307" s="33">
        <v>109.5</v>
      </c>
      <c r="I307" s="33">
        <v>490</v>
      </c>
      <c r="J307" s="33">
        <v>73</v>
      </c>
      <c r="K307" s="33">
        <v>370</v>
      </c>
      <c r="L307" s="33">
        <v>80</v>
      </c>
      <c r="M307" s="33">
        <v>511</v>
      </c>
      <c r="N307" s="33">
        <v>74</v>
      </c>
      <c r="O307" s="33">
        <v>247</v>
      </c>
      <c r="P307" s="1">
        <v>554.5</v>
      </c>
      <c r="Q307" s="1">
        <v>18</v>
      </c>
      <c r="R307" s="1">
        <v>304</v>
      </c>
    </row>
    <row r="308" spans="1:18">
      <c r="A308" s="33" t="s">
        <v>711</v>
      </c>
      <c r="B308" s="1" t="s">
        <v>84</v>
      </c>
      <c r="C308" s="1" t="s">
        <v>712</v>
      </c>
      <c r="D308" s="33">
        <v>121</v>
      </c>
      <c r="E308" s="33">
        <v>30</v>
      </c>
      <c r="F308" s="33">
        <v>101</v>
      </c>
      <c r="G308" s="33">
        <v>404</v>
      </c>
      <c r="H308" s="33">
        <v>111.5</v>
      </c>
      <c r="I308" s="33">
        <v>427</v>
      </c>
      <c r="J308" s="33">
        <v>70</v>
      </c>
      <c r="K308" s="33">
        <v>429</v>
      </c>
      <c r="L308" s="33">
        <v>85</v>
      </c>
      <c r="M308" s="33">
        <v>339</v>
      </c>
      <c r="N308" s="33">
        <v>66</v>
      </c>
      <c r="O308" s="33">
        <v>519</v>
      </c>
      <c r="P308" s="1">
        <v>554.5</v>
      </c>
      <c r="Q308" s="1">
        <v>12</v>
      </c>
      <c r="R308" s="1">
        <v>304</v>
      </c>
    </row>
    <row r="309" spans="1:18">
      <c r="A309" s="33" t="s">
        <v>709</v>
      </c>
      <c r="B309" s="1" t="s">
        <v>210</v>
      </c>
      <c r="C309" s="1" t="s">
        <v>710</v>
      </c>
      <c r="D309" s="33">
        <v>105</v>
      </c>
      <c r="E309" s="33">
        <v>515</v>
      </c>
      <c r="F309" s="33">
        <v>93</v>
      </c>
      <c r="G309" s="33">
        <v>541</v>
      </c>
      <c r="H309" s="33">
        <v>124.5</v>
      </c>
      <c r="I309" s="33">
        <v>103</v>
      </c>
      <c r="J309" s="33">
        <v>75</v>
      </c>
      <c r="K309" s="33">
        <v>324</v>
      </c>
      <c r="L309" s="33">
        <v>90</v>
      </c>
      <c r="M309" s="33">
        <v>177</v>
      </c>
      <c r="N309" s="33">
        <v>67</v>
      </c>
      <c r="O309" s="33">
        <v>489</v>
      </c>
      <c r="P309" s="1">
        <v>554.5</v>
      </c>
      <c r="Q309" s="1">
        <v>16</v>
      </c>
      <c r="R309" s="1">
        <v>304</v>
      </c>
    </row>
    <row r="310" spans="1:18">
      <c r="A310" s="33" t="s">
        <v>705</v>
      </c>
      <c r="B310" s="1" t="s">
        <v>169</v>
      </c>
      <c r="C310" s="1" t="s">
        <v>706</v>
      </c>
      <c r="D310" s="33">
        <v>107</v>
      </c>
      <c r="E310" s="33">
        <v>429</v>
      </c>
      <c r="F310" s="33">
        <v>84</v>
      </c>
      <c r="G310" s="33">
        <v>659</v>
      </c>
      <c r="H310" s="33">
        <v>120.5</v>
      </c>
      <c r="I310" s="33">
        <v>192</v>
      </c>
      <c r="J310" s="33">
        <v>83</v>
      </c>
      <c r="K310" s="33">
        <v>153</v>
      </c>
      <c r="L310" s="33">
        <v>82</v>
      </c>
      <c r="M310" s="33">
        <v>452</v>
      </c>
      <c r="N310" s="33">
        <v>78</v>
      </c>
      <c r="O310" s="33">
        <v>133</v>
      </c>
      <c r="P310" s="1">
        <v>554.5</v>
      </c>
      <c r="Q310" s="1">
        <v>18</v>
      </c>
      <c r="R310" s="1">
        <v>304</v>
      </c>
    </row>
    <row r="311" spans="1:18">
      <c r="A311" s="33" t="s">
        <v>715</v>
      </c>
      <c r="B311" s="1" t="s">
        <v>97</v>
      </c>
      <c r="C311" s="1" t="s">
        <v>37</v>
      </c>
      <c r="D311" s="33">
        <v>102</v>
      </c>
      <c r="E311" s="33">
        <v>655</v>
      </c>
      <c r="F311" s="33">
        <v>123</v>
      </c>
      <c r="G311" s="33">
        <v>113</v>
      </c>
      <c r="H311" s="33">
        <v>76</v>
      </c>
      <c r="I311" s="33">
        <v>911</v>
      </c>
      <c r="J311" s="33">
        <v>85</v>
      </c>
      <c r="K311" s="33">
        <v>117</v>
      </c>
      <c r="L311" s="33">
        <v>89</v>
      </c>
      <c r="M311" s="33">
        <v>200</v>
      </c>
      <c r="N311" s="33">
        <v>79</v>
      </c>
      <c r="O311" s="33">
        <v>103</v>
      </c>
      <c r="P311" s="1">
        <v>554</v>
      </c>
      <c r="Q311" s="1">
        <v>14</v>
      </c>
      <c r="R311" s="1">
        <v>310</v>
      </c>
    </row>
    <row r="312" spans="1:18">
      <c r="A312" s="33" t="s">
        <v>713</v>
      </c>
      <c r="B312" s="1" t="s">
        <v>84</v>
      </c>
      <c r="C312" s="1" t="s">
        <v>714</v>
      </c>
      <c r="D312" s="33">
        <v>95</v>
      </c>
      <c r="E312" s="33">
        <v>837</v>
      </c>
      <c r="F312" s="33">
        <v>119</v>
      </c>
      <c r="G312" s="33">
        <v>154</v>
      </c>
      <c r="H312" s="33">
        <v>100</v>
      </c>
      <c r="I312" s="33">
        <v>680</v>
      </c>
      <c r="J312" s="33">
        <v>86</v>
      </c>
      <c r="K312" s="33">
        <v>101</v>
      </c>
      <c r="L312" s="33">
        <v>83</v>
      </c>
      <c r="M312" s="33">
        <v>407</v>
      </c>
      <c r="N312" s="33">
        <v>71</v>
      </c>
      <c r="O312" s="33">
        <v>342</v>
      </c>
      <c r="P312" s="1">
        <v>554</v>
      </c>
      <c r="Q312" s="1">
        <v>13</v>
      </c>
      <c r="R312" s="1">
        <v>310</v>
      </c>
    </row>
    <row r="313" spans="1:18">
      <c r="A313" s="33" t="s">
        <v>716</v>
      </c>
      <c r="B313" s="1" t="s">
        <v>249</v>
      </c>
      <c r="C313" s="1" t="s">
        <v>717</v>
      </c>
      <c r="D313" s="33">
        <v>112</v>
      </c>
      <c r="E313" s="33">
        <v>226</v>
      </c>
      <c r="F313" s="33">
        <v>106</v>
      </c>
      <c r="G313" s="33">
        <v>323</v>
      </c>
      <c r="H313" s="33">
        <v>104</v>
      </c>
      <c r="I313" s="33">
        <v>600</v>
      </c>
      <c r="J313" s="33">
        <v>81</v>
      </c>
      <c r="K313" s="33">
        <v>195</v>
      </c>
      <c r="L313" s="33">
        <v>80</v>
      </c>
      <c r="M313" s="33">
        <v>511</v>
      </c>
      <c r="N313" s="33">
        <v>71</v>
      </c>
      <c r="O313" s="33">
        <v>342</v>
      </c>
      <c r="P313" s="1">
        <v>554</v>
      </c>
      <c r="Q313" s="1">
        <v>13</v>
      </c>
      <c r="R313" s="1">
        <v>310</v>
      </c>
    </row>
    <row r="314" spans="1:18">
      <c r="A314" s="33" t="s">
        <v>720</v>
      </c>
      <c r="B314" s="1" t="s">
        <v>97</v>
      </c>
      <c r="C314" s="1" t="s">
        <v>721</v>
      </c>
      <c r="D314" s="33">
        <v>107</v>
      </c>
      <c r="E314" s="33">
        <v>429</v>
      </c>
      <c r="F314" s="33">
        <v>108</v>
      </c>
      <c r="G314" s="33">
        <v>297</v>
      </c>
      <c r="H314" s="33">
        <v>112.5</v>
      </c>
      <c r="I314" s="33">
        <v>401</v>
      </c>
      <c r="J314" s="33">
        <v>73</v>
      </c>
      <c r="K314" s="33">
        <v>370</v>
      </c>
      <c r="L314" s="33">
        <v>82</v>
      </c>
      <c r="M314" s="33">
        <v>452</v>
      </c>
      <c r="N314" s="33">
        <v>71</v>
      </c>
      <c r="O314" s="33">
        <v>342</v>
      </c>
      <c r="P314" s="1">
        <v>553.5</v>
      </c>
      <c r="Q314" s="1">
        <v>15</v>
      </c>
      <c r="R314" s="1">
        <v>313</v>
      </c>
    </row>
    <row r="315" spans="1:18">
      <c r="A315" s="33" t="s">
        <v>718</v>
      </c>
      <c r="B315" s="1" t="s">
        <v>249</v>
      </c>
      <c r="C315" s="1" t="s">
        <v>719</v>
      </c>
      <c r="D315" s="33">
        <v>116</v>
      </c>
      <c r="E315" s="33">
        <v>117</v>
      </c>
      <c r="F315" s="33">
        <v>102</v>
      </c>
      <c r="G315" s="33">
        <v>387</v>
      </c>
      <c r="H315" s="33">
        <v>118.5</v>
      </c>
      <c r="I315" s="33">
        <v>247</v>
      </c>
      <c r="J315" s="33">
        <v>60</v>
      </c>
      <c r="K315" s="33">
        <v>647</v>
      </c>
      <c r="L315" s="33">
        <v>85</v>
      </c>
      <c r="M315" s="33">
        <v>339</v>
      </c>
      <c r="N315" s="33">
        <v>72</v>
      </c>
      <c r="O315" s="33">
        <v>312</v>
      </c>
      <c r="P315" s="1">
        <v>553.5</v>
      </c>
      <c r="Q315" s="1">
        <v>14</v>
      </c>
      <c r="R315" s="1">
        <v>313</v>
      </c>
    </row>
    <row r="316" spans="1:18">
      <c r="A316" s="33" t="s">
        <v>722</v>
      </c>
      <c r="B316" s="1" t="s">
        <v>210</v>
      </c>
      <c r="C316" s="1" t="s">
        <v>723</v>
      </c>
      <c r="D316" s="33">
        <v>116</v>
      </c>
      <c r="E316" s="33">
        <v>117</v>
      </c>
      <c r="F316" s="33">
        <v>93</v>
      </c>
      <c r="G316" s="33">
        <v>541</v>
      </c>
      <c r="H316" s="33">
        <v>108</v>
      </c>
      <c r="I316" s="33">
        <v>519</v>
      </c>
      <c r="J316" s="33">
        <v>79</v>
      </c>
      <c r="K316" s="33">
        <v>236</v>
      </c>
      <c r="L316" s="33">
        <v>88</v>
      </c>
      <c r="M316" s="33">
        <v>240</v>
      </c>
      <c r="N316" s="33">
        <v>69</v>
      </c>
      <c r="O316" s="33">
        <v>420</v>
      </c>
      <c r="P316" s="1">
        <v>553</v>
      </c>
      <c r="Q316" s="1">
        <v>17</v>
      </c>
      <c r="R316" s="1">
        <v>315</v>
      </c>
    </row>
    <row r="317" spans="1:18">
      <c r="A317" s="33" t="s">
        <v>728</v>
      </c>
      <c r="B317" s="1" t="s">
        <v>122</v>
      </c>
      <c r="C317" s="1" t="s">
        <v>729</v>
      </c>
      <c r="D317" s="33">
        <v>108</v>
      </c>
      <c r="E317" s="33">
        <v>391</v>
      </c>
      <c r="F317" s="33">
        <v>107</v>
      </c>
      <c r="G317" s="33">
        <v>314</v>
      </c>
      <c r="H317" s="33">
        <v>121.5</v>
      </c>
      <c r="I317" s="33">
        <v>160</v>
      </c>
      <c r="J317" s="33">
        <v>64</v>
      </c>
      <c r="K317" s="33">
        <v>559</v>
      </c>
      <c r="L317" s="33">
        <v>87</v>
      </c>
      <c r="M317" s="33">
        <v>268</v>
      </c>
      <c r="N317" s="33">
        <v>65</v>
      </c>
      <c r="O317" s="33">
        <v>554</v>
      </c>
      <c r="P317" s="1">
        <v>552.5</v>
      </c>
      <c r="Q317" s="1">
        <v>36</v>
      </c>
      <c r="R317" s="1">
        <v>316</v>
      </c>
    </row>
    <row r="318" spans="1:18">
      <c r="A318" s="33" t="s">
        <v>726</v>
      </c>
      <c r="B318" s="1" t="s">
        <v>172</v>
      </c>
      <c r="C318" s="1" t="s">
        <v>727</v>
      </c>
      <c r="D318" s="33">
        <v>87</v>
      </c>
      <c r="E318" s="33">
        <v>922</v>
      </c>
      <c r="F318" s="33">
        <v>106</v>
      </c>
      <c r="G318" s="33">
        <v>323</v>
      </c>
      <c r="H318" s="33">
        <v>107.5</v>
      </c>
      <c r="I318" s="33">
        <v>532</v>
      </c>
      <c r="J318" s="33">
        <v>102</v>
      </c>
      <c r="K318" s="33">
        <v>9</v>
      </c>
      <c r="L318" s="33">
        <v>83</v>
      </c>
      <c r="M318" s="33">
        <v>407</v>
      </c>
      <c r="N318" s="33">
        <v>67</v>
      </c>
      <c r="O318" s="33">
        <v>489</v>
      </c>
      <c r="P318" s="1">
        <v>552.5</v>
      </c>
      <c r="Q318" s="1">
        <v>13</v>
      </c>
      <c r="R318" s="1">
        <v>316</v>
      </c>
    </row>
    <row r="319" spans="1:18">
      <c r="A319" s="33" t="s">
        <v>724</v>
      </c>
      <c r="B319" s="1" t="s">
        <v>150</v>
      </c>
      <c r="C319" s="1" t="s">
        <v>725</v>
      </c>
      <c r="D319" s="33">
        <v>108</v>
      </c>
      <c r="E319" s="33">
        <v>391</v>
      </c>
      <c r="F319" s="33">
        <v>98</v>
      </c>
      <c r="G319" s="33">
        <v>459</v>
      </c>
      <c r="H319" s="33">
        <v>116.5</v>
      </c>
      <c r="I319" s="33">
        <v>298</v>
      </c>
      <c r="J319" s="33">
        <v>70</v>
      </c>
      <c r="K319" s="33">
        <v>429</v>
      </c>
      <c r="L319" s="33">
        <v>84</v>
      </c>
      <c r="M319" s="33">
        <v>379</v>
      </c>
      <c r="N319" s="33">
        <v>76</v>
      </c>
      <c r="O319" s="33">
        <v>194</v>
      </c>
      <c r="P319" s="1">
        <v>552.5</v>
      </c>
      <c r="Q319" s="1">
        <v>21</v>
      </c>
      <c r="R319" s="1">
        <v>316</v>
      </c>
    </row>
    <row r="320" spans="1:18">
      <c r="A320" s="33" t="s">
        <v>730</v>
      </c>
      <c r="B320" s="1" t="s">
        <v>240</v>
      </c>
      <c r="C320" s="1" t="s">
        <v>731</v>
      </c>
      <c r="D320" s="33">
        <v>113</v>
      </c>
      <c r="E320" s="33">
        <v>196</v>
      </c>
      <c r="F320" s="33">
        <v>116</v>
      </c>
      <c r="G320" s="33">
        <v>187</v>
      </c>
      <c r="H320" s="33">
        <v>110</v>
      </c>
      <c r="I320" s="33">
        <v>478</v>
      </c>
      <c r="J320" s="33">
        <v>65</v>
      </c>
      <c r="K320" s="33">
        <v>539</v>
      </c>
      <c r="L320" s="33">
        <v>89</v>
      </c>
      <c r="M320" s="33">
        <v>200</v>
      </c>
      <c r="N320" s="33">
        <v>59</v>
      </c>
      <c r="O320" s="33">
        <v>729</v>
      </c>
      <c r="P320" s="1">
        <v>552</v>
      </c>
      <c r="Q320" s="1">
        <v>16</v>
      </c>
      <c r="R320" s="1">
        <v>319</v>
      </c>
    </row>
    <row r="321" spans="1:18">
      <c r="A321" s="33" t="s">
        <v>734</v>
      </c>
      <c r="B321" s="1" t="s">
        <v>150</v>
      </c>
      <c r="C321" s="1" t="s">
        <v>735</v>
      </c>
      <c r="D321" s="33">
        <v>100</v>
      </c>
      <c r="E321" s="33">
        <v>715</v>
      </c>
      <c r="F321" s="33">
        <v>114</v>
      </c>
      <c r="G321" s="33">
        <v>216</v>
      </c>
      <c r="H321" s="33">
        <v>111</v>
      </c>
      <c r="I321" s="33">
        <v>445</v>
      </c>
      <c r="J321" s="33">
        <v>76</v>
      </c>
      <c r="K321" s="33">
        <v>302</v>
      </c>
      <c r="L321" s="33">
        <v>78</v>
      </c>
      <c r="M321" s="33">
        <v>577</v>
      </c>
      <c r="N321" s="33">
        <v>73</v>
      </c>
      <c r="O321" s="33">
        <v>275</v>
      </c>
      <c r="P321" s="1">
        <v>552</v>
      </c>
      <c r="Q321" s="1">
        <v>22</v>
      </c>
      <c r="R321" s="1">
        <v>319</v>
      </c>
    </row>
    <row r="322" spans="1:18">
      <c r="A322" s="33" t="s">
        <v>732</v>
      </c>
      <c r="B322" s="1" t="s">
        <v>249</v>
      </c>
      <c r="C322" s="1" t="s">
        <v>733</v>
      </c>
      <c r="D322" s="33">
        <v>117</v>
      </c>
      <c r="E322" s="33">
        <v>86</v>
      </c>
      <c r="F322" s="33">
        <v>106</v>
      </c>
      <c r="G322" s="33">
        <v>323</v>
      </c>
      <c r="H322" s="33">
        <v>111</v>
      </c>
      <c r="I322" s="33">
        <v>445</v>
      </c>
      <c r="J322" s="33">
        <v>79</v>
      </c>
      <c r="K322" s="33">
        <v>236</v>
      </c>
      <c r="L322" s="33">
        <v>80</v>
      </c>
      <c r="M322" s="33">
        <v>511</v>
      </c>
      <c r="N322" s="33">
        <v>59</v>
      </c>
      <c r="O322" s="33">
        <v>729</v>
      </c>
      <c r="P322" s="1">
        <v>552</v>
      </c>
      <c r="Q322" s="1">
        <v>15</v>
      </c>
      <c r="R322" s="1">
        <v>319</v>
      </c>
    </row>
    <row r="323" spans="1:18">
      <c r="A323" s="33" t="s">
        <v>736</v>
      </c>
      <c r="B323" s="1" t="s">
        <v>240</v>
      </c>
      <c r="C323" s="1" t="s">
        <v>737</v>
      </c>
      <c r="D323" s="33">
        <v>127</v>
      </c>
      <c r="E323" s="33">
        <v>4</v>
      </c>
      <c r="F323" s="33">
        <v>91</v>
      </c>
      <c r="G323" s="33">
        <v>567</v>
      </c>
      <c r="H323" s="33">
        <v>111</v>
      </c>
      <c r="I323" s="33">
        <v>445</v>
      </c>
      <c r="J323" s="33">
        <v>72</v>
      </c>
      <c r="K323" s="33">
        <v>392</v>
      </c>
      <c r="L323" s="33">
        <v>86</v>
      </c>
      <c r="M323" s="33">
        <v>304</v>
      </c>
      <c r="N323" s="33">
        <v>65</v>
      </c>
      <c r="O323" s="33">
        <v>554</v>
      </c>
      <c r="P323" s="1">
        <v>552</v>
      </c>
      <c r="Q323" s="1">
        <v>16</v>
      </c>
      <c r="R323" s="1">
        <v>319</v>
      </c>
    </row>
    <row r="324" spans="1:18">
      <c r="A324" s="33" t="s">
        <v>740</v>
      </c>
      <c r="B324" s="1" t="s">
        <v>296</v>
      </c>
      <c r="C324" s="1" t="s">
        <v>741</v>
      </c>
      <c r="D324" s="33">
        <v>100</v>
      </c>
      <c r="E324" s="33">
        <v>715</v>
      </c>
      <c r="F324" s="33">
        <v>127</v>
      </c>
      <c r="G324" s="33">
        <v>78</v>
      </c>
      <c r="H324" s="33">
        <v>60.5</v>
      </c>
      <c r="I324" s="33">
        <v>942</v>
      </c>
      <c r="J324" s="33">
        <v>103</v>
      </c>
      <c r="K324" s="33">
        <v>7</v>
      </c>
      <c r="L324" s="33">
        <v>88</v>
      </c>
      <c r="M324" s="33">
        <v>240</v>
      </c>
      <c r="N324" s="33">
        <v>73</v>
      </c>
      <c r="O324" s="33">
        <v>275</v>
      </c>
      <c r="P324" s="1">
        <v>551.5</v>
      </c>
      <c r="Q324" s="1">
        <v>16</v>
      </c>
      <c r="R324" s="1">
        <v>323</v>
      </c>
    </row>
    <row r="325" spans="1:18">
      <c r="A325" s="33" t="s">
        <v>742</v>
      </c>
      <c r="B325" s="1" t="s">
        <v>296</v>
      </c>
      <c r="C325" s="1" t="s">
        <v>743</v>
      </c>
      <c r="D325" s="33">
        <v>112</v>
      </c>
      <c r="E325" s="33">
        <v>226</v>
      </c>
      <c r="F325" s="33">
        <v>115</v>
      </c>
      <c r="G325" s="33">
        <v>196</v>
      </c>
      <c r="H325" s="33">
        <v>103.5</v>
      </c>
      <c r="I325" s="33">
        <v>612</v>
      </c>
      <c r="J325" s="33">
        <v>63</v>
      </c>
      <c r="K325" s="33">
        <v>581</v>
      </c>
      <c r="L325" s="33">
        <v>92</v>
      </c>
      <c r="M325" s="33">
        <v>116</v>
      </c>
      <c r="N325" s="33">
        <v>66</v>
      </c>
      <c r="O325" s="33">
        <v>519</v>
      </c>
      <c r="P325" s="1">
        <v>551.5</v>
      </c>
      <c r="Q325" s="1">
        <v>16</v>
      </c>
      <c r="R325" s="1">
        <v>323</v>
      </c>
    </row>
    <row r="326" spans="1:18">
      <c r="A326" s="33" t="s">
        <v>738</v>
      </c>
      <c r="B326" s="1" t="s">
        <v>210</v>
      </c>
      <c r="C326" s="1" t="s">
        <v>739</v>
      </c>
      <c r="D326" s="33">
        <v>107</v>
      </c>
      <c r="E326" s="33">
        <v>429</v>
      </c>
      <c r="F326" s="33">
        <v>94</v>
      </c>
      <c r="G326" s="33">
        <v>524</v>
      </c>
      <c r="H326" s="33">
        <v>114.5</v>
      </c>
      <c r="I326" s="33">
        <v>340</v>
      </c>
      <c r="J326" s="33">
        <v>67</v>
      </c>
      <c r="K326" s="33">
        <v>497</v>
      </c>
      <c r="L326" s="33">
        <v>90</v>
      </c>
      <c r="M326" s="33">
        <v>177</v>
      </c>
      <c r="N326" s="33">
        <v>79</v>
      </c>
      <c r="O326" s="33">
        <v>103</v>
      </c>
      <c r="P326" s="1">
        <v>551.5</v>
      </c>
      <c r="Q326" s="1">
        <v>18</v>
      </c>
      <c r="R326" s="1">
        <v>323</v>
      </c>
    </row>
    <row r="327" spans="1:18">
      <c r="A327" s="33" t="s">
        <v>744</v>
      </c>
      <c r="B327" s="1" t="s">
        <v>84</v>
      </c>
      <c r="C327" s="1" t="s">
        <v>745</v>
      </c>
      <c r="D327" s="33">
        <v>112</v>
      </c>
      <c r="E327" s="33">
        <v>226</v>
      </c>
      <c r="F327" s="33">
        <v>99</v>
      </c>
      <c r="G327" s="33">
        <v>437</v>
      </c>
      <c r="H327" s="33">
        <v>130</v>
      </c>
      <c r="I327" s="33">
        <v>34</v>
      </c>
      <c r="J327" s="33">
        <v>55</v>
      </c>
      <c r="K327" s="33">
        <v>748</v>
      </c>
      <c r="L327" s="33">
        <v>94</v>
      </c>
      <c r="M327" s="33">
        <v>78</v>
      </c>
      <c r="N327" s="33">
        <v>61</v>
      </c>
      <c r="O327" s="33">
        <v>686</v>
      </c>
      <c r="P327" s="1">
        <v>551</v>
      </c>
      <c r="Q327" s="1">
        <v>14</v>
      </c>
      <c r="R327" s="1">
        <v>326</v>
      </c>
    </row>
    <row r="328" spans="1:18">
      <c r="A328" s="33" t="s">
        <v>750</v>
      </c>
      <c r="B328" s="1" t="s">
        <v>150</v>
      </c>
      <c r="C328" s="1" t="s">
        <v>751</v>
      </c>
      <c r="D328" s="33">
        <v>93</v>
      </c>
      <c r="E328" s="33">
        <v>868</v>
      </c>
      <c r="F328" s="33">
        <v>128</v>
      </c>
      <c r="G328" s="33">
        <v>70</v>
      </c>
      <c r="H328" s="33">
        <v>120.5</v>
      </c>
      <c r="I328" s="33">
        <v>192</v>
      </c>
      <c r="J328" s="33">
        <v>70</v>
      </c>
      <c r="K328" s="33">
        <v>429</v>
      </c>
      <c r="L328" s="33">
        <v>74</v>
      </c>
      <c r="M328" s="33">
        <v>702</v>
      </c>
      <c r="N328" s="33">
        <v>65</v>
      </c>
      <c r="O328" s="33">
        <v>554</v>
      </c>
      <c r="P328" s="1">
        <v>550.5</v>
      </c>
      <c r="Q328" s="1">
        <v>23</v>
      </c>
      <c r="R328" s="1">
        <v>327</v>
      </c>
    </row>
    <row r="329" spans="1:18">
      <c r="A329" s="33" t="s">
        <v>752</v>
      </c>
      <c r="B329" s="1" t="s">
        <v>92</v>
      </c>
      <c r="C329" s="1" t="s">
        <v>753</v>
      </c>
      <c r="D329" s="33">
        <v>94</v>
      </c>
      <c r="E329" s="33">
        <v>856</v>
      </c>
      <c r="F329" s="33">
        <v>123</v>
      </c>
      <c r="G329" s="33">
        <v>113</v>
      </c>
      <c r="H329" s="33">
        <v>96.5</v>
      </c>
      <c r="I329" s="33">
        <v>750</v>
      </c>
      <c r="J329" s="33">
        <v>82</v>
      </c>
      <c r="K329" s="33">
        <v>171</v>
      </c>
      <c r="L329" s="33">
        <v>84</v>
      </c>
      <c r="M329" s="33">
        <v>379</v>
      </c>
      <c r="N329" s="33">
        <v>71</v>
      </c>
      <c r="O329" s="33">
        <v>342</v>
      </c>
      <c r="P329" s="1">
        <v>550.5</v>
      </c>
      <c r="Q329" s="1">
        <v>16</v>
      </c>
      <c r="R329" s="1">
        <v>327</v>
      </c>
    </row>
    <row r="330" spans="1:18">
      <c r="A330" s="33" t="s">
        <v>746</v>
      </c>
      <c r="B330" s="1" t="s">
        <v>84</v>
      </c>
      <c r="C330" s="1" t="s">
        <v>747</v>
      </c>
      <c r="D330" s="33">
        <v>91</v>
      </c>
      <c r="E330" s="33">
        <v>890</v>
      </c>
      <c r="F330" s="33">
        <v>112</v>
      </c>
      <c r="G330" s="33">
        <v>236</v>
      </c>
      <c r="H330" s="33">
        <v>102.5</v>
      </c>
      <c r="I330" s="33">
        <v>635</v>
      </c>
      <c r="J330" s="33">
        <v>90</v>
      </c>
      <c r="K330" s="33">
        <v>63</v>
      </c>
      <c r="L330" s="33">
        <v>90</v>
      </c>
      <c r="M330" s="33">
        <v>177</v>
      </c>
      <c r="N330" s="33">
        <v>65</v>
      </c>
      <c r="O330" s="33">
        <v>554</v>
      </c>
      <c r="P330" s="1">
        <v>550.5</v>
      </c>
      <c r="Q330" s="1">
        <v>15</v>
      </c>
      <c r="R330" s="1">
        <v>327</v>
      </c>
    </row>
    <row r="331" spans="1:18">
      <c r="A331" s="33" t="s">
        <v>748</v>
      </c>
      <c r="B331" s="1" t="s">
        <v>84</v>
      </c>
      <c r="C331" s="1" t="s">
        <v>749</v>
      </c>
      <c r="D331" s="33">
        <v>107</v>
      </c>
      <c r="E331" s="33">
        <v>429</v>
      </c>
      <c r="F331" s="33">
        <v>93</v>
      </c>
      <c r="G331" s="33">
        <v>541</v>
      </c>
      <c r="H331" s="33">
        <v>120.5</v>
      </c>
      <c r="I331" s="33">
        <v>192</v>
      </c>
      <c r="J331" s="33">
        <v>66</v>
      </c>
      <c r="K331" s="33">
        <v>513</v>
      </c>
      <c r="L331" s="33">
        <v>88</v>
      </c>
      <c r="M331" s="33">
        <v>240</v>
      </c>
      <c r="N331" s="33">
        <v>76</v>
      </c>
      <c r="O331" s="33">
        <v>194</v>
      </c>
      <c r="P331" s="1">
        <v>550.5</v>
      </c>
      <c r="Q331" s="1">
        <v>15</v>
      </c>
      <c r="R331" s="1">
        <v>327</v>
      </c>
    </row>
    <row r="332" spans="1:18">
      <c r="A332" s="33" t="s">
        <v>758</v>
      </c>
      <c r="B332" s="1" t="s">
        <v>111</v>
      </c>
      <c r="C332" s="1" t="s">
        <v>759</v>
      </c>
      <c r="D332" s="33">
        <v>105</v>
      </c>
      <c r="E332" s="33">
        <v>515</v>
      </c>
      <c r="F332" s="33">
        <v>116</v>
      </c>
      <c r="G332" s="33">
        <v>187</v>
      </c>
      <c r="H332" s="33">
        <v>114</v>
      </c>
      <c r="I332" s="33">
        <v>356</v>
      </c>
      <c r="J332" s="33">
        <v>65</v>
      </c>
      <c r="K332" s="33">
        <v>539</v>
      </c>
      <c r="L332" s="33">
        <v>86</v>
      </c>
      <c r="M332" s="33">
        <v>304</v>
      </c>
      <c r="N332" s="33">
        <v>64</v>
      </c>
      <c r="O332" s="33">
        <v>593</v>
      </c>
      <c r="P332" s="1">
        <v>550</v>
      </c>
      <c r="Q332" s="1">
        <v>15</v>
      </c>
      <c r="R332" s="1">
        <v>331</v>
      </c>
    </row>
    <row r="333" spans="1:18">
      <c r="A333" s="33" t="s">
        <v>760</v>
      </c>
      <c r="B333" s="1" t="s">
        <v>169</v>
      </c>
      <c r="C333" s="1" t="s">
        <v>761</v>
      </c>
      <c r="D333" s="33">
        <v>110</v>
      </c>
      <c r="E333" s="33">
        <v>310</v>
      </c>
      <c r="F333" s="33">
        <v>113</v>
      </c>
      <c r="G333" s="33">
        <v>225</v>
      </c>
      <c r="H333" s="33">
        <v>111</v>
      </c>
      <c r="I333" s="33">
        <v>445</v>
      </c>
      <c r="J333" s="33">
        <v>62</v>
      </c>
      <c r="K333" s="33">
        <v>607</v>
      </c>
      <c r="L333" s="33">
        <v>83</v>
      </c>
      <c r="M333" s="33">
        <v>407</v>
      </c>
      <c r="N333" s="33">
        <v>71</v>
      </c>
      <c r="O333" s="33">
        <v>342</v>
      </c>
      <c r="P333" s="1">
        <v>550</v>
      </c>
      <c r="Q333" s="1">
        <v>20</v>
      </c>
      <c r="R333" s="1">
        <v>331</v>
      </c>
    </row>
    <row r="334" spans="1:18">
      <c r="A334" s="33" t="s">
        <v>756</v>
      </c>
      <c r="B334" s="1" t="s">
        <v>84</v>
      </c>
      <c r="C334" s="1" t="s">
        <v>757</v>
      </c>
      <c r="D334" s="33">
        <v>116</v>
      </c>
      <c r="E334" s="33">
        <v>117</v>
      </c>
      <c r="F334" s="33">
        <v>112</v>
      </c>
      <c r="G334" s="33">
        <v>236</v>
      </c>
      <c r="H334" s="33">
        <v>116</v>
      </c>
      <c r="I334" s="33">
        <v>309</v>
      </c>
      <c r="J334" s="33">
        <v>71</v>
      </c>
      <c r="K334" s="33">
        <v>411</v>
      </c>
      <c r="L334" s="33">
        <v>66</v>
      </c>
      <c r="M334" s="33">
        <v>849</v>
      </c>
      <c r="N334" s="33">
        <v>69</v>
      </c>
      <c r="O334" s="33">
        <v>420</v>
      </c>
      <c r="P334" s="1">
        <v>550</v>
      </c>
      <c r="Q334" s="1">
        <v>17</v>
      </c>
      <c r="R334" s="1">
        <v>331</v>
      </c>
    </row>
    <row r="335" spans="1:18">
      <c r="A335" s="33" t="s">
        <v>754</v>
      </c>
      <c r="B335" s="1" t="s">
        <v>133</v>
      </c>
      <c r="C335" s="1" t="s">
        <v>755</v>
      </c>
      <c r="D335" s="33">
        <v>108</v>
      </c>
      <c r="E335" s="33">
        <v>391</v>
      </c>
      <c r="F335" s="33">
        <v>96</v>
      </c>
      <c r="G335" s="33">
        <v>484</v>
      </c>
      <c r="H335" s="33">
        <v>107</v>
      </c>
      <c r="I335" s="33">
        <v>546</v>
      </c>
      <c r="J335" s="33">
        <v>84</v>
      </c>
      <c r="K335" s="33">
        <v>131</v>
      </c>
      <c r="L335" s="33">
        <v>83</v>
      </c>
      <c r="M335" s="33">
        <v>407</v>
      </c>
      <c r="N335" s="33">
        <v>72</v>
      </c>
      <c r="O335" s="33">
        <v>312</v>
      </c>
      <c r="P335" s="1">
        <v>550</v>
      </c>
      <c r="Q335" s="1">
        <v>23</v>
      </c>
      <c r="R335" s="1">
        <v>331</v>
      </c>
    </row>
    <row r="336" spans="1:18">
      <c r="A336" s="33" t="s">
        <v>766</v>
      </c>
      <c r="B336" s="1" t="s">
        <v>150</v>
      </c>
      <c r="C336" s="1" t="s">
        <v>767</v>
      </c>
      <c r="D336" s="33">
        <v>100</v>
      </c>
      <c r="E336" s="33">
        <v>715</v>
      </c>
      <c r="F336" s="33">
        <v>111</v>
      </c>
      <c r="G336" s="33">
        <v>248</v>
      </c>
      <c r="H336" s="33">
        <v>92.5</v>
      </c>
      <c r="I336" s="33">
        <v>801</v>
      </c>
      <c r="J336" s="33">
        <v>82</v>
      </c>
      <c r="K336" s="33">
        <v>171</v>
      </c>
      <c r="L336" s="33">
        <v>81</v>
      </c>
      <c r="M336" s="33">
        <v>474</v>
      </c>
      <c r="N336" s="33">
        <v>83</v>
      </c>
      <c r="O336" s="33">
        <v>30</v>
      </c>
      <c r="P336" s="1">
        <v>549.5</v>
      </c>
      <c r="Q336" s="1">
        <v>24</v>
      </c>
      <c r="R336" s="1">
        <v>335</v>
      </c>
    </row>
    <row r="337" spans="1:18">
      <c r="A337" s="33" t="s">
        <v>764</v>
      </c>
      <c r="B337" s="1" t="s">
        <v>203</v>
      </c>
      <c r="C337" s="1" t="s">
        <v>765</v>
      </c>
      <c r="D337" s="33">
        <v>107</v>
      </c>
      <c r="E337" s="33">
        <v>429</v>
      </c>
      <c r="F337" s="33">
        <v>111</v>
      </c>
      <c r="G337" s="33">
        <v>248</v>
      </c>
      <c r="H337" s="33">
        <v>105.5</v>
      </c>
      <c r="I337" s="33">
        <v>568</v>
      </c>
      <c r="J337" s="33">
        <v>70</v>
      </c>
      <c r="K337" s="33">
        <v>429</v>
      </c>
      <c r="L337" s="33">
        <v>90</v>
      </c>
      <c r="M337" s="33">
        <v>177</v>
      </c>
      <c r="N337" s="33">
        <v>66</v>
      </c>
      <c r="O337" s="33">
        <v>519</v>
      </c>
      <c r="P337" s="1">
        <v>549.5</v>
      </c>
      <c r="Q337" s="1">
        <v>16</v>
      </c>
      <c r="R337" s="1">
        <v>335</v>
      </c>
    </row>
    <row r="338" spans="1:18">
      <c r="A338" s="33" t="s">
        <v>762</v>
      </c>
      <c r="B338" s="1" t="s">
        <v>169</v>
      </c>
      <c r="C338" s="1" t="s">
        <v>763</v>
      </c>
      <c r="D338" s="33">
        <v>105</v>
      </c>
      <c r="E338" s="33">
        <v>515</v>
      </c>
      <c r="F338" s="33">
        <v>102</v>
      </c>
      <c r="G338" s="33">
        <v>387</v>
      </c>
      <c r="H338" s="33">
        <v>120.5</v>
      </c>
      <c r="I338" s="33">
        <v>192</v>
      </c>
      <c r="J338" s="33">
        <v>68</v>
      </c>
      <c r="K338" s="33">
        <v>474</v>
      </c>
      <c r="L338" s="33">
        <v>79</v>
      </c>
      <c r="M338" s="33">
        <v>539</v>
      </c>
      <c r="N338" s="33">
        <v>75</v>
      </c>
      <c r="O338" s="33">
        <v>219</v>
      </c>
      <c r="P338" s="1">
        <v>549.5</v>
      </c>
      <c r="Q338" s="1">
        <v>21</v>
      </c>
      <c r="R338" s="1">
        <v>335</v>
      </c>
    </row>
    <row r="339" spans="1:18">
      <c r="A339" s="33" t="s">
        <v>768</v>
      </c>
      <c r="B339" s="1" t="s">
        <v>240</v>
      </c>
      <c r="C339" s="1" t="s">
        <v>769</v>
      </c>
      <c r="D339" s="33">
        <v>110</v>
      </c>
      <c r="E339" s="33">
        <v>310</v>
      </c>
      <c r="F339" s="33">
        <v>108</v>
      </c>
      <c r="G339" s="33">
        <v>297</v>
      </c>
      <c r="H339" s="33">
        <v>114</v>
      </c>
      <c r="I339" s="33">
        <v>356</v>
      </c>
      <c r="J339" s="33">
        <v>66</v>
      </c>
      <c r="K339" s="33">
        <v>513</v>
      </c>
      <c r="L339" s="33">
        <v>77</v>
      </c>
      <c r="M339" s="33">
        <v>608</v>
      </c>
      <c r="N339" s="33">
        <v>74</v>
      </c>
      <c r="O339" s="33">
        <v>247</v>
      </c>
      <c r="P339" s="1">
        <v>549</v>
      </c>
      <c r="Q339" s="1">
        <v>18</v>
      </c>
      <c r="R339" s="1">
        <v>338</v>
      </c>
    </row>
    <row r="340" spans="1:18">
      <c r="A340" s="33" t="s">
        <v>770</v>
      </c>
      <c r="B340" s="1" t="s">
        <v>217</v>
      </c>
      <c r="C340" s="1" t="s">
        <v>771</v>
      </c>
      <c r="D340" s="33">
        <v>101</v>
      </c>
      <c r="E340" s="33">
        <v>688</v>
      </c>
      <c r="F340" s="33">
        <v>117</v>
      </c>
      <c r="G340" s="33">
        <v>174</v>
      </c>
      <c r="H340" s="33">
        <v>96.5</v>
      </c>
      <c r="I340" s="33">
        <v>750</v>
      </c>
      <c r="J340" s="33">
        <v>74</v>
      </c>
      <c r="K340" s="33">
        <v>345</v>
      </c>
      <c r="L340" s="33">
        <v>87</v>
      </c>
      <c r="M340" s="33">
        <v>268</v>
      </c>
      <c r="N340" s="33">
        <v>73</v>
      </c>
      <c r="O340" s="33">
        <v>275</v>
      </c>
      <c r="P340" s="1">
        <v>548.5</v>
      </c>
      <c r="Q340" s="1">
        <v>13</v>
      </c>
      <c r="R340" s="1">
        <v>339</v>
      </c>
    </row>
    <row r="341" spans="1:18">
      <c r="A341" s="33" t="s">
        <v>772</v>
      </c>
      <c r="B341" s="1" t="s">
        <v>217</v>
      </c>
      <c r="C341" s="1" t="s">
        <v>773</v>
      </c>
      <c r="D341" s="33">
        <v>114</v>
      </c>
      <c r="E341" s="33">
        <v>170</v>
      </c>
      <c r="F341" s="33">
        <v>101</v>
      </c>
      <c r="G341" s="33">
        <v>404</v>
      </c>
      <c r="H341" s="33">
        <v>102.5</v>
      </c>
      <c r="I341" s="33">
        <v>635</v>
      </c>
      <c r="J341" s="33">
        <v>78</v>
      </c>
      <c r="K341" s="33">
        <v>256</v>
      </c>
      <c r="L341" s="33">
        <v>81</v>
      </c>
      <c r="M341" s="33">
        <v>474</v>
      </c>
      <c r="N341" s="33">
        <v>72</v>
      </c>
      <c r="O341" s="33">
        <v>312</v>
      </c>
      <c r="P341" s="1">
        <v>548.5</v>
      </c>
      <c r="Q341" s="1">
        <v>13</v>
      </c>
      <c r="R341" s="1">
        <v>339</v>
      </c>
    </row>
    <row r="342" spans="1:18">
      <c r="A342" s="33" t="s">
        <v>774</v>
      </c>
      <c r="B342" s="1" t="s">
        <v>150</v>
      </c>
      <c r="C342" s="1" t="s">
        <v>775</v>
      </c>
      <c r="D342" s="33">
        <v>108</v>
      </c>
      <c r="E342" s="33">
        <v>391</v>
      </c>
      <c r="F342" s="33">
        <v>100</v>
      </c>
      <c r="G342" s="33">
        <v>422</v>
      </c>
      <c r="H342" s="33">
        <v>121</v>
      </c>
      <c r="I342" s="33">
        <v>173</v>
      </c>
      <c r="J342" s="33">
        <v>72</v>
      </c>
      <c r="K342" s="33">
        <v>392</v>
      </c>
      <c r="L342" s="33">
        <v>81</v>
      </c>
      <c r="M342" s="33">
        <v>474</v>
      </c>
      <c r="N342" s="33">
        <v>66</v>
      </c>
      <c r="O342" s="33">
        <v>519</v>
      </c>
      <c r="P342" s="1">
        <v>548</v>
      </c>
      <c r="Q342" s="1">
        <v>25</v>
      </c>
      <c r="R342" s="1">
        <v>341</v>
      </c>
    </row>
    <row r="343" spans="1:18">
      <c r="A343" s="33" t="s">
        <v>776</v>
      </c>
      <c r="B343" s="1" t="s">
        <v>296</v>
      </c>
      <c r="C343" s="1" t="s">
        <v>777</v>
      </c>
      <c r="D343" s="33">
        <v>94</v>
      </c>
      <c r="E343" s="33">
        <v>856</v>
      </c>
      <c r="F343" s="33">
        <v>138</v>
      </c>
      <c r="G343" s="33">
        <v>25</v>
      </c>
      <c r="H343" s="33">
        <v>99.5</v>
      </c>
      <c r="I343" s="33">
        <v>694</v>
      </c>
      <c r="J343" s="33">
        <v>95</v>
      </c>
      <c r="K343" s="33">
        <v>31</v>
      </c>
      <c r="L343" s="33">
        <v>73</v>
      </c>
      <c r="M343" s="33">
        <v>717</v>
      </c>
      <c r="N343" s="33">
        <v>48</v>
      </c>
      <c r="O343" s="33">
        <v>893</v>
      </c>
      <c r="P343" s="1">
        <v>547.5</v>
      </c>
      <c r="Q343" s="1">
        <v>18</v>
      </c>
      <c r="R343" s="1">
        <v>342</v>
      </c>
    </row>
    <row r="344" spans="1:18">
      <c r="A344" s="33" t="s">
        <v>778</v>
      </c>
      <c r="B344" s="1" t="s">
        <v>240</v>
      </c>
      <c r="C344" s="1" t="s">
        <v>779</v>
      </c>
      <c r="D344" s="33">
        <v>112</v>
      </c>
      <c r="E344" s="33">
        <v>226</v>
      </c>
      <c r="F344" s="33">
        <v>96</v>
      </c>
      <c r="G344" s="33">
        <v>484</v>
      </c>
      <c r="H344" s="33">
        <v>104.5</v>
      </c>
      <c r="I344" s="33">
        <v>593</v>
      </c>
      <c r="J344" s="33">
        <v>82</v>
      </c>
      <c r="K344" s="33">
        <v>171</v>
      </c>
      <c r="L344" s="33">
        <v>75</v>
      </c>
      <c r="M344" s="33">
        <v>671</v>
      </c>
      <c r="N344" s="33">
        <v>78</v>
      </c>
      <c r="O344" s="33">
        <v>133</v>
      </c>
      <c r="P344" s="1">
        <v>547.5</v>
      </c>
      <c r="Q344" s="1">
        <v>19</v>
      </c>
      <c r="R344" s="1">
        <v>342</v>
      </c>
    </row>
    <row r="345" spans="1:18">
      <c r="A345" s="33" t="s">
        <v>782</v>
      </c>
      <c r="B345" s="1" t="s">
        <v>210</v>
      </c>
      <c r="C345" s="1" t="s">
        <v>783</v>
      </c>
      <c r="D345" s="33">
        <v>97</v>
      </c>
      <c r="E345" s="33">
        <v>795</v>
      </c>
      <c r="F345" s="33">
        <v>113</v>
      </c>
      <c r="G345" s="33">
        <v>225</v>
      </c>
      <c r="H345" s="33">
        <v>91</v>
      </c>
      <c r="I345" s="33">
        <v>817</v>
      </c>
      <c r="J345" s="33">
        <v>78</v>
      </c>
      <c r="K345" s="33">
        <v>256</v>
      </c>
      <c r="L345" s="33">
        <v>93</v>
      </c>
      <c r="M345" s="33">
        <v>93</v>
      </c>
      <c r="N345" s="33">
        <v>75</v>
      </c>
      <c r="O345" s="33">
        <v>219</v>
      </c>
      <c r="P345" s="1">
        <v>547</v>
      </c>
      <c r="Q345" s="1">
        <v>19</v>
      </c>
      <c r="R345" s="1">
        <v>344</v>
      </c>
    </row>
    <row r="346" spans="1:18">
      <c r="A346" s="33" t="s">
        <v>780</v>
      </c>
      <c r="B346" s="1" t="s">
        <v>169</v>
      </c>
      <c r="C346" s="1" t="s">
        <v>781</v>
      </c>
      <c r="D346" s="33">
        <v>106</v>
      </c>
      <c r="E346" s="33">
        <v>477</v>
      </c>
      <c r="F346" s="33">
        <v>111</v>
      </c>
      <c r="G346" s="33">
        <v>248</v>
      </c>
      <c r="H346" s="33">
        <v>108</v>
      </c>
      <c r="I346" s="33">
        <v>519</v>
      </c>
      <c r="J346" s="33">
        <v>75</v>
      </c>
      <c r="K346" s="33">
        <v>324</v>
      </c>
      <c r="L346" s="33">
        <v>93</v>
      </c>
      <c r="M346" s="33">
        <v>93</v>
      </c>
      <c r="N346" s="33">
        <v>54</v>
      </c>
      <c r="O346" s="33">
        <v>817</v>
      </c>
      <c r="P346" s="1">
        <v>547</v>
      </c>
      <c r="Q346" s="1">
        <v>22</v>
      </c>
      <c r="R346" s="1">
        <v>344</v>
      </c>
    </row>
    <row r="347" spans="1:18">
      <c r="A347" s="33" t="s">
        <v>786</v>
      </c>
      <c r="B347" s="1" t="s">
        <v>240</v>
      </c>
      <c r="C347" s="1" t="s">
        <v>787</v>
      </c>
      <c r="D347" s="33">
        <v>97</v>
      </c>
      <c r="E347" s="33">
        <v>795</v>
      </c>
      <c r="F347" s="33">
        <v>110</v>
      </c>
      <c r="G347" s="33">
        <v>265</v>
      </c>
      <c r="H347" s="33">
        <v>109</v>
      </c>
      <c r="I347" s="33">
        <v>500</v>
      </c>
      <c r="J347" s="33">
        <v>80</v>
      </c>
      <c r="K347" s="33">
        <v>211</v>
      </c>
      <c r="L347" s="33">
        <v>84</v>
      </c>
      <c r="M347" s="33">
        <v>379</v>
      </c>
      <c r="N347" s="33">
        <v>67</v>
      </c>
      <c r="O347" s="33">
        <v>489</v>
      </c>
      <c r="P347" s="1">
        <v>547</v>
      </c>
      <c r="Q347" s="1">
        <v>20</v>
      </c>
      <c r="R347" s="1">
        <v>344</v>
      </c>
    </row>
    <row r="348" spans="1:18">
      <c r="A348" s="33" t="s">
        <v>784</v>
      </c>
      <c r="B348" s="1" t="s">
        <v>210</v>
      </c>
      <c r="C348" s="1" t="s">
        <v>785</v>
      </c>
      <c r="D348" s="33">
        <v>109</v>
      </c>
      <c r="E348" s="33">
        <v>353</v>
      </c>
      <c r="F348" s="33">
        <v>110</v>
      </c>
      <c r="G348" s="33">
        <v>265</v>
      </c>
      <c r="H348" s="33">
        <v>106</v>
      </c>
      <c r="I348" s="33">
        <v>558</v>
      </c>
      <c r="J348" s="33">
        <v>67</v>
      </c>
      <c r="K348" s="33">
        <v>497</v>
      </c>
      <c r="L348" s="33">
        <v>84</v>
      </c>
      <c r="M348" s="33">
        <v>379</v>
      </c>
      <c r="N348" s="33">
        <v>71</v>
      </c>
      <c r="O348" s="33">
        <v>342</v>
      </c>
      <c r="P348" s="1">
        <v>547</v>
      </c>
      <c r="Q348" s="1">
        <v>19</v>
      </c>
      <c r="R348" s="1">
        <v>344</v>
      </c>
    </row>
    <row r="349" spans="1:18">
      <c r="A349" s="33" t="s">
        <v>788</v>
      </c>
      <c r="B349" s="1" t="s">
        <v>122</v>
      </c>
      <c r="C349" s="1" t="s">
        <v>789</v>
      </c>
      <c r="D349" s="33">
        <v>115</v>
      </c>
      <c r="E349" s="33">
        <v>140</v>
      </c>
      <c r="F349" s="33">
        <v>109</v>
      </c>
      <c r="G349" s="33">
        <v>279</v>
      </c>
      <c r="H349" s="33">
        <v>111</v>
      </c>
      <c r="I349" s="33">
        <v>445</v>
      </c>
      <c r="J349" s="33">
        <v>71</v>
      </c>
      <c r="K349" s="33">
        <v>411</v>
      </c>
      <c r="L349" s="33">
        <v>79</v>
      </c>
      <c r="M349" s="33">
        <v>539</v>
      </c>
      <c r="N349" s="33">
        <v>62</v>
      </c>
      <c r="O349" s="33">
        <v>657</v>
      </c>
      <c r="P349" s="1">
        <v>547</v>
      </c>
      <c r="Q349" s="1">
        <v>37</v>
      </c>
      <c r="R349" s="1">
        <v>344</v>
      </c>
    </row>
    <row r="350" spans="1:18">
      <c r="A350" s="33" t="s">
        <v>792</v>
      </c>
      <c r="B350" s="1" t="s">
        <v>133</v>
      </c>
      <c r="C350" s="1" t="s">
        <v>793</v>
      </c>
      <c r="D350" s="33">
        <v>114</v>
      </c>
      <c r="E350" s="33">
        <v>170</v>
      </c>
      <c r="F350" s="33">
        <v>96</v>
      </c>
      <c r="G350" s="33">
        <v>484</v>
      </c>
      <c r="H350" s="33">
        <v>117.5</v>
      </c>
      <c r="I350" s="33">
        <v>281</v>
      </c>
      <c r="J350" s="33">
        <v>63</v>
      </c>
      <c r="K350" s="33">
        <v>581</v>
      </c>
      <c r="L350" s="33">
        <v>83</v>
      </c>
      <c r="M350" s="33">
        <v>407</v>
      </c>
      <c r="N350" s="33">
        <v>73</v>
      </c>
      <c r="O350" s="33">
        <v>275</v>
      </c>
      <c r="P350" s="1">
        <v>546.5</v>
      </c>
      <c r="Q350" s="1">
        <v>24</v>
      </c>
      <c r="R350" s="1">
        <v>349</v>
      </c>
    </row>
    <row r="351" spans="1:18">
      <c r="A351" s="33" t="s">
        <v>790</v>
      </c>
      <c r="B351" s="1" t="s">
        <v>150</v>
      </c>
      <c r="C351" s="1" t="s">
        <v>791</v>
      </c>
      <c r="D351" s="33">
        <v>111</v>
      </c>
      <c r="E351" s="33">
        <v>271</v>
      </c>
      <c r="F351" s="33">
        <v>96</v>
      </c>
      <c r="G351" s="33">
        <v>484</v>
      </c>
      <c r="H351" s="33">
        <v>120.5</v>
      </c>
      <c r="I351" s="33">
        <v>192</v>
      </c>
      <c r="J351" s="33">
        <v>74</v>
      </c>
      <c r="K351" s="33">
        <v>345</v>
      </c>
      <c r="L351" s="33">
        <v>76</v>
      </c>
      <c r="M351" s="33">
        <v>642</v>
      </c>
      <c r="N351" s="33">
        <v>69</v>
      </c>
      <c r="O351" s="33">
        <v>420</v>
      </c>
      <c r="P351" s="1">
        <v>546.5</v>
      </c>
      <c r="Q351" s="1">
        <v>26</v>
      </c>
      <c r="R351" s="1">
        <v>349</v>
      </c>
    </row>
    <row r="352" spans="1:18">
      <c r="A352" s="33" t="s">
        <v>794</v>
      </c>
      <c r="B352" s="1" t="s">
        <v>97</v>
      </c>
      <c r="C352" s="1" t="s">
        <v>795</v>
      </c>
      <c r="D352" s="33">
        <v>112</v>
      </c>
      <c r="E352" s="33">
        <v>226</v>
      </c>
      <c r="F352" s="33">
        <v>92</v>
      </c>
      <c r="G352" s="33">
        <v>558</v>
      </c>
      <c r="H352" s="33">
        <v>112.5</v>
      </c>
      <c r="I352" s="33">
        <v>401</v>
      </c>
      <c r="J352" s="33">
        <v>76</v>
      </c>
      <c r="K352" s="33">
        <v>302</v>
      </c>
      <c r="L352" s="33">
        <v>84</v>
      </c>
      <c r="M352" s="33">
        <v>379</v>
      </c>
      <c r="N352" s="33">
        <v>70</v>
      </c>
      <c r="O352" s="33">
        <v>380</v>
      </c>
      <c r="P352" s="1">
        <v>546.5</v>
      </c>
      <c r="Q352" s="1">
        <v>16</v>
      </c>
      <c r="R352" s="1">
        <v>349</v>
      </c>
    </row>
    <row r="353" spans="1:18">
      <c r="A353" s="33" t="s">
        <v>798</v>
      </c>
      <c r="B353" s="1" t="s">
        <v>296</v>
      </c>
      <c r="C353" s="1" t="s">
        <v>799</v>
      </c>
      <c r="D353" s="33">
        <v>107</v>
      </c>
      <c r="E353" s="33">
        <v>429</v>
      </c>
      <c r="F353" s="33">
        <v>112</v>
      </c>
      <c r="G353" s="33">
        <v>236</v>
      </c>
      <c r="H353" s="33">
        <v>115</v>
      </c>
      <c r="I353" s="33">
        <v>330</v>
      </c>
      <c r="J353" s="33">
        <v>65</v>
      </c>
      <c r="K353" s="33">
        <v>539</v>
      </c>
      <c r="L353" s="33">
        <v>78</v>
      </c>
      <c r="M353" s="33">
        <v>577</v>
      </c>
      <c r="N353" s="33">
        <v>69</v>
      </c>
      <c r="O353" s="33">
        <v>420</v>
      </c>
      <c r="P353" s="1">
        <v>546</v>
      </c>
      <c r="Q353" s="1">
        <v>19</v>
      </c>
      <c r="R353" s="1">
        <v>352</v>
      </c>
    </row>
    <row r="354" spans="1:18">
      <c r="A354" s="33" t="s">
        <v>796</v>
      </c>
      <c r="B354" s="1" t="s">
        <v>240</v>
      </c>
      <c r="C354" s="1" t="s">
        <v>797</v>
      </c>
      <c r="D354" s="33">
        <v>105</v>
      </c>
      <c r="E354" s="33">
        <v>515</v>
      </c>
      <c r="F354" s="33">
        <v>99</v>
      </c>
      <c r="G354" s="33">
        <v>437</v>
      </c>
      <c r="H354" s="33">
        <v>102</v>
      </c>
      <c r="I354" s="33">
        <v>642</v>
      </c>
      <c r="J354" s="33">
        <v>77</v>
      </c>
      <c r="K354" s="33">
        <v>278</v>
      </c>
      <c r="L354" s="33">
        <v>81</v>
      </c>
      <c r="M354" s="33">
        <v>474</v>
      </c>
      <c r="N354" s="33">
        <v>82</v>
      </c>
      <c r="O354" s="33">
        <v>46</v>
      </c>
      <c r="P354" s="1">
        <v>546</v>
      </c>
      <c r="Q354" s="1">
        <v>21</v>
      </c>
      <c r="R354" s="1">
        <v>352</v>
      </c>
    </row>
    <row r="355" spans="1:18">
      <c r="A355" s="33" t="s">
        <v>802</v>
      </c>
      <c r="B355" s="1" t="s">
        <v>106</v>
      </c>
      <c r="C355" s="1" t="s">
        <v>803</v>
      </c>
      <c r="D355" s="33">
        <v>96</v>
      </c>
      <c r="E355" s="33">
        <v>814</v>
      </c>
      <c r="F355" s="33">
        <v>110</v>
      </c>
      <c r="G355" s="33">
        <v>265</v>
      </c>
      <c r="H355" s="33">
        <v>115.5</v>
      </c>
      <c r="I355" s="33">
        <v>325</v>
      </c>
      <c r="J355" s="33">
        <v>72</v>
      </c>
      <c r="K355" s="33">
        <v>392</v>
      </c>
      <c r="L355" s="33">
        <v>79</v>
      </c>
      <c r="M355" s="33">
        <v>539</v>
      </c>
      <c r="N355" s="33">
        <v>73</v>
      </c>
      <c r="O355" s="33">
        <v>275</v>
      </c>
      <c r="P355" s="1">
        <v>545.5</v>
      </c>
      <c r="Q355" s="1">
        <v>13</v>
      </c>
      <c r="R355" s="1">
        <v>354</v>
      </c>
    </row>
    <row r="356" spans="1:18">
      <c r="A356" s="33" t="s">
        <v>804</v>
      </c>
      <c r="B356" s="1" t="s">
        <v>122</v>
      </c>
      <c r="C356" s="1" t="s">
        <v>805</v>
      </c>
      <c r="D356" s="33">
        <v>110</v>
      </c>
      <c r="E356" s="33">
        <v>310</v>
      </c>
      <c r="F356" s="33">
        <v>101</v>
      </c>
      <c r="G356" s="33">
        <v>404</v>
      </c>
      <c r="H356" s="33">
        <v>118.5</v>
      </c>
      <c r="I356" s="33">
        <v>247</v>
      </c>
      <c r="J356" s="33">
        <v>71</v>
      </c>
      <c r="K356" s="33">
        <v>411</v>
      </c>
      <c r="L356" s="33">
        <v>86</v>
      </c>
      <c r="M356" s="33">
        <v>304</v>
      </c>
      <c r="N356" s="33">
        <v>59</v>
      </c>
      <c r="O356" s="33">
        <v>729</v>
      </c>
      <c r="P356" s="1">
        <v>545.5</v>
      </c>
      <c r="Q356" s="1">
        <v>38</v>
      </c>
      <c r="R356" s="1">
        <v>354</v>
      </c>
    </row>
    <row r="357" spans="1:18">
      <c r="A357" s="33" t="s">
        <v>806</v>
      </c>
      <c r="B357" s="1" t="s">
        <v>217</v>
      </c>
      <c r="C357" s="1" t="s">
        <v>807</v>
      </c>
      <c r="D357" s="33">
        <v>100</v>
      </c>
      <c r="E357" s="33">
        <v>715</v>
      </c>
      <c r="F357" s="33">
        <v>94</v>
      </c>
      <c r="G357" s="33">
        <v>524</v>
      </c>
      <c r="H357" s="33">
        <v>110.5</v>
      </c>
      <c r="I357" s="33">
        <v>465</v>
      </c>
      <c r="J357" s="33">
        <v>80</v>
      </c>
      <c r="K357" s="33">
        <v>211</v>
      </c>
      <c r="L357" s="33">
        <v>86</v>
      </c>
      <c r="M357" s="33">
        <v>304</v>
      </c>
      <c r="N357" s="33">
        <v>75</v>
      </c>
      <c r="O357" s="33">
        <v>219</v>
      </c>
      <c r="P357" s="1">
        <v>545.5</v>
      </c>
      <c r="Q357" s="1">
        <v>15</v>
      </c>
      <c r="R357" s="1">
        <v>354</v>
      </c>
    </row>
    <row r="358" spans="1:18">
      <c r="A358" s="33" t="s">
        <v>800</v>
      </c>
      <c r="B358" s="1" t="s">
        <v>150</v>
      </c>
      <c r="C358" s="1" t="s">
        <v>801</v>
      </c>
      <c r="D358" s="33">
        <v>104</v>
      </c>
      <c r="E358" s="33">
        <v>573</v>
      </c>
      <c r="F358" s="33">
        <v>84</v>
      </c>
      <c r="G358" s="33">
        <v>659</v>
      </c>
      <c r="H358" s="33">
        <v>111.5</v>
      </c>
      <c r="I358" s="33">
        <v>427</v>
      </c>
      <c r="J358" s="33">
        <v>69</v>
      </c>
      <c r="K358" s="33">
        <v>452</v>
      </c>
      <c r="L358" s="33">
        <v>97</v>
      </c>
      <c r="M358" s="33">
        <v>30</v>
      </c>
      <c r="N358" s="33">
        <v>80</v>
      </c>
      <c r="O358" s="33">
        <v>85</v>
      </c>
      <c r="P358" s="1">
        <v>545.5</v>
      </c>
      <c r="Q358" s="1">
        <v>27</v>
      </c>
      <c r="R358" s="1">
        <v>354</v>
      </c>
    </row>
    <row r="359" spans="1:18">
      <c r="A359" s="33" t="s">
        <v>808</v>
      </c>
      <c r="B359" s="1" t="s">
        <v>172</v>
      </c>
      <c r="C359" s="1" t="s">
        <v>809</v>
      </c>
      <c r="D359" s="33">
        <v>100</v>
      </c>
      <c r="E359" s="33">
        <v>715</v>
      </c>
      <c r="F359" s="33">
        <v>121</v>
      </c>
      <c r="G359" s="33">
        <v>131</v>
      </c>
      <c r="H359" s="33">
        <v>83.5</v>
      </c>
      <c r="I359" s="33">
        <v>877</v>
      </c>
      <c r="J359" s="33">
        <v>86</v>
      </c>
      <c r="K359" s="33">
        <v>101</v>
      </c>
      <c r="L359" s="33">
        <v>87</v>
      </c>
      <c r="M359" s="33">
        <v>268</v>
      </c>
      <c r="N359" s="33">
        <v>67</v>
      </c>
      <c r="O359" s="33">
        <v>489</v>
      </c>
      <c r="P359" s="1">
        <v>544.5</v>
      </c>
      <c r="Q359" s="1">
        <v>14</v>
      </c>
      <c r="R359" s="1">
        <v>358</v>
      </c>
    </row>
    <row r="360" spans="1:18">
      <c r="A360" s="33" t="s">
        <v>810</v>
      </c>
      <c r="B360" s="1" t="s">
        <v>203</v>
      </c>
      <c r="C360" s="1" t="s">
        <v>811</v>
      </c>
      <c r="D360" s="33">
        <v>115</v>
      </c>
      <c r="E360" s="33">
        <v>140</v>
      </c>
      <c r="F360" s="33">
        <v>95</v>
      </c>
      <c r="G360" s="33">
        <v>502</v>
      </c>
      <c r="H360" s="33">
        <v>118.5</v>
      </c>
      <c r="I360" s="33">
        <v>247</v>
      </c>
      <c r="J360" s="33">
        <v>61</v>
      </c>
      <c r="K360" s="33">
        <v>627</v>
      </c>
      <c r="L360" s="33">
        <v>86</v>
      </c>
      <c r="M360" s="33">
        <v>304</v>
      </c>
      <c r="N360" s="33">
        <v>69</v>
      </c>
      <c r="O360" s="33">
        <v>420</v>
      </c>
      <c r="P360" s="1">
        <v>544.5</v>
      </c>
      <c r="Q360" s="1">
        <v>17</v>
      </c>
      <c r="R360" s="1">
        <v>358</v>
      </c>
    </row>
    <row r="361" spans="1:18">
      <c r="A361" s="33" t="s">
        <v>812</v>
      </c>
      <c r="B361" s="1" t="s">
        <v>296</v>
      </c>
      <c r="C361" s="1" t="s">
        <v>813</v>
      </c>
      <c r="D361" s="33">
        <v>99</v>
      </c>
      <c r="E361" s="33">
        <v>754</v>
      </c>
      <c r="F361" s="33">
        <v>130</v>
      </c>
      <c r="G361" s="33">
        <v>54</v>
      </c>
      <c r="H361" s="33">
        <v>116</v>
      </c>
      <c r="I361" s="33">
        <v>309</v>
      </c>
      <c r="J361" s="33">
        <v>68</v>
      </c>
      <c r="K361" s="33">
        <v>474</v>
      </c>
      <c r="L361" s="33">
        <v>70</v>
      </c>
      <c r="M361" s="33">
        <v>787</v>
      </c>
      <c r="N361" s="33">
        <v>61</v>
      </c>
      <c r="O361" s="33">
        <v>686</v>
      </c>
      <c r="P361" s="1">
        <v>544</v>
      </c>
      <c r="Q361" s="1">
        <v>20</v>
      </c>
      <c r="R361" s="1">
        <v>360</v>
      </c>
    </row>
    <row r="362" spans="1:18">
      <c r="A362" s="33" t="s">
        <v>816</v>
      </c>
      <c r="B362" s="1" t="s">
        <v>133</v>
      </c>
      <c r="C362" s="1" t="s">
        <v>817</v>
      </c>
      <c r="D362" s="33">
        <v>107</v>
      </c>
      <c r="E362" s="33">
        <v>429</v>
      </c>
      <c r="F362" s="33">
        <v>116</v>
      </c>
      <c r="G362" s="33">
        <v>187</v>
      </c>
      <c r="H362" s="33">
        <v>67</v>
      </c>
      <c r="I362" s="33">
        <v>932</v>
      </c>
      <c r="J362" s="33">
        <v>84</v>
      </c>
      <c r="K362" s="33">
        <v>131</v>
      </c>
      <c r="L362" s="33">
        <v>88</v>
      </c>
      <c r="M362" s="33">
        <v>240</v>
      </c>
      <c r="N362" s="33">
        <v>82</v>
      </c>
      <c r="O362" s="33">
        <v>46</v>
      </c>
      <c r="P362" s="1">
        <v>544</v>
      </c>
      <c r="Q362" s="1">
        <v>25</v>
      </c>
      <c r="R362" s="1">
        <v>360</v>
      </c>
    </row>
    <row r="363" spans="1:18">
      <c r="A363" s="33" t="s">
        <v>818</v>
      </c>
      <c r="B363" s="1" t="s">
        <v>97</v>
      </c>
      <c r="C363" s="1" t="s">
        <v>819</v>
      </c>
      <c r="D363" s="33">
        <v>117</v>
      </c>
      <c r="E363" s="33">
        <v>86</v>
      </c>
      <c r="F363" s="33">
        <v>93</v>
      </c>
      <c r="G363" s="33">
        <v>541</v>
      </c>
      <c r="H363" s="33">
        <v>132</v>
      </c>
      <c r="I363" s="33">
        <v>22</v>
      </c>
      <c r="J363" s="33">
        <v>72</v>
      </c>
      <c r="K363" s="33">
        <v>392</v>
      </c>
      <c r="L363" s="33">
        <v>69</v>
      </c>
      <c r="M363" s="33">
        <v>810</v>
      </c>
      <c r="N363" s="33">
        <v>61</v>
      </c>
      <c r="O363" s="33">
        <v>686</v>
      </c>
      <c r="P363" s="1">
        <v>544</v>
      </c>
      <c r="Q363" s="1">
        <v>17</v>
      </c>
      <c r="R363" s="1">
        <v>360</v>
      </c>
    </row>
    <row r="364" spans="1:18">
      <c r="A364" s="33" t="s">
        <v>814</v>
      </c>
      <c r="B364" s="1" t="s">
        <v>172</v>
      </c>
      <c r="C364" s="1" t="s">
        <v>815</v>
      </c>
      <c r="D364" s="33">
        <v>99</v>
      </c>
      <c r="E364" s="33">
        <v>754</v>
      </c>
      <c r="F364" s="33">
        <v>85</v>
      </c>
      <c r="G364" s="33">
        <v>644</v>
      </c>
      <c r="H364" s="33">
        <v>126</v>
      </c>
      <c r="I364" s="33">
        <v>82</v>
      </c>
      <c r="J364" s="33">
        <v>75</v>
      </c>
      <c r="K364" s="33">
        <v>324</v>
      </c>
      <c r="L364" s="33">
        <v>87</v>
      </c>
      <c r="M364" s="33">
        <v>268</v>
      </c>
      <c r="N364" s="33">
        <v>72</v>
      </c>
      <c r="O364" s="33">
        <v>312</v>
      </c>
      <c r="P364" s="1">
        <v>544</v>
      </c>
      <c r="Q364" s="1">
        <v>15</v>
      </c>
      <c r="R364" s="1">
        <v>360</v>
      </c>
    </row>
    <row r="365" spans="1:18">
      <c r="A365" s="33" t="s">
        <v>820</v>
      </c>
      <c r="B365" s="1" t="s">
        <v>296</v>
      </c>
      <c r="C365" s="1" t="s">
        <v>821</v>
      </c>
      <c r="D365" s="33">
        <v>93</v>
      </c>
      <c r="E365" s="33">
        <v>868</v>
      </c>
      <c r="F365" s="33">
        <v>109</v>
      </c>
      <c r="G365" s="33">
        <v>279</v>
      </c>
      <c r="H365" s="33">
        <v>107.5</v>
      </c>
      <c r="I365" s="33">
        <v>532</v>
      </c>
      <c r="J365" s="33">
        <v>71</v>
      </c>
      <c r="K365" s="33">
        <v>411</v>
      </c>
      <c r="L365" s="33">
        <v>86</v>
      </c>
      <c r="M365" s="33">
        <v>304</v>
      </c>
      <c r="N365" s="33">
        <v>77</v>
      </c>
      <c r="O365" s="33">
        <v>162</v>
      </c>
      <c r="P365" s="1">
        <v>543.5</v>
      </c>
      <c r="Q365" s="1">
        <v>21</v>
      </c>
      <c r="R365" s="1">
        <v>364</v>
      </c>
    </row>
    <row r="366" spans="1:18">
      <c r="A366" s="33" t="s">
        <v>824</v>
      </c>
      <c r="B366" s="1" t="s">
        <v>92</v>
      </c>
      <c r="C366" s="1" t="s">
        <v>825</v>
      </c>
      <c r="D366" s="33">
        <v>114</v>
      </c>
      <c r="E366" s="33">
        <v>170</v>
      </c>
      <c r="F366" s="33">
        <v>110</v>
      </c>
      <c r="G366" s="33">
        <v>265</v>
      </c>
      <c r="H366" s="33">
        <v>90.5</v>
      </c>
      <c r="I366" s="33">
        <v>822</v>
      </c>
      <c r="J366" s="33">
        <v>66</v>
      </c>
      <c r="K366" s="33">
        <v>513</v>
      </c>
      <c r="L366" s="33">
        <v>82</v>
      </c>
      <c r="M366" s="33">
        <v>452</v>
      </c>
      <c r="N366" s="33">
        <v>80</v>
      </c>
      <c r="O366" s="33">
        <v>85</v>
      </c>
      <c r="P366" s="1">
        <v>542.5</v>
      </c>
      <c r="Q366" s="1">
        <v>17</v>
      </c>
      <c r="R366" s="1">
        <v>365</v>
      </c>
    </row>
    <row r="367" spans="1:18">
      <c r="A367" s="33" t="s">
        <v>822</v>
      </c>
      <c r="B367" s="1" t="s">
        <v>84</v>
      </c>
      <c r="C367" s="1" t="s">
        <v>823</v>
      </c>
      <c r="D367" s="33">
        <v>100</v>
      </c>
      <c r="E367" s="33">
        <v>715</v>
      </c>
      <c r="F367" s="33">
        <v>88</v>
      </c>
      <c r="G367" s="33">
        <v>602</v>
      </c>
      <c r="H367" s="33">
        <v>118.5</v>
      </c>
      <c r="I367" s="33">
        <v>247</v>
      </c>
      <c r="J367" s="33">
        <v>74</v>
      </c>
      <c r="K367" s="33">
        <v>345</v>
      </c>
      <c r="L367" s="33">
        <v>81</v>
      </c>
      <c r="M367" s="33">
        <v>474</v>
      </c>
      <c r="N367" s="33">
        <v>81</v>
      </c>
      <c r="O367" s="33">
        <v>66</v>
      </c>
      <c r="P367" s="1">
        <v>542.5</v>
      </c>
      <c r="Q367" s="1">
        <v>18</v>
      </c>
      <c r="R367" s="1">
        <v>365</v>
      </c>
    </row>
    <row r="368" spans="1:18">
      <c r="A368" s="33" t="s">
        <v>830</v>
      </c>
      <c r="B368" s="1" t="s">
        <v>106</v>
      </c>
      <c r="C368" s="1" t="s">
        <v>831</v>
      </c>
      <c r="D368" s="33">
        <v>117</v>
      </c>
      <c r="E368" s="33">
        <v>86</v>
      </c>
      <c r="F368" s="33">
        <v>120</v>
      </c>
      <c r="G368" s="33">
        <v>146</v>
      </c>
      <c r="H368" s="33">
        <v>89</v>
      </c>
      <c r="I368" s="33">
        <v>841</v>
      </c>
      <c r="J368" s="33">
        <v>68</v>
      </c>
      <c r="K368" s="33">
        <v>474</v>
      </c>
      <c r="L368" s="33">
        <v>82</v>
      </c>
      <c r="M368" s="33">
        <v>452</v>
      </c>
      <c r="N368" s="33">
        <v>66</v>
      </c>
      <c r="O368" s="33">
        <v>519</v>
      </c>
      <c r="P368" s="1">
        <v>542</v>
      </c>
      <c r="Q368" s="1">
        <v>14</v>
      </c>
      <c r="R368" s="1">
        <v>367</v>
      </c>
    </row>
    <row r="369" spans="1:18">
      <c r="A369" s="33" t="s">
        <v>826</v>
      </c>
      <c r="B369" s="1" t="s">
        <v>133</v>
      </c>
      <c r="C369" s="1" t="s">
        <v>827</v>
      </c>
      <c r="D369" s="33">
        <v>112</v>
      </c>
      <c r="E369" s="33">
        <v>226</v>
      </c>
      <c r="F369" s="33">
        <v>104</v>
      </c>
      <c r="G369" s="33">
        <v>359</v>
      </c>
      <c r="H369" s="33">
        <v>105</v>
      </c>
      <c r="I369" s="33">
        <v>578</v>
      </c>
      <c r="J369" s="33">
        <v>75</v>
      </c>
      <c r="K369" s="33">
        <v>324</v>
      </c>
      <c r="L369" s="33">
        <v>83</v>
      </c>
      <c r="M369" s="33">
        <v>407</v>
      </c>
      <c r="N369" s="33">
        <v>63</v>
      </c>
      <c r="O369" s="33">
        <v>625</v>
      </c>
      <c r="P369" s="1">
        <v>542</v>
      </c>
      <c r="Q369" s="1">
        <v>26</v>
      </c>
      <c r="R369" s="1">
        <v>367</v>
      </c>
    </row>
    <row r="370" spans="1:18">
      <c r="A370" s="33" t="s">
        <v>828</v>
      </c>
      <c r="B370" s="1" t="s">
        <v>133</v>
      </c>
      <c r="C370" s="1" t="s">
        <v>829</v>
      </c>
      <c r="D370" s="33">
        <v>106</v>
      </c>
      <c r="E370" s="33">
        <v>477</v>
      </c>
      <c r="F370" s="33">
        <v>104</v>
      </c>
      <c r="G370" s="33">
        <v>359</v>
      </c>
      <c r="H370" s="33">
        <v>104</v>
      </c>
      <c r="I370" s="33">
        <v>600</v>
      </c>
      <c r="J370" s="33">
        <v>63</v>
      </c>
      <c r="K370" s="33">
        <v>581</v>
      </c>
      <c r="L370" s="33">
        <v>89</v>
      </c>
      <c r="M370" s="33">
        <v>200</v>
      </c>
      <c r="N370" s="33">
        <v>76</v>
      </c>
      <c r="O370" s="33">
        <v>194</v>
      </c>
      <c r="P370" s="1">
        <v>542</v>
      </c>
      <c r="Q370" s="1">
        <v>26</v>
      </c>
      <c r="R370" s="1">
        <v>367</v>
      </c>
    </row>
    <row r="371" spans="1:18">
      <c r="A371" s="33" t="s">
        <v>832</v>
      </c>
      <c r="B371" s="1" t="s">
        <v>122</v>
      </c>
      <c r="C371" s="1" t="s">
        <v>833</v>
      </c>
      <c r="D371" s="33">
        <v>105</v>
      </c>
      <c r="E371" s="33">
        <v>515</v>
      </c>
      <c r="F371" s="33">
        <v>100</v>
      </c>
      <c r="G371" s="33">
        <v>422</v>
      </c>
      <c r="H371" s="33">
        <v>107</v>
      </c>
      <c r="I371" s="33">
        <v>546</v>
      </c>
      <c r="J371" s="33">
        <v>73</v>
      </c>
      <c r="K371" s="33">
        <v>370</v>
      </c>
      <c r="L371" s="33">
        <v>86</v>
      </c>
      <c r="M371" s="33">
        <v>304</v>
      </c>
      <c r="N371" s="33">
        <v>71</v>
      </c>
      <c r="O371" s="33">
        <v>342</v>
      </c>
      <c r="P371" s="1">
        <v>542</v>
      </c>
      <c r="Q371" s="1">
        <v>39</v>
      </c>
      <c r="R371" s="1">
        <v>367</v>
      </c>
    </row>
    <row r="372" spans="1:18">
      <c r="A372" s="33" t="s">
        <v>834</v>
      </c>
      <c r="B372" s="1" t="s">
        <v>203</v>
      </c>
      <c r="C372" s="1" t="s">
        <v>835</v>
      </c>
      <c r="D372" s="33">
        <v>107</v>
      </c>
      <c r="E372" s="33">
        <v>429</v>
      </c>
      <c r="F372" s="33">
        <v>94</v>
      </c>
      <c r="G372" s="33">
        <v>524</v>
      </c>
      <c r="H372" s="33">
        <v>108</v>
      </c>
      <c r="I372" s="33">
        <v>519</v>
      </c>
      <c r="J372" s="33">
        <v>79</v>
      </c>
      <c r="K372" s="33">
        <v>236</v>
      </c>
      <c r="L372" s="33">
        <v>87</v>
      </c>
      <c r="M372" s="33">
        <v>268</v>
      </c>
      <c r="N372" s="33">
        <v>67</v>
      </c>
      <c r="O372" s="33">
        <v>489</v>
      </c>
      <c r="P372" s="1">
        <v>542</v>
      </c>
      <c r="Q372" s="1">
        <v>18</v>
      </c>
      <c r="R372" s="1">
        <v>367</v>
      </c>
    </row>
    <row r="373" spans="1:18">
      <c r="A373" s="33" t="s">
        <v>838</v>
      </c>
      <c r="B373" s="1" t="s">
        <v>122</v>
      </c>
      <c r="C373" s="1" t="s">
        <v>839</v>
      </c>
      <c r="D373" s="33">
        <v>108</v>
      </c>
      <c r="E373" s="33">
        <v>391</v>
      </c>
      <c r="F373" s="33">
        <v>111</v>
      </c>
      <c r="G373" s="33">
        <v>248</v>
      </c>
      <c r="H373" s="33">
        <v>107.5</v>
      </c>
      <c r="I373" s="33">
        <v>532</v>
      </c>
      <c r="J373" s="33">
        <v>66</v>
      </c>
      <c r="K373" s="33">
        <v>513</v>
      </c>
      <c r="L373" s="33">
        <v>85</v>
      </c>
      <c r="M373" s="33">
        <v>339</v>
      </c>
      <c r="N373" s="33">
        <v>64</v>
      </c>
      <c r="O373" s="33">
        <v>593</v>
      </c>
      <c r="P373" s="1">
        <v>541.5</v>
      </c>
      <c r="Q373" s="1">
        <v>40</v>
      </c>
      <c r="R373" s="1">
        <v>372</v>
      </c>
    </row>
    <row r="374" spans="1:18">
      <c r="A374" s="33" t="s">
        <v>842</v>
      </c>
      <c r="B374" s="1" t="s">
        <v>97</v>
      </c>
      <c r="C374" s="1" t="s">
        <v>843</v>
      </c>
      <c r="D374" s="33">
        <v>113</v>
      </c>
      <c r="E374" s="33">
        <v>196</v>
      </c>
      <c r="F374" s="33">
        <v>107</v>
      </c>
      <c r="G374" s="33">
        <v>314</v>
      </c>
      <c r="H374" s="33">
        <v>95.5</v>
      </c>
      <c r="I374" s="33">
        <v>769</v>
      </c>
      <c r="J374" s="33">
        <v>68</v>
      </c>
      <c r="K374" s="33">
        <v>474</v>
      </c>
      <c r="L374" s="33">
        <v>85</v>
      </c>
      <c r="M374" s="33">
        <v>339</v>
      </c>
      <c r="N374" s="33">
        <v>73</v>
      </c>
      <c r="O374" s="33">
        <v>275</v>
      </c>
      <c r="P374" s="1">
        <v>541.5</v>
      </c>
      <c r="Q374" s="1">
        <v>18</v>
      </c>
      <c r="R374" s="1">
        <v>372</v>
      </c>
    </row>
    <row r="375" spans="1:18">
      <c r="A375" s="33" t="s">
        <v>836</v>
      </c>
      <c r="B375" s="1" t="s">
        <v>240</v>
      </c>
      <c r="C375" s="1" t="s">
        <v>837</v>
      </c>
      <c r="D375" s="33">
        <v>110</v>
      </c>
      <c r="E375" s="33">
        <v>310</v>
      </c>
      <c r="F375" s="33">
        <v>105</v>
      </c>
      <c r="G375" s="33">
        <v>341</v>
      </c>
      <c r="H375" s="33">
        <v>101.5</v>
      </c>
      <c r="I375" s="33">
        <v>654</v>
      </c>
      <c r="J375" s="33">
        <v>73</v>
      </c>
      <c r="K375" s="33">
        <v>370</v>
      </c>
      <c r="L375" s="33">
        <v>83</v>
      </c>
      <c r="M375" s="33">
        <v>407</v>
      </c>
      <c r="N375" s="33">
        <v>69</v>
      </c>
      <c r="O375" s="33">
        <v>420</v>
      </c>
      <c r="P375" s="1">
        <v>541.5</v>
      </c>
      <c r="Q375" s="1">
        <v>22</v>
      </c>
      <c r="R375" s="1">
        <v>372</v>
      </c>
    </row>
    <row r="376" spans="1:18">
      <c r="A376" s="33" t="s">
        <v>840</v>
      </c>
      <c r="B376" s="1" t="s">
        <v>217</v>
      </c>
      <c r="C376" s="1" t="s">
        <v>841</v>
      </c>
      <c r="D376" s="33">
        <v>110</v>
      </c>
      <c r="E376" s="33">
        <v>310</v>
      </c>
      <c r="F376" s="33">
        <v>84</v>
      </c>
      <c r="G376" s="33">
        <v>659</v>
      </c>
      <c r="H376" s="33">
        <v>129.5</v>
      </c>
      <c r="I376" s="33">
        <v>48</v>
      </c>
      <c r="J376" s="33">
        <v>63</v>
      </c>
      <c r="K376" s="33">
        <v>581</v>
      </c>
      <c r="L376" s="33">
        <v>78</v>
      </c>
      <c r="M376" s="33">
        <v>577</v>
      </c>
      <c r="N376" s="33">
        <v>77</v>
      </c>
      <c r="O376" s="33">
        <v>162</v>
      </c>
      <c r="P376" s="1">
        <v>541.5</v>
      </c>
      <c r="Q376" s="1">
        <v>16</v>
      </c>
      <c r="R376" s="1">
        <v>372</v>
      </c>
    </row>
    <row r="377" spans="1:18">
      <c r="A377" s="33" t="s">
        <v>844</v>
      </c>
      <c r="B377" s="1" t="s">
        <v>92</v>
      </c>
      <c r="C377" s="1" t="s">
        <v>845</v>
      </c>
      <c r="D377" s="33">
        <v>118</v>
      </c>
      <c r="E377" s="33">
        <v>69</v>
      </c>
      <c r="F377" s="33">
        <v>93</v>
      </c>
      <c r="G377" s="33">
        <v>541</v>
      </c>
      <c r="H377" s="33">
        <v>114</v>
      </c>
      <c r="I377" s="33">
        <v>356</v>
      </c>
      <c r="J377" s="33">
        <v>80</v>
      </c>
      <c r="K377" s="33">
        <v>211</v>
      </c>
      <c r="L377" s="33">
        <v>80</v>
      </c>
      <c r="M377" s="33">
        <v>511</v>
      </c>
      <c r="N377" s="33">
        <v>56</v>
      </c>
      <c r="O377" s="33">
        <v>789</v>
      </c>
      <c r="P377" s="1">
        <v>541</v>
      </c>
      <c r="Q377" s="1">
        <v>18</v>
      </c>
      <c r="R377" s="1">
        <v>376</v>
      </c>
    </row>
    <row r="378" spans="1:18">
      <c r="A378" s="33" t="s">
        <v>848</v>
      </c>
      <c r="B378" s="1" t="s">
        <v>111</v>
      </c>
      <c r="C378" s="1" t="s">
        <v>849</v>
      </c>
      <c r="D378" s="33">
        <v>112</v>
      </c>
      <c r="E378" s="33">
        <v>226</v>
      </c>
      <c r="F378" s="33">
        <v>91</v>
      </c>
      <c r="G378" s="33">
        <v>567</v>
      </c>
      <c r="H378" s="33">
        <v>129</v>
      </c>
      <c r="I378" s="33">
        <v>50</v>
      </c>
      <c r="J378" s="33">
        <v>68</v>
      </c>
      <c r="K378" s="33">
        <v>474</v>
      </c>
      <c r="L378" s="33">
        <v>85</v>
      </c>
      <c r="M378" s="33">
        <v>339</v>
      </c>
      <c r="N378" s="33">
        <v>56</v>
      </c>
      <c r="O378" s="33">
        <v>789</v>
      </c>
      <c r="P378" s="1">
        <v>541</v>
      </c>
      <c r="Q378" s="1">
        <v>16</v>
      </c>
      <c r="R378" s="1">
        <v>376</v>
      </c>
    </row>
    <row r="379" spans="1:18">
      <c r="A379" s="33" t="s">
        <v>846</v>
      </c>
      <c r="B379" s="1" t="s">
        <v>133</v>
      </c>
      <c r="C379" s="1" t="s">
        <v>847</v>
      </c>
      <c r="D379" s="33">
        <v>110</v>
      </c>
      <c r="E379" s="33">
        <v>310</v>
      </c>
      <c r="F379" s="33">
        <v>84</v>
      </c>
      <c r="G379" s="33">
        <v>659</v>
      </c>
      <c r="H379" s="33">
        <v>102</v>
      </c>
      <c r="I379" s="33">
        <v>642</v>
      </c>
      <c r="J379" s="33">
        <v>79</v>
      </c>
      <c r="K379" s="33">
        <v>236</v>
      </c>
      <c r="L379" s="33">
        <v>88</v>
      </c>
      <c r="M379" s="33">
        <v>240</v>
      </c>
      <c r="N379" s="33">
        <v>78</v>
      </c>
      <c r="O379" s="33">
        <v>133</v>
      </c>
      <c r="P379" s="1">
        <v>541</v>
      </c>
      <c r="Q379" s="1">
        <v>28</v>
      </c>
      <c r="R379" s="1">
        <v>376</v>
      </c>
    </row>
    <row r="380" spans="1:18">
      <c r="A380" s="33" t="s">
        <v>852</v>
      </c>
      <c r="B380" s="1" t="s">
        <v>249</v>
      </c>
      <c r="C380" s="1" t="s">
        <v>853</v>
      </c>
      <c r="D380" s="33">
        <v>112</v>
      </c>
      <c r="E380" s="33">
        <v>226</v>
      </c>
      <c r="F380" s="33">
        <v>97</v>
      </c>
      <c r="G380" s="33">
        <v>475</v>
      </c>
      <c r="H380" s="33">
        <v>99.5</v>
      </c>
      <c r="I380" s="33">
        <v>694</v>
      </c>
      <c r="J380" s="33">
        <v>82</v>
      </c>
      <c r="K380" s="33">
        <v>171</v>
      </c>
      <c r="L380" s="33">
        <v>78</v>
      </c>
      <c r="M380" s="33">
        <v>577</v>
      </c>
      <c r="N380" s="33">
        <v>72</v>
      </c>
      <c r="O380" s="33">
        <v>312</v>
      </c>
      <c r="P380" s="1">
        <v>540.5</v>
      </c>
      <c r="Q380" s="1">
        <v>16</v>
      </c>
      <c r="R380" s="1">
        <v>379</v>
      </c>
    </row>
    <row r="381" spans="1:18">
      <c r="A381" s="33" t="s">
        <v>854</v>
      </c>
      <c r="B381" s="1" t="s">
        <v>172</v>
      </c>
      <c r="C381" s="1" t="s">
        <v>855</v>
      </c>
      <c r="D381" s="33">
        <v>110</v>
      </c>
      <c r="E381" s="33">
        <v>310</v>
      </c>
      <c r="F381" s="33">
        <v>85</v>
      </c>
      <c r="G381" s="33">
        <v>644</v>
      </c>
      <c r="H381" s="33">
        <v>114.5</v>
      </c>
      <c r="I381" s="33">
        <v>340</v>
      </c>
      <c r="J381" s="33">
        <v>75</v>
      </c>
      <c r="K381" s="33">
        <v>324</v>
      </c>
      <c r="L381" s="33">
        <v>81</v>
      </c>
      <c r="M381" s="33">
        <v>474</v>
      </c>
      <c r="N381" s="33">
        <v>75</v>
      </c>
      <c r="O381" s="33">
        <v>219</v>
      </c>
      <c r="P381" s="1">
        <v>540.5</v>
      </c>
      <c r="Q381" s="1">
        <v>16</v>
      </c>
      <c r="R381" s="1">
        <v>379</v>
      </c>
    </row>
    <row r="382" spans="1:18">
      <c r="A382" s="33" t="s">
        <v>850</v>
      </c>
      <c r="B382" s="1" t="s">
        <v>210</v>
      </c>
      <c r="C382" s="1" t="s">
        <v>851</v>
      </c>
      <c r="D382" s="33">
        <v>105</v>
      </c>
      <c r="E382" s="33">
        <v>515</v>
      </c>
      <c r="F382" s="33">
        <v>84</v>
      </c>
      <c r="G382" s="33">
        <v>659</v>
      </c>
      <c r="H382" s="33">
        <v>114.5</v>
      </c>
      <c r="I382" s="33">
        <v>340</v>
      </c>
      <c r="J382" s="33">
        <v>87</v>
      </c>
      <c r="K382" s="33">
        <v>92</v>
      </c>
      <c r="L382" s="33">
        <v>75</v>
      </c>
      <c r="M382" s="33">
        <v>671</v>
      </c>
      <c r="N382" s="33">
        <v>75</v>
      </c>
      <c r="O382" s="33">
        <v>219</v>
      </c>
      <c r="P382" s="1">
        <v>540.5</v>
      </c>
      <c r="Q382" s="1">
        <v>21</v>
      </c>
      <c r="R382" s="1">
        <v>379</v>
      </c>
    </row>
    <row r="383" spans="1:18">
      <c r="A383" s="33" t="s">
        <v>856</v>
      </c>
      <c r="B383" s="1" t="s">
        <v>169</v>
      </c>
      <c r="C383" s="1" t="s">
        <v>857</v>
      </c>
      <c r="D383" s="33">
        <v>111</v>
      </c>
      <c r="E383" s="33">
        <v>271</v>
      </c>
      <c r="F383" s="33">
        <v>108</v>
      </c>
      <c r="G383" s="33">
        <v>297</v>
      </c>
      <c r="H383" s="33">
        <v>111</v>
      </c>
      <c r="I383" s="33">
        <v>445</v>
      </c>
      <c r="J383" s="33">
        <v>55</v>
      </c>
      <c r="K383" s="33">
        <v>748</v>
      </c>
      <c r="L383" s="33">
        <v>84</v>
      </c>
      <c r="M383" s="33">
        <v>379</v>
      </c>
      <c r="N383" s="33">
        <v>71</v>
      </c>
      <c r="O383" s="33">
        <v>342</v>
      </c>
      <c r="P383" s="1">
        <v>540</v>
      </c>
      <c r="Q383" s="1">
        <v>23</v>
      </c>
      <c r="R383" s="1">
        <v>382</v>
      </c>
    </row>
    <row r="384" spans="1:18">
      <c r="A384" s="33" t="s">
        <v>862</v>
      </c>
      <c r="B384" s="1" t="s">
        <v>203</v>
      </c>
      <c r="C384" s="1" t="s">
        <v>863</v>
      </c>
      <c r="D384" s="33">
        <v>113</v>
      </c>
      <c r="E384" s="33">
        <v>196</v>
      </c>
      <c r="F384" s="33">
        <v>95</v>
      </c>
      <c r="G384" s="33">
        <v>502</v>
      </c>
      <c r="H384" s="33">
        <v>116.5</v>
      </c>
      <c r="I384" s="33">
        <v>298</v>
      </c>
      <c r="J384" s="33">
        <v>60</v>
      </c>
      <c r="K384" s="33">
        <v>647</v>
      </c>
      <c r="L384" s="33">
        <v>92</v>
      </c>
      <c r="M384" s="33">
        <v>116</v>
      </c>
      <c r="N384" s="33">
        <v>63</v>
      </c>
      <c r="O384" s="33">
        <v>625</v>
      </c>
      <c r="P384" s="1">
        <v>539.5</v>
      </c>
      <c r="Q384" s="1">
        <v>19</v>
      </c>
      <c r="R384" s="1">
        <v>383</v>
      </c>
    </row>
    <row r="385" spans="1:18">
      <c r="A385" s="33" t="s">
        <v>860</v>
      </c>
      <c r="B385" s="1" t="s">
        <v>84</v>
      </c>
      <c r="C385" s="1" t="s">
        <v>861</v>
      </c>
      <c r="D385" s="33">
        <v>109</v>
      </c>
      <c r="E385" s="33">
        <v>353</v>
      </c>
      <c r="F385" s="33">
        <v>93</v>
      </c>
      <c r="G385" s="33">
        <v>541</v>
      </c>
      <c r="H385" s="33">
        <v>114.5</v>
      </c>
      <c r="I385" s="33">
        <v>340</v>
      </c>
      <c r="J385" s="33">
        <v>76</v>
      </c>
      <c r="K385" s="33">
        <v>302</v>
      </c>
      <c r="L385" s="33">
        <v>78</v>
      </c>
      <c r="M385" s="33">
        <v>577</v>
      </c>
      <c r="N385" s="33">
        <v>69</v>
      </c>
      <c r="O385" s="33">
        <v>420</v>
      </c>
      <c r="P385" s="1">
        <v>539.5</v>
      </c>
      <c r="Q385" s="1">
        <v>19</v>
      </c>
      <c r="R385" s="1">
        <v>383</v>
      </c>
    </row>
    <row r="386" spans="1:18">
      <c r="A386" s="33" t="s">
        <v>864</v>
      </c>
      <c r="B386" s="1" t="s">
        <v>122</v>
      </c>
      <c r="C386" s="1" t="s">
        <v>865</v>
      </c>
      <c r="D386" s="33">
        <v>104</v>
      </c>
      <c r="E386" s="33">
        <v>573</v>
      </c>
      <c r="F386" s="33">
        <v>91</v>
      </c>
      <c r="G386" s="33">
        <v>567</v>
      </c>
      <c r="H386" s="33">
        <v>117.5</v>
      </c>
      <c r="I386" s="33">
        <v>281</v>
      </c>
      <c r="J386" s="33">
        <v>82</v>
      </c>
      <c r="K386" s="33">
        <v>171</v>
      </c>
      <c r="L386" s="33">
        <v>85</v>
      </c>
      <c r="M386" s="33">
        <v>339</v>
      </c>
      <c r="N386" s="33">
        <v>60</v>
      </c>
      <c r="O386" s="33">
        <v>706</v>
      </c>
      <c r="P386" s="1">
        <v>539.5</v>
      </c>
      <c r="Q386" s="1">
        <v>41</v>
      </c>
      <c r="R386" s="1">
        <v>383</v>
      </c>
    </row>
    <row r="387" spans="1:18">
      <c r="A387" s="33" t="s">
        <v>858</v>
      </c>
      <c r="B387" s="1" t="s">
        <v>210</v>
      </c>
      <c r="C387" s="1" t="s">
        <v>859</v>
      </c>
      <c r="D387" s="33">
        <v>113</v>
      </c>
      <c r="E387" s="33">
        <v>196</v>
      </c>
      <c r="F387" s="33">
        <v>91</v>
      </c>
      <c r="G387" s="33">
        <v>567</v>
      </c>
      <c r="H387" s="33">
        <v>98.5</v>
      </c>
      <c r="I387" s="33">
        <v>719</v>
      </c>
      <c r="J387" s="33">
        <v>89</v>
      </c>
      <c r="K387" s="33">
        <v>79</v>
      </c>
      <c r="L387" s="33">
        <v>82</v>
      </c>
      <c r="M387" s="33">
        <v>452</v>
      </c>
      <c r="N387" s="33">
        <v>66</v>
      </c>
      <c r="O387" s="33">
        <v>519</v>
      </c>
      <c r="P387" s="1">
        <v>539.5</v>
      </c>
      <c r="Q387" s="1">
        <v>22</v>
      </c>
      <c r="R387" s="1">
        <v>383</v>
      </c>
    </row>
    <row r="388" spans="1:18">
      <c r="A388" s="33" t="s">
        <v>866</v>
      </c>
      <c r="B388" s="1" t="s">
        <v>133</v>
      </c>
      <c r="C388" s="1" t="s">
        <v>867</v>
      </c>
      <c r="D388" s="33">
        <v>108</v>
      </c>
      <c r="E388" s="33">
        <v>391</v>
      </c>
      <c r="F388" s="33">
        <v>84</v>
      </c>
      <c r="G388" s="33">
        <v>659</v>
      </c>
      <c r="H388" s="33">
        <v>124</v>
      </c>
      <c r="I388" s="33">
        <v>115</v>
      </c>
      <c r="J388" s="33">
        <v>68</v>
      </c>
      <c r="K388" s="33">
        <v>474</v>
      </c>
      <c r="L388" s="33">
        <v>82</v>
      </c>
      <c r="M388" s="33">
        <v>452</v>
      </c>
      <c r="N388" s="33">
        <v>73</v>
      </c>
      <c r="O388" s="33">
        <v>275</v>
      </c>
      <c r="P388" s="1">
        <v>539</v>
      </c>
      <c r="Q388" s="1">
        <v>29</v>
      </c>
      <c r="R388" s="1">
        <v>387</v>
      </c>
    </row>
    <row r="389" spans="1:18">
      <c r="A389" s="33" t="s">
        <v>876</v>
      </c>
      <c r="B389" s="1" t="s">
        <v>111</v>
      </c>
      <c r="C389" s="1" t="s">
        <v>877</v>
      </c>
      <c r="D389" s="33">
        <v>107</v>
      </c>
      <c r="E389" s="33">
        <v>429</v>
      </c>
      <c r="F389" s="33">
        <v>105</v>
      </c>
      <c r="G389" s="33">
        <v>341</v>
      </c>
      <c r="H389" s="33">
        <v>93.5</v>
      </c>
      <c r="I389" s="33">
        <v>790</v>
      </c>
      <c r="J389" s="33">
        <v>83</v>
      </c>
      <c r="K389" s="33">
        <v>153</v>
      </c>
      <c r="L389" s="33">
        <v>79</v>
      </c>
      <c r="M389" s="33">
        <v>539</v>
      </c>
      <c r="N389" s="33">
        <v>71</v>
      </c>
      <c r="O389" s="33">
        <v>342</v>
      </c>
      <c r="P389" s="1">
        <v>538.5</v>
      </c>
      <c r="Q389" s="1">
        <v>17</v>
      </c>
      <c r="R389" s="1">
        <v>388</v>
      </c>
    </row>
    <row r="390" spans="1:18">
      <c r="A390" s="33" t="s">
        <v>870</v>
      </c>
      <c r="B390" s="1" t="s">
        <v>97</v>
      </c>
      <c r="C390" s="1" t="s">
        <v>871</v>
      </c>
      <c r="D390" s="33">
        <v>114</v>
      </c>
      <c r="E390" s="33">
        <v>170</v>
      </c>
      <c r="F390" s="33">
        <v>103</v>
      </c>
      <c r="G390" s="33">
        <v>375</v>
      </c>
      <c r="H390" s="33">
        <v>98.5</v>
      </c>
      <c r="I390" s="33">
        <v>719</v>
      </c>
      <c r="J390" s="33">
        <v>69</v>
      </c>
      <c r="K390" s="33">
        <v>452</v>
      </c>
      <c r="L390" s="33">
        <v>83</v>
      </c>
      <c r="M390" s="33">
        <v>407</v>
      </c>
      <c r="N390" s="33">
        <v>71</v>
      </c>
      <c r="O390" s="33">
        <v>342</v>
      </c>
      <c r="P390" s="1">
        <v>538.5</v>
      </c>
      <c r="Q390" s="1">
        <v>19</v>
      </c>
      <c r="R390" s="1">
        <v>388</v>
      </c>
    </row>
    <row r="391" spans="1:18">
      <c r="A391" s="33" t="s">
        <v>868</v>
      </c>
      <c r="B391" s="1" t="s">
        <v>92</v>
      </c>
      <c r="C391" s="1" t="s">
        <v>869</v>
      </c>
      <c r="D391" s="33">
        <v>95</v>
      </c>
      <c r="E391" s="33">
        <v>837</v>
      </c>
      <c r="F391" s="33">
        <v>102</v>
      </c>
      <c r="G391" s="33">
        <v>387</v>
      </c>
      <c r="H391" s="33">
        <v>105.5</v>
      </c>
      <c r="I391" s="33">
        <v>568</v>
      </c>
      <c r="J391" s="33">
        <v>74</v>
      </c>
      <c r="K391" s="33">
        <v>345</v>
      </c>
      <c r="L391" s="33">
        <v>86</v>
      </c>
      <c r="M391" s="33">
        <v>304</v>
      </c>
      <c r="N391" s="33">
        <v>76</v>
      </c>
      <c r="O391" s="33">
        <v>194</v>
      </c>
      <c r="P391" s="1">
        <v>538.5</v>
      </c>
      <c r="Q391" s="1">
        <v>19</v>
      </c>
      <c r="R391" s="1">
        <v>388</v>
      </c>
    </row>
    <row r="392" spans="1:18">
      <c r="A392" s="33" t="s">
        <v>874</v>
      </c>
      <c r="B392" s="1" t="s">
        <v>169</v>
      </c>
      <c r="C392" s="1" t="s">
        <v>875</v>
      </c>
      <c r="D392" s="33">
        <v>116</v>
      </c>
      <c r="E392" s="33">
        <v>117</v>
      </c>
      <c r="F392" s="33">
        <v>98</v>
      </c>
      <c r="G392" s="33">
        <v>459</v>
      </c>
      <c r="H392" s="33">
        <v>110.5</v>
      </c>
      <c r="I392" s="33">
        <v>465</v>
      </c>
      <c r="J392" s="33">
        <v>63</v>
      </c>
      <c r="K392" s="33">
        <v>581</v>
      </c>
      <c r="L392" s="33">
        <v>83</v>
      </c>
      <c r="M392" s="33">
        <v>407</v>
      </c>
      <c r="N392" s="33">
        <v>68</v>
      </c>
      <c r="O392" s="33">
        <v>452</v>
      </c>
      <c r="P392" s="1">
        <v>538.5</v>
      </c>
      <c r="Q392" s="1">
        <v>24</v>
      </c>
      <c r="R392" s="1">
        <v>388</v>
      </c>
    </row>
    <row r="393" spans="1:18">
      <c r="A393" s="33" t="s">
        <v>872</v>
      </c>
      <c r="B393" s="1" t="s">
        <v>210</v>
      </c>
      <c r="C393" s="1" t="s">
        <v>873</v>
      </c>
      <c r="D393" s="33">
        <v>101</v>
      </c>
      <c r="E393" s="33">
        <v>688</v>
      </c>
      <c r="F393" s="33">
        <v>90</v>
      </c>
      <c r="G393" s="33">
        <v>579</v>
      </c>
      <c r="H393" s="33">
        <v>120.5</v>
      </c>
      <c r="I393" s="33">
        <v>192</v>
      </c>
      <c r="J393" s="33">
        <v>71</v>
      </c>
      <c r="K393" s="33">
        <v>411</v>
      </c>
      <c r="L393" s="33">
        <v>90</v>
      </c>
      <c r="M393" s="33">
        <v>177</v>
      </c>
      <c r="N393" s="33">
        <v>66</v>
      </c>
      <c r="O393" s="33">
        <v>519</v>
      </c>
      <c r="P393" s="1">
        <v>538.5</v>
      </c>
      <c r="Q393" s="1">
        <v>23</v>
      </c>
      <c r="R393" s="1">
        <v>388</v>
      </c>
    </row>
    <row r="394" spans="1:18">
      <c r="A394" s="33" t="s">
        <v>878</v>
      </c>
      <c r="B394" s="1" t="s">
        <v>210</v>
      </c>
      <c r="C394" s="1" t="s">
        <v>879</v>
      </c>
      <c r="D394" s="33">
        <v>106</v>
      </c>
      <c r="E394" s="33">
        <v>477</v>
      </c>
      <c r="F394" s="33">
        <v>111</v>
      </c>
      <c r="G394" s="33">
        <v>248</v>
      </c>
      <c r="H394" s="33">
        <v>92</v>
      </c>
      <c r="I394" s="33">
        <v>809</v>
      </c>
      <c r="J394" s="33">
        <v>70</v>
      </c>
      <c r="K394" s="33">
        <v>429</v>
      </c>
      <c r="L394" s="33">
        <v>92</v>
      </c>
      <c r="M394" s="33">
        <v>116</v>
      </c>
      <c r="N394" s="33">
        <v>67</v>
      </c>
      <c r="O394" s="33">
        <v>489</v>
      </c>
      <c r="P394" s="1">
        <v>538</v>
      </c>
      <c r="Q394" s="1">
        <v>24</v>
      </c>
      <c r="R394" s="1">
        <v>393</v>
      </c>
    </row>
    <row r="395" spans="1:18">
      <c r="A395" s="33" t="s">
        <v>880</v>
      </c>
      <c r="B395" s="1" t="s">
        <v>122</v>
      </c>
      <c r="C395" s="1" t="s">
        <v>881</v>
      </c>
      <c r="D395" s="33">
        <v>103</v>
      </c>
      <c r="E395" s="33">
        <v>606</v>
      </c>
      <c r="F395" s="33">
        <v>102</v>
      </c>
      <c r="G395" s="33">
        <v>387</v>
      </c>
      <c r="H395" s="33">
        <v>101</v>
      </c>
      <c r="I395" s="33">
        <v>661</v>
      </c>
      <c r="J395" s="33">
        <v>66</v>
      </c>
      <c r="K395" s="33">
        <v>513</v>
      </c>
      <c r="L395" s="33">
        <v>87</v>
      </c>
      <c r="M395" s="33">
        <v>268</v>
      </c>
      <c r="N395" s="33">
        <v>79</v>
      </c>
      <c r="O395" s="33">
        <v>103</v>
      </c>
      <c r="P395" s="1">
        <v>538</v>
      </c>
      <c r="Q395" s="1">
        <v>42</v>
      </c>
      <c r="R395" s="1">
        <v>393</v>
      </c>
    </row>
    <row r="396" spans="1:18">
      <c r="A396" s="33" t="s">
        <v>882</v>
      </c>
      <c r="B396" s="1" t="s">
        <v>122</v>
      </c>
      <c r="C396" s="1" t="s">
        <v>883</v>
      </c>
      <c r="D396" s="33">
        <v>113</v>
      </c>
      <c r="E396" s="33">
        <v>196</v>
      </c>
      <c r="F396" s="33">
        <v>93</v>
      </c>
      <c r="G396" s="33">
        <v>541</v>
      </c>
      <c r="H396" s="33">
        <v>127</v>
      </c>
      <c r="I396" s="33">
        <v>72</v>
      </c>
      <c r="J396" s="33">
        <v>48</v>
      </c>
      <c r="K396" s="33">
        <v>854</v>
      </c>
      <c r="L396" s="33">
        <v>88</v>
      </c>
      <c r="M396" s="33">
        <v>240</v>
      </c>
      <c r="N396" s="33">
        <v>69</v>
      </c>
      <c r="O396" s="33">
        <v>420</v>
      </c>
      <c r="P396" s="1">
        <v>538</v>
      </c>
      <c r="Q396" s="1">
        <v>42</v>
      </c>
      <c r="R396" s="1">
        <v>393</v>
      </c>
    </row>
    <row r="397" spans="1:18">
      <c r="A397" s="33" t="s">
        <v>890</v>
      </c>
      <c r="B397" s="1" t="s">
        <v>240</v>
      </c>
      <c r="C397" s="1" t="s">
        <v>891</v>
      </c>
      <c r="D397" s="33">
        <v>72</v>
      </c>
      <c r="E397" s="33">
        <v>947</v>
      </c>
      <c r="F397" s="33">
        <v>125</v>
      </c>
      <c r="G397" s="33">
        <v>94</v>
      </c>
      <c r="H397" s="33">
        <v>102.5</v>
      </c>
      <c r="I397" s="33">
        <v>635</v>
      </c>
      <c r="J397" s="33">
        <v>73</v>
      </c>
      <c r="K397" s="33">
        <v>370</v>
      </c>
      <c r="L397" s="33">
        <v>90</v>
      </c>
      <c r="M397" s="33">
        <v>177</v>
      </c>
      <c r="N397" s="33">
        <v>75</v>
      </c>
      <c r="O397" s="33">
        <v>219</v>
      </c>
      <c r="P397" s="1">
        <v>537.5</v>
      </c>
      <c r="Q397" s="1">
        <v>23</v>
      </c>
      <c r="R397" s="1">
        <v>396</v>
      </c>
    </row>
    <row r="398" spans="1:18">
      <c r="A398" s="33" t="s">
        <v>886</v>
      </c>
      <c r="B398" s="1" t="s">
        <v>133</v>
      </c>
      <c r="C398" s="1" t="s">
        <v>887</v>
      </c>
      <c r="D398" s="33">
        <v>111</v>
      </c>
      <c r="E398" s="33">
        <v>271</v>
      </c>
      <c r="F398" s="33">
        <v>95</v>
      </c>
      <c r="G398" s="33">
        <v>502</v>
      </c>
      <c r="H398" s="33">
        <v>113.5</v>
      </c>
      <c r="I398" s="33">
        <v>374</v>
      </c>
      <c r="J398" s="33">
        <v>61</v>
      </c>
      <c r="K398" s="33">
        <v>627</v>
      </c>
      <c r="L398" s="33">
        <v>89</v>
      </c>
      <c r="M398" s="33">
        <v>200</v>
      </c>
      <c r="N398" s="33">
        <v>68</v>
      </c>
      <c r="O398" s="33">
        <v>452</v>
      </c>
      <c r="P398" s="1">
        <v>537.5</v>
      </c>
      <c r="Q398" s="1">
        <v>30</v>
      </c>
      <c r="R398" s="1">
        <v>396</v>
      </c>
    </row>
    <row r="399" spans="1:18">
      <c r="A399" s="33" t="s">
        <v>884</v>
      </c>
      <c r="B399" s="1" t="s">
        <v>249</v>
      </c>
      <c r="C399" s="1" t="s">
        <v>885</v>
      </c>
      <c r="D399" s="33">
        <v>113</v>
      </c>
      <c r="E399" s="33">
        <v>196</v>
      </c>
      <c r="F399" s="33">
        <v>83</v>
      </c>
      <c r="G399" s="33">
        <v>668</v>
      </c>
      <c r="H399" s="33">
        <v>121.5</v>
      </c>
      <c r="I399" s="33">
        <v>160</v>
      </c>
      <c r="J399" s="33">
        <v>80</v>
      </c>
      <c r="K399" s="33">
        <v>211</v>
      </c>
      <c r="L399" s="33">
        <v>74</v>
      </c>
      <c r="M399" s="33">
        <v>702</v>
      </c>
      <c r="N399" s="33">
        <v>66</v>
      </c>
      <c r="O399" s="33">
        <v>519</v>
      </c>
      <c r="P399" s="1">
        <v>537.5</v>
      </c>
      <c r="Q399" s="1">
        <v>17</v>
      </c>
      <c r="R399" s="1">
        <v>396</v>
      </c>
    </row>
    <row r="400" spans="1:18">
      <c r="A400" s="33" t="s">
        <v>888</v>
      </c>
      <c r="B400" s="1" t="s">
        <v>111</v>
      </c>
      <c r="C400" s="1" t="s">
        <v>889</v>
      </c>
      <c r="D400" s="33">
        <v>115</v>
      </c>
      <c r="E400" s="33">
        <v>140</v>
      </c>
      <c r="F400" s="33">
        <v>79</v>
      </c>
      <c r="G400" s="33">
        <v>714</v>
      </c>
      <c r="H400" s="33">
        <v>134.5</v>
      </c>
      <c r="I400" s="33">
        <v>10</v>
      </c>
      <c r="J400" s="33">
        <v>63</v>
      </c>
      <c r="K400" s="33">
        <v>581</v>
      </c>
      <c r="L400" s="33">
        <v>82</v>
      </c>
      <c r="M400" s="33">
        <v>452</v>
      </c>
      <c r="N400" s="33">
        <v>64</v>
      </c>
      <c r="O400" s="33">
        <v>593</v>
      </c>
      <c r="P400" s="1">
        <v>537.5</v>
      </c>
      <c r="Q400" s="1">
        <v>18</v>
      </c>
      <c r="R400" s="1">
        <v>396</v>
      </c>
    </row>
    <row r="401" spans="1:18">
      <c r="A401" s="33" t="s">
        <v>892</v>
      </c>
      <c r="B401" s="1" t="s">
        <v>203</v>
      </c>
      <c r="C401" s="1" t="s">
        <v>893</v>
      </c>
      <c r="D401" s="33">
        <v>108</v>
      </c>
      <c r="E401" s="33">
        <v>391</v>
      </c>
      <c r="F401" s="33">
        <v>113</v>
      </c>
      <c r="G401" s="33">
        <v>225</v>
      </c>
      <c r="H401" s="33">
        <v>117</v>
      </c>
      <c r="I401" s="33">
        <v>291</v>
      </c>
      <c r="J401" s="33">
        <v>61</v>
      </c>
      <c r="K401" s="33">
        <v>627</v>
      </c>
      <c r="L401" s="33">
        <v>74</v>
      </c>
      <c r="M401" s="33">
        <v>702</v>
      </c>
      <c r="N401" s="33">
        <v>64</v>
      </c>
      <c r="O401" s="33">
        <v>593</v>
      </c>
      <c r="P401" s="1">
        <v>537</v>
      </c>
      <c r="Q401" s="1">
        <v>20</v>
      </c>
      <c r="R401" s="1">
        <v>400</v>
      </c>
    </row>
    <row r="402" spans="1:18">
      <c r="A402" s="33" t="s">
        <v>898</v>
      </c>
      <c r="B402" s="1" t="s">
        <v>217</v>
      </c>
      <c r="C402" s="1" t="s">
        <v>899</v>
      </c>
      <c r="D402" s="33">
        <v>116</v>
      </c>
      <c r="E402" s="33">
        <v>117</v>
      </c>
      <c r="F402" s="33">
        <v>107</v>
      </c>
      <c r="G402" s="33">
        <v>314</v>
      </c>
      <c r="H402" s="33">
        <v>102</v>
      </c>
      <c r="I402" s="33">
        <v>642</v>
      </c>
      <c r="J402" s="33">
        <v>61</v>
      </c>
      <c r="K402" s="33">
        <v>627</v>
      </c>
      <c r="L402" s="33">
        <v>85</v>
      </c>
      <c r="M402" s="33">
        <v>339</v>
      </c>
      <c r="N402" s="33">
        <v>66</v>
      </c>
      <c r="O402" s="33">
        <v>519</v>
      </c>
      <c r="P402" s="1">
        <v>537</v>
      </c>
      <c r="Q402" s="1">
        <v>17</v>
      </c>
      <c r="R402" s="1">
        <v>400</v>
      </c>
    </row>
    <row r="403" spans="1:18">
      <c r="A403" s="33" t="s">
        <v>900</v>
      </c>
      <c r="B403" s="1" t="s">
        <v>122</v>
      </c>
      <c r="C403" s="1" t="s">
        <v>901</v>
      </c>
      <c r="D403" s="33">
        <v>96</v>
      </c>
      <c r="E403" s="33">
        <v>814</v>
      </c>
      <c r="F403" s="33">
        <v>101</v>
      </c>
      <c r="G403" s="33">
        <v>404</v>
      </c>
      <c r="H403" s="33">
        <v>117</v>
      </c>
      <c r="I403" s="33">
        <v>291</v>
      </c>
      <c r="J403" s="33">
        <v>71</v>
      </c>
      <c r="K403" s="33">
        <v>411</v>
      </c>
      <c r="L403" s="33">
        <v>88</v>
      </c>
      <c r="M403" s="33">
        <v>240</v>
      </c>
      <c r="N403" s="33">
        <v>64</v>
      </c>
      <c r="O403" s="33">
        <v>593</v>
      </c>
      <c r="P403" s="1">
        <v>537</v>
      </c>
      <c r="Q403" s="1">
        <v>44</v>
      </c>
      <c r="R403" s="1">
        <v>400</v>
      </c>
    </row>
    <row r="404" spans="1:18">
      <c r="A404" s="33" t="s">
        <v>896</v>
      </c>
      <c r="B404" s="1" t="s">
        <v>97</v>
      </c>
      <c r="C404" s="1" t="s">
        <v>897</v>
      </c>
      <c r="D404" s="33">
        <v>98</v>
      </c>
      <c r="E404" s="33">
        <v>774</v>
      </c>
      <c r="F404" s="33">
        <v>98</v>
      </c>
      <c r="G404" s="33">
        <v>459</v>
      </c>
      <c r="H404" s="33">
        <v>105</v>
      </c>
      <c r="I404" s="33">
        <v>578</v>
      </c>
      <c r="J404" s="33">
        <v>72</v>
      </c>
      <c r="K404" s="33">
        <v>392</v>
      </c>
      <c r="L404" s="33">
        <v>87</v>
      </c>
      <c r="M404" s="33">
        <v>268</v>
      </c>
      <c r="N404" s="33">
        <v>77</v>
      </c>
      <c r="O404" s="33">
        <v>162</v>
      </c>
      <c r="P404" s="1">
        <v>537</v>
      </c>
      <c r="Q404" s="1">
        <v>20</v>
      </c>
      <c r="R404" s="1">
        <v>400</v>
      </c>
    </row>
    <row r="405" spans="1:18">
      <c r="A405" s="33" t="s">
        <v>894</v>
      </c>
      <c r="B405" s="1" t="s">
        <v>97</v>
      </c>
      <c r="C405" s="1" t="s">
        <v>895</v>
      </c>
      <c r="D405" s="33">
        <v>102</v>
      </c>
      <c r="E405" s="33">
        <v>655</v>
      </c>
      <c r="F405" s="33">
        <v>86</v>
      </c>
      <c r="G405" s="33">
        <v>627</v>
      </c>
      <c r="H405" s="33">
        <v>98</v>
      </c>
      <c r="I405" s="33">
        <v>728</v>
      </c>
      <c r="J405" s="33">
        <v>92</v>
      </c>
      <c r="K405" s="33">
        <v>48</v>
      </c>
      <c r="L405" s="33">
        <v>85</v>
      </c>
      <c r="M405" s="33">
        <v>339</v>
      </c>
      <c r="N405" s="33">
        <v>74</v>
      </c>
      <c r="O405" s="33">
        <v>247</v>
      </c>
      <c r="P405" s="1">
        <v>537</v>
      </c>
      <c r="Q405" s="1">
        <v>20</v>
      </c>
      <c r="R405" s="1">
        <v>400</v>
      </c>
    </row>
    <row r="406" spans="1:18">
      <c r="A406" s="33" t="s">
        <v>902</v>
      </c>
      <c r="B406" s="1" t="s">
        <v>150</v>
      </c>
      <c r="C406" s="1" t="s">
        <v>903</v>
      </c>
      <c r="D406" s="33">
        <v>104</v>
      </c>
      <c r="E406" s="33">
        <v>573</v>
      </c>
      <c r="F406" s="33">
        <v>79</v>
      </c>
      <c r="G406" s="33">
        <v>714</v>
      </c>
      <c r="H406" s="33">
        <v>127.5</v>
      </c>
      <c r="I406" s="33">
        <v>63</v>
      </c>
      <c r="J406" s="33">
        <v>59</v>
      </c>
      <c r="K406" s="33">
        <v>672</v>
      </c>
      <c r="L406" s="33">
        <v>94</v>
      </c>
      <c r="M406" s="33">
        <v>78</v>
      </c>
      <c r="N406" s="33">
        <v>73</v>
      </c>
      <c r="O406" s="33">
        <v>275</v>
      </c>
      <c r="P406" s="1">
        <v>536.5</v>
      </c>
      <c r="Q406" s="1">
        <v>28</v>
      </c>
      <c r="R406" s="1">
        <v>405</v>
      </c>
    </row>
    <row r="407" spans="1:18">
      <c r="A407" s="33" t="s">
        <v>904</v>
      </c>
      <c r="B407" s="1" t="s">
        <v>92</v>
      </c>
      <c r="C407" s="1" t="s">
        <v>905</v>
      </c>
      <c r="D407" s="33">
        <v>102</v>
      </c>
      <c r="E407" s="33">
        <v>655</v>
      </c>
      <c r="F407" s="33">
        <v>99</v>
      </c>
      <c r="G407" s="33">
        <v>437</v>
      </c>
      <c r="H407" s="33">
        <v>121</v>
      </c>
      <c r="I407" s="33">
        <v>173</v>
      </c>
      <c r="J407" s="33">
        <v>67</v>
      </c>
      <c r="K407" s="33">
        <v>497</v>
      </c>
      <c r="L407" s="33">
        <v>81</v>
      </c>
      <c r="M407" s="33">
        <v>474</v>
      </c>
      <c r="N407" s="33">
        <v>66</v>
      </c>
      <c r="O407" s="33">
        <v>519</v>
      </c>
      <c r="P407" s="1">
        <v>536</v>
      </c>
      <c r="Q407" s="1">
        <v>20</v>
      </c>
      <c r="R407" s="1">
        <v>406</v>
      </c>
    </row>
    <row r="408" spans="1:18">
      <c r="A408" s="33" t="s">
        <v>906</v>
      </c>
      <c r="B408" s="1" t="s">
        <v>122</v>
      </c>
      <c r="C408" s="1" t="s">
        <v>907</v>
      </c>
      <c r="D408" s="33">
        <v>112</v>
      </c>
      <c r="E408" s="33">
        <v>226</v>
      </c>
      <c r="F408" s="33">
        <v>96</v>
      </c>
      <c r="G408" s="33">
        <v>484</v>
      </c>
      <c r="H408" s="33">
        <v>110</v>
      </c>
      <c r="I408" s="33">
        <v>478</v>
      </c>
      <c r="J408" s="33">
        <v>58</v>
      </c>
      <c r="K408" s="33">
        <v>698</v>
      </c>
      <c r="L408" s="33">
        <v>90</v>
      </c>
      <c r="M408" s="33">
        <v>177</v>
      </c>
      <c r="N408" s="33">
        <v>70</v>
      </c>
      <c r="O408" s="33">
        <v>380</v>
      </c>
      <c r="P408" s="1">
        <v>536</v>
      </c>
      <c r="Q408" s="1">
        <v>45</v>
      </c>
      <c r="R408" s="1">
        <v>406</v>
      </c>
    </row>
    <row r="409" spans="1:18">
      <c r="A409" s="33" t="s">
        <v>910</v>
      </c>
      <c r="B409" s="1" t="s">
        <v>210</v>
      </c>
      <c r="C409" s="1" t="s">
        <v>911</v>
      </c>
      <c r="D409" s="33">
        <v>115</v>
      </c>
      <c r="E409" s="33">
        <v>140</v>
      </c>
      <c r="F409" s="33">
        <v>106</v>
      </c>
      <c r="G409" s="33">
        <v>323</v>
      </c>
      <c r="H409" s="33">
        <v>101.5</v>
      </c>
      <c r="I409" s="33">
        <v>654</v>
      </c>
      <c r="J409" s="33">
        <v>69</v>
      </c>
      <c r="K409" s="33">
        <v>452</v>
      </c>
      <c r="L409" s="33">
        <v>76</v>
      </c>
      <c r="M409" s="33">
        <v>642</v>
      </c>
      <c r="N409" s="33">
        <v>68</v>
      </c>
      <c r="O409" s="33">
        <v>452</v>
      </c>
      <c r="P409" s="1">
        <v>535.5</v>
      </c>
      <c r="Q409" s="1">
        <v>25</v>
      </c>
      <c r="R409" s="1">
        <v>408</v>
      </c>
    </row>
    <row r="410" spans="1:18">
      <c r="A410" s="33" t="s">
        <v>908</v>
      </c>
      <c r="B410" s="1" t="s">
        <v>122</v>
      </c>
      <c r="C410" s="1" t="s">
        <v>909</v>
      </c>
      <c r="D410" s="33">
        <v>103</v>
      </c>
      <c r="E410" s="33">
        <v>606</v>
      </c>
      <c r="F410" s="33">
        <v>78</v>
      </c>
      <c r="G410" s="33">
        <v>730</v>
      </c>
      <c r="H410" s="33">
        <v>121.5</v>
      </c>
      <c r="I410" s="33">
        <v>160</v>
      </c>
      <c r="J410" s="33">
        <v>63</v>
      </c>
      <c r="K410" s="33">
        <v>581</v>
      </c>
      <c r="L410" s="33">
        <v>89</v>
      </c>
      <c r="M410" s="33">
        <v>200</v>
      </c>
      <c r="N410" s="33">
        <v>81</v>
      </c>
      <c r="O410" s="33">
        <v>66</v>
      </c>
      <c r="P410" s="1">
        <v>535.5</v>
      </c>
      <c r="Q410" s="1">
        <v>46</v>
      </c>
      <c r="R410" s="1">
        <v>408</v>
      </c>
    </row>
    <row r="411" spans="1:18">
      <c r="A411" s="33" t="s">
        <v>912</v>
      </c>
      <c r="B411" s="1" t="s">
        <v>92</v>
      </c>
      <c r="C411" s="1" t="s">
        <v>913</v>
      </c>
      <c r="D411" s="33">
        <v>95</v>
      </c>
      <c r="E411" s="33">
        <v>837</v>
      </c>
      <c r="F411" s="33">
        <v>103</v>
      </c>
      <c r="G411" s="33">
        <v>375</v>
      </c>
      <c r="H411" s="33">
        <v>100</v>
      </c>
      <c r="I411" s="33">
        <v>680</v>
      </c>
      <c r="J411" s="33">
        <v>83</v>
      </c>
      <c r="K411" s="33">
        <v>153</v>
      </c>
      <c r="L411" s="33">
        <v>93</v>
      </c>
      <c r="M411" s="33">
        <v>93</v>
      </c>
      <c r="N411" s="33">
        <v>61</v>
      </c>
      <c r="O411" s="33">
        <v>686</v>
      </c>
      <c r="P411" s="1">
        <v>535</v>
      </c>
      <c r="Q411" s="1">
        <v>21</v>
      </c>
      <c r="R411" s="1">
        <v>410</v>
      </c>
    </row>
    <row r="412" spans="1:18">
      <c r="A412" s="33" t="s">
        <v>914</v>
      </c>
      <c r="B412" s="1" t="s">
        <v>106</v>
      </c>
      <c r="C412" s="1" t="s">
        <v>915</v>
      </c>
      <c r="D412" s="33">
        <v>110</v>
      </c>
      <c r="E412" s="33">
        <v>310</v>
      </c>
      <c r="F412" s="33">
        <v>95</v>
      </c>
      <c r="G412" s="33">
        <v>502</v>
      </c>
      <c r="H412" s="33">
        <v>111.5</v>
      </c>
      <c r="I412" s="33">
        <v>427</v>
      </c>
      <c r="J412" s="33">
        <v>77</v>
      </c>
      <c r="K412" s="33">
        <v>278</v>
      </c>
      <c r="L412" s="33">
        <v>79</v>
      </c>
      <c r="M412" s="33">
        <v>539</v>
      </c>
      <c r="N412" s="33">
        <v>62</v>
      </c>
      <c r="O412" s="33">
        <v>657</v>
      </c>
      <c r="P412" s="1">
        <v>534.5</v>
      </c>
      <c r="Q412" s="1">
        <v>15</v>
      </c>
      <c r="R412" s="1">
        <v>411</v>
      </c>
    </row>
    <row r="413" spans="1:18">
      <c r="A413" s="33" t="s">
        <v>916</v>
      </c>
      <c r="B413" s="1" t="s">
        <v>240</v>
      </c>
      <c r="C413" s="1" t="s">
        <v>917</v>
      </c>
      <c r="D413" s="33">
        <v>96</v>
      </c>
      <c r="E413" s="33">
        <v>814</v>
      </c>
      <c r="F413" s="33">
        <v>89</v>
      </c>
      <c r="G413" s="33">
        <v>588</v>
      </c>
      <c r="H413" s="33">
        <v>118</v>
      </c>
      <c r="I413" s="33">
        <v>263</v>
      </c>
      <c r="J413" s="33">
        <v>86</v>
      </c>
      <c r="K413" s="33">
        <v>101</v>
      </c>
      <c r="L413" s="33">
        <v>78</v>
      </c>
      <c r="M413" s="33">
        <v>577</v>
      </c>
      <c r="N413" s="33">
        <v>67</v>
      </c>
      <c r="O413" s="33">
        <v>489</v>
      </c>
      <c r="P413" s="1">
        <v>534</v>
      </c>
      <c r="Q413" s="1">
        <v>24</v>
      </c>
      <c r="R413" s="1">
        <v>412</v>
      </c>
    </row>
    <row r="414" spans="1:18">
      <c r="A414" s="33" t="s">
        <v>918</v>
      </c>
      <c r="B414" s="1" t="s">
        <v>84</v>
      </c>
      <c r="C414" s="1" t="s">
        <v>919</v>
      </c>
      <c r="D414" s="33">
        <v>105</v>
      </c>
      <c r="E414" s="33">
        <v>515</v>
      </c>
      <c r="F414" s="33">
        <v>92</v>
      </c>
      <c r="G414" s="33">
        <v>558</v>
      </c>
      <c r="H414" s="33">
        <v>98.5</v>
      </c>
      <c r="I414" s="33">
        <v>719</v>
      </c>
      <c r="J414" s="33">
        <v>84</v>
      </c>
      <c r="K414" s="33">
        <v>131</v>
      </c>
      <c r="L414" s="33">
        <v>91</v>
      </c>
      <c r="M414" s="33">
        <v>151</v>
      </c>
      <c r="N414" s="33">
        <v>63</v>
      </c>
      <c r="O414" s="33">
        <v>625</v>
      </c>
      <c r="P414" s="1">
        <v>533.5</v>
      </c>
      <c r="Q414" s="1">
        <v>20</v>
      </c>
      <c r="R414" s="1">
        <v>413</v>
      </c>
    </row>
    <row r="415" spans="1:18">
      <c r="A415" s="33" t="s">
        <v>920</v>
      </c>
      <c r="B415" s="1" t="s">
        <v>122</v>
      </c>
      <c r="C415" s="1" t="s">
        <v>921</v>
      </c>
      <c r="D415" s="33">
        <v>102</v>
      </c>
      <c r="E415" s="33">
        <v>655</v>
      </c>
      <c r="F415" s="33">
        <v>86</v>
      </c>
      <c r="G415" s="33">
        <v>627</v>
      </c>
      <c r="H415" s="33">
        <v>116.5</v>
      </c>
      <c r="I415" s="33">
        <v>298</v>
      </c>
      <c r="J415" s="33">
        <v>80</v>
      </c>
      <c r="K415" s="33">
        <v>211</v>
      </c>
      <c r="L415" s="33">
        <v>85</v>
      </c>
      <c r="M415" s="33">
        <v>339</v>
      </c>
      <c r="N415" s="33">
        <v>64</v>
      </c>
      <c r="O415" s="33">
        <v>593</v>
      </c>
      <c r="P415" s="1">
        <v>533.5</v>
      </c>
      <c r="Q415" s="1">
        <v>47</v>
      </c>
      <c r="R415" s="1">
        <v>413</v>
      </c>
    </row>
    <row r="416" spans="1:18">
      <c r="A416" s="33" t="s">
        <v>926</v>
      </c>
      <c r="B416" s="1" t="s">
        <v>240</v>
      </c>
      <c r="C416" s="1" t="s">
        <v>927</v>
      </c>
      <c r="D416" s="33">
        <v>98</v>
      </c>
      <c r="E416" s="33">
        <v>774</v>
      </c>
      <c r="F416" s="33">
        <v>115</v>
      </c>
      <c r="G416" s="33">
        <v>196</v>
      </c>
      <c r="H416" s="33">
        <v>108</v>
      </c>
      <c r="I416" s="33">
        <v>519</v>
      </c>
      <c r="J416" s="33">
        <v>69</v>
      </c>
      <c r="K416" s="33">
        <v>452</v>
      </c>
      <c r="L416" s="33">
        <v>80</v>
      </c>
      <c r="M416" s="33">
        <v>511</v>
      </c>
      <c r="N416" s="33">
        <v>63</v>
      </c>
      <c r="O416" s="33">
        <v>625</v>
      </c>
      <c r="P416" s="1">
        <v>533</v>
      </c>
      <c r="Q416" s="1">
        <v>25</v>
      </c>
      <c r="R416" s="1">
        <v>415</v>
      </c>
    </row>
    <row r="417" spans="1:18">
      <c r="A417" s="33" t="s">
        <v>922</v>
      </c>
      <c r="B417" s="1" t="s">
        <v>92</v>
      </c>
      <c r="C417" s="1" t="s">
        <v>923</v>
      </c>
      <c r="D417" s="33">
        <v>111</v>
      </c>
      <c r="E417" s="33">
        <v>271</v>
      </c>
      <c r="F417" s="33">
        <v>109</v>
      </c>
      <c r="G417" s="33">
        <v>279</v>
      </c>
      <c r="H417" s="33">
        <v>120</v>
      </c>
      <c r="I417" s="33">
        <v>211</v>
      </c>
      <c r="J417" s="33">
        <v>50</v>
      </c>
      <c r="K417" s="33">
        <v>826</v>
      </c>
      <c r="L417" s="33">
        <v>78</v>
      </c>
      <c r="M417" s="33">
        <v>577</v>
      </c>
      <c r="N417" s="33">
        <v>65</v>
      </c>
      <c r="O417" s="33">
        <v>554</v>
      </c>
      <c r="P417" s="1">
        <v>533</v>
      </c>
      <c r="Q417" s="1">
        <v>22</v>
      </c>
      <c r="R417" s="1">
        <v>415</v>
      </c>
    </row>
    <row r="418" spans="1:18">
      <c r="A418" s="33" t="s">
        <v>924</v>
      </c>
      <c r="B418" s="1" t="s">
        <v>296</v>
      </c>
      <c r="C418" s="1" t="s">
        <v>925</v>
      </c>
      <c r="D418" s="33">
        <v>104</v>
      </c>
      <c r="E418" s="33">
        <v>573</v>
      </c>
      <c r="F418" s="33">
        <v>94</v>
      </c>
      <c r="G418" s="33">
        <v>524</v>
      </c>
      <c r="H418" s="33">
        <v>112</v>
      </c>
      <c r="I418" s="33">
        <v>413</v>
      </c>
      <c r="J418" s="33">
        <v>74</v>
      </c>
      <c r="K418" s="33">
        <v>345</v>
      </c>
      <c r="L418" s="33">
        <v>90</v>
      </c>
      <c r="M418" s="33">
        <v>177</v>
      </c>
      <c r="N418" s="33">
        <v>59</v>
      </c>
      <c r="O418" s="33">
        <v>729</v>
      </c>
      <c r="P418" s="1">
        <v>533</v>
      </c>
      <c r="Q418" s="1">
        <v>22</v>
      </c>
      <c r="R418" s="1">
        <v>415</v>
      </c>
    </row>
    <row r="419" spans="1:18">
      <c r="A419" s="33" t="s">
        <v>934</v>
      </c>
      <c r="B419" s="1" t="s">
        <v>249</v>
      </c>
      <c r="C419" s="1" t="s">
        <v>935</v>
      </c>
      <c r="D419" s="33">
        <v>105</v>
      </c>
      <c r="E419" s="33">
        <v>515</v>
      </c>
      <c r="F419" s="33">
        <v>117</v>
      </c>
      <c r="G419" s="33">
        <v>174</v>
      </c>
      <c r="H419" s="33">
        <v>93.5</v>
      </c>
      <c r="I419" s="33">
        <v>790</v>
      </c>
      <c r="J419" s="33">
        <v>79</v>
      </c>
      <c r="K419" s="33">
        <v>236</v>
      </c>
      <c r="L419" s="33">
        <v>80</v>
      </c>
      <c r="M419" s="33">
        <v>511</v>
      </c>
      <c r="N419" s="33">
        <v>58</v>
      </c>
      <c r="O419" s="33">
        <v>754</v>
      </c>
      <c r="P419" s="1">
        <v>532.5</v>
      </c>
      <c r="Q419" s="1">
        <v>18</v>
      </c>
      <c r="R419" s="1">
        <v>418</v>
      </c>
    </row>
    <row r="420" spans="1:18">
      <c r="A420" s="33" t="s">
        <v>930</v>
      </c>
      <c r="B420" s="1" t="s">
        <v>111</v>
      </c>
      <c r="C420" s="1" t="s">
        <v>931</v>
      </c>
      <c r="D420" s="33">
        <v>113</v>
      </c>
      <c r="E420" s="33">
        <v>196</v>
      </c>
      <c r="F420" s="33">
        <v>100</v>
      </c>
      <c r="G420" s="33">
        <v>422</v>
      </c>
      <c r="H420" s="33">
        <v>116.5</v>
      </c>
      <c r="I420" s="33">
        <v>298</v>
      </c>
      <c r="J420" s="33">
        <v>52</v>
      </c>
      <c r="K420" s="33">
        <v>798</v>
      </c>
      <c r="L420" s="33">
        <v>84</v>
      </c>
      <c r="M420" s="33">
        <v>379</v>
      </c>
      <c r="N420" s="33">
        <v>67</v>
      </c>
      <c r="O420" s="33">
        <v>489</v>
      </c>
      <c r="P420" s="1">
        <v>532.5</v>
      </c>
      <c r="Q420" s="1">
        <v>19</v>
      </c>
      <c r="R420" s="1">
        <v>418</v>
      </c>
    </row>
    <row r="421" spans="1:18">
      <c r="A421" s="33" t="s">
        <v>928</v>
      </c>
      <c r="B421" s="1" t="s">
        <v>169</v>
      </c>
      <c r="C421" s="1" t="s">
        <v>929</v>
      </c>
      <c r="D421" s="33">
        <v>106</v>
      </c>
      <c r="E421" s="33">
        <v>477</v>
      </c>
      <c r="F421" s="33">
        <v>94</v>
      </c>
      <c r="G421" s="33">
        <v>524</v>
      </c>
      <c r="H421" s="33">
        <v>113.5</v>
      </c>
      <c r="I421" s="33">
        <v>374</v>
      </c>
      <c r="J421" s="33">
        <v>56</v>
      </c>
      <c r="K421" s="33">
        <v>731</v>
      </c>
      <c r="L421" s="33">
        <v>89</v>
      </c>
      <c r="M421" s="33">
        <v>200</v>
      </c>
      <c r="N421" s="33">
        <v>74</v>
      </c>
      <c r="O421" s="33">
        <v>247</v>
      </c>
      <c r="P421" s="1">
        <v>532.5</v>
      </c>
      <c r="Q421" s="1">
        <v>25</v>
      </c>
      <c r="R421" s="1">
        <v>418</v>
      </c>
    </row>
    <row r="422" spans="1:18">
      <c r="A422" s="33" t="s">
        <v>932</v>
      </c>
      <c r="B422" s="1" t="s">
        <v>84</v>
      </c>
      <c r="C422" s="1" t="s">
        <v>933</v>
      </c>
      <c r="D422" s="33">
        <v>122</v>
      </c>
      <c r="E422" s="33">
        <v>25</v>
      </c>
      <c r="F422" s="33">
        <v>60</v>
      </c>
      <c r="G422" s="33">
        <v>885</v>
      </c>
      <c r="H422" s="33">
        <v>117.5</v>
      </c>
      <c r="I422" s="33">
        <v>281</v>
      </c>
      <c r="J422" s="33">
        <v>76</v>
      </c>
      <c r="K422" s="33">
        <v>302</v>
      </c>
      <c r="L422" s="33">
        <v>87</v>
      </c>
      <c r="M422" s="33">
        <v>268</v>
      </c>
      <c r="N422" s="33">
        <v>70</v>
      </c>
      <c r="O422" s="33">
        <v>380</v>
      </c>
      <c r="P422" s="1">
        <v>532.5</v>
      </c>
      <c r="Q422" s="1">
        <v>21</v>
      </c>
      <c r="R422" s="1">
        <v>418</v>
      </c>
    </row>
    <row r="423" spans="1:18">
      <c r="A423" s="33" t="s">
        <v>938</v>
      </c>
      <c r="B423" s="1" t="s">
        <v>97</v>
      </c>
      <c r="C423" s="1" t="s">
        <v>939</v>
      </c>
      <c r="D423" s="33">
        <v>109</v>
      </c>
      <c r="E423" s="33">
        <v>353</v>
      </c>
      <c r="F423" s="33">
        <v>107</v>
      </c>
      <c r="G423" s="33">
        <v>314</v>
      </c>
      <c r="H423" s="33">
        <v>106</v>
      </c>
      <c r="I423" s="33">
        <v>558</v>
      </c>
      <c r="J423" s="33">
        <v>62</v>
      </c>
      <c r="K423" s="33">
        <v>607</v>
      </c>
      <c r="L423" s="33">
        <v>86</v>
      </c>
      <c r="M423" s="33">
        <v>304</v>
      </c>
      <c r="N423" s="33">
        <v>62</v>
      </c>
      <c r="O423" s="33">
        <v>657</v>
      </c>
      <c r="P423" s="1">
        <v>532</v>
      </c>
      <c r="Q423" s="1">
        <v>22</v>
      </c>
      <c r="R423" s="1">
        <v>422</v>
      </c>
    </row>
    <row r="424" spans="1:18">
      <c r="A424" s="33" t="s">
        <v>940</v>
      </c>
      <c r="B424" s="1" t="s">
        <v>150</v>
      </c>
      <c r="C424" s="1" t="s">
        <v>941</v>
      </c>
      <c r="D424" s="33">
        <v>103</v>
      </c>
      <c r="E424" s="33">
        <v>606</v>
      </c>
      <c r="F424" s="33">
        <v>105</v>
      </c>
      <c r="G424" s="33">
        <v>341</v>
      </c>
      <c r="H424" s="33">
        <v>95</v>
      </c>
      <c r="I424" s="33">
        <v>775</v>
      </c>
      <c r="J424" s="33">
        <v>64</v>
      </c>
      <c r="K424" s="33">
        <v>559</v>
      </c>
      <c r="L424" s="33">
        <v>86</v>
      </c>
      <c r="M424" s="33">
        <v>304</v>
      </c>
      <c r="N424" s="33">
        <v>79</v>
      </c>
      <c r="O424" s="33">
        <v>103</v>
      </c>
      <c r="P424" s="1">
        <v>532</v>
      </c>
      <c r="Q424" s="1">
        <v>29</v>
      </c>
      <c r="R424" s="1">
        <v>422</v>
      </c>
    </row>
    <row r="425" spans="1:18">
      <c r="A425" s="33" t="s">
        <v>936</v>
      </c>
      <c r="B425" s="1" t="s">
        <v>240</v>
      </c>
      <c r="C425" s="1" t="s">
        <v>937</v>
      </c>
      <c r="D425" s="33">
        <v>107</v>
      </c>
      <c r="E425" s="33">
        <v>429</v>
      </c>
      <c r="F425" s="33">
        <v>100</v>
      </c>
      <c r="G425" s="33">
        <v>422</v>
      </c>
      <c r="H425" s="33">
        <v>111</v>
      </c>
      <c r="I425" s="33">
        <v>445</v>
      </c>
      <c r="J425" s="33">
        <v>69</v>
      </c>
      <c r="K425" s="33">
        <v>452</v>
      </c>
      <c r="L425" s="33">
        <v>77</v>
      </c>
      <c r="M425" s="33">
        <v>608</v>
      </c>
      <c r="N425" s="33">
        <v>68</v>
      </c>
      <c r="O425" s="33">
        <v>452</v>
      </c>
      <c r="P425" s="1">
        <v>532</v>
      </c>
      <c r="Q425" s="1">
        <v>26</v>
      </c>
      <c r="R425" s="1">
        <v>422</v>
      </c>
    </row>
    <row r="426" spans="1:18">
      <c r="A426" s="33" t="s">
        <v>942</v>
      </c>
      <c r="B426" s="1" t="s">
        <v>240</v>
      </c>
      <c r="C426" s="1" t="s">
        <v>943</v>
      </c>
      <c r="D426" s="33">
        <v>105</v>
      </c>
      <c r="E426" s="33">
        <v>515</v>
      </c>
      <c r="F426" s="33">
        <v>89</v>
      </c>
      <c r="G426" s="33">
        <v>588</v>
      </c>
      <c r="H426" s="33">
        <v>94</v>
      </c>
      <c r="I426" s="33">
        <v>783</v>
      </c>
      <c r="J426" s="33">
        <v>83</v>
      </c>
      <c r="K426" s="33">
        <v>153</v>
      </c>
      <c r="L426" s="33">
        <v>86</v>
      </c>
      <c r="M426" s="33">
        <v>304</v>
      </c>
      <c r="N426" s="33">
        <v>75</v>
      </c>
      <c r="O426" s="33">
        <v>219</v>
      </c>
      <c r="P426" s="1">
        <v>532</v>
      </c>
      <c r="Q426" s="1">
        <v>26</v>
      </c>
      <c r="R426" s="1">
        <v>422</v>
      </c>
    </row>
    <row r="427" spans="1:18">
      <c r="A427" s="33" t="s">
        <v>944</v>
      </c>
      <c r="B427" s="1" t="s">
        <v>111</v>
      </c>
      <c r="C427" s="1" t="s">
        <v>945</v>
      </c>
      <c r="D427" s="33">
        <v>111</v>
      </c>
      <c r="E427" s="33">
        <v>271</v>
      </c>
      <c r="F427" s="33">
        <v>95</v>
      </c>
      <c r="G427" s="33">
        <v>502</v>
      </c>
      <c r="H427" s="33">
        <v>128.5</v>
      </c>
      <c r="I427" s="33">
        <v>53</v>
      </c>
      <c r="J427" s="33">
        <v>57</v>
      </c>
      <c r="K427" s="33">
        <v>713</v>
      </c>
      <c r="L427" s="33">
        <v>76</v>
      </c>
      <c r="M427" s="33">
        <v>642</v>
      </c>
      <c r="N427" s="33">
        <v>64</v>
      </c>
      <c r="O427" s="33">
        <v>593</v>
      </c>
      <c r="P427" s="1">
        <v>531.5</v>
      </c>
      <c r="Q427" s="1">
        <v>20</v>
      </c>
      <c r="R427" s="1">
        <v>426</v>
      </c>
    </row>
    <row r="428" spans="1:18">
      <c r="A428" s="33" t="s">
        <v>946</v>
      </c>
      <c r="B428" s="1" t="s">
        <v>172</v>
      </c>
      <c r="C428" s="1" t="s">
        <v>947</v>
      </c>
      <c r="D428" s="33">
        <v>103</v>
      </c>
      <c r="E428" s="33">
        <v>606</v>
      </c>
      <c r="F428" s="33">
        <v>93</v>
      </c>
      <c r="G428" s="33">
        <v>541</v>
      </c>
      <c r="H428" s="33">
        <v>118.5</v>
      </c>
      <c r="I428" s="33">
        <v>247</v>
      </c>
      <c r="J428" s="33">
        <v>73</v>
      </c>
      <c r="K428" s="33">
        <v>370</v>
      </c>
      <c r="L428" s="33">
        <v>74</v>
      </c>
      <c r="M428" s="33">
        <v>702</v>
      </c>
      <c r="N428" s="33">
        <v>70</v>
      </c>
      <c r="O428" s="33">
        <v>380</v>
      </c>
      <c r="P428" s="1">
        <v>531.5</v>
      </c>
      <c r="Q428" s="1">
        <v>17</v>
      </c>
      <c r="R428" s="1">
        <v>426</v>
      </c>
    </row>
    <row r="429" spans="1:18">
      <c r="A429" s="33" t="s">
        <v>950</v>
      </c>
      <c r="B429" s="1" t="s">
        <v>249</v>
      </c>
      <c r="C429" s="1" t="s">
        <v>951</v>
      </c>
      <c r="D429" s="33">
        <v>107</v>
      </c>
      <c r="E429" s="33">
        <v>429</v>
      </c>
      <c r="F429" s="33">
        <v>110</v>
      </c>
      <c r="G429" s="33">
        <v>265</v>
      </c>
      <c r="H429" s="33">
        <v>105</v>
      </c>
      <c r="I429" s="33">
        <v>578</v>
      </c>
      <c r="J429" s="33">
        <v>77</v>
      </c>
      <c r="K429" s="33">
        <v>278</v>
      </c>
      <c r="L429" s="33">
        <v>69</v>
      </c>
      <c r="M429" s="33">
        <v>810</v>
      </c>
      <c r="N429" s="33">
        <v>63</v>
      </c>
      <c r="O429" s="33">
        <v>625</v>
      </c>
      <c r="P429" s="1">
        <v>531</v>
      </c>
      <c r="Q429" s="1">
        <v>19</v>
      </c>
      <c r="R429" s="1">
        <v>428</v>
      </c>
    </row>
    <row r="430" spans="1:18">
      <c r="A430" s="33" t="s">
        <v>952</v>
      </c>
      <c r="B430" s="1" t="s">
        <v>217</v>
      </c>
      <c r="C430" s="1" t="s">
        <v>953</v>
      </c>
      <c r="D430" s="33">
        <v>106</v>
      </c>
      <c r="E430" s="33">
        <v>477</v>
      </c>
      <c r="F430" s="33">
        <v>101</v>
      </c>
      <c r="G430" s="33">
        <v>404</v>
      </c>
      <c r="H430" s="33">
        <v>109</v>
      </c>
      <c r="I430" s="33">
        <v>500</v>
      </c>
      <c r="J430" s="33">
        <v>78</v>
      </c>
      <c r="K430" s="33">
        <v>256</v>
      </c>
      <c r="L430" s="33">
        <v>77</v>
      </c>
      <c r="M430" s="33">
        <v>608</v>
      </c>
      <c r="N430" s="33">
        <v>60</v>
      </c>
      <c r="O430" s="33">
        <v>706</v>
      </c>
      <c r="P430" s="1">
        <v>531</v>
      </c>
      <c r="Q430" s="1">
        <v>18</v>
      </c>
      <c r="R430" s="1">
        <v>428</v>
      </c>
    </row>
    <row r="431" spans="1:18">
      <c r="A431" s="33" t="s">
        <v>954</v>
      </c>
      <c r="B431" s="1" t="s">
        <v>133</v>
      </c>
      <c r="C431" s="1" t="s">
        <v>955</v>
      </c>
      <c r="D431" s="33">
        <v>95</v>
      </c>
      <c r="E431" s="33">
        <v>837</v>
      </c>
      <c r="F431" s="33">
        <v>88</v>
      </c>
      <c r="G431" s="33">
        <v>602</v>
      </c>
      <c r="H431" s="33">
        <v>102</v>
      </c>
      <c r="I431" s="33">
        <v>642</v>
      </c>
      <c r="J431" s="33">
        <v>75</v>
      </c>
      <c r="K431" s="33">
        <v>324</v>
      </c>
      <c r="L431" s="33">
        <v>91</v>
      </c>
      <c r="M431" s="33">
        <v>151</v>
      </c>
      <c r="N431" s="33">
        <v>80</v>
      </c>
      <c r="O431" s="33">
        <v>85</v>
      </c>
      <c r="P431" s="1">
        <v>531</v>
      </c>
      <c r="Q431" s="1">
        <v>31</v>
      </c>
      <c r="R431" s="1">
        <v>428</v>
      </c>
    </row>
    <row r="432" spans="1:18">
      <c r="A432" s="33" t="s">
        <v>948</v>
      </c>
      <c r="B432" s="1" t="s">
        <v>172</v>
      </c>
      <c r="C432" s="1" t="s">
        <v>949</v>
      </c>
      <c r="D432" s="33">
        <v>109</v>
      </c>
      <c r="E432" s="33">
        <v>353</v>
      </c>
      <c r="F432" s="33">
        <v>87</v>
      </c>
      <c r="G432" s="33">
        <v>615</v>
      </c>
      <c r="H432" s="33">
        <v>89</v>
      </c>
      <c r="I432" s="33">
        <v>841</v>
      </c>
      <c r="J432" s="33">
        <v>68</v>
      </c>
      <c r="K432" s="33">
        <v>474</v>
      </c>
      <c r="L432" s="33">
        <v>97</v>
      </c>
      <c r="M432" s="33">
        <v>30</v>
      </c>
      <c r="N432" s="33">
        <v>81</v>
      </c>
      <c r="O432" s="33">
        <v>66</v>
      </c>
      <c r="P432" s="1">
        <v>531</v>
      </c>
      <c r="Q432" s="1">
        <v>18</v>
      </c>
      <c r="R432" s="1">
        <v>428</v>
      </c>
    </row>
    <row r="433" spans="1:18">
      <c r="A433" s="33" t="s">
        <v>956</v>
      </c>
      <c r="B433" s="1" t="s">
        <v>92</v>
      </c>
      <c r="C433" s="1" t="s">
        <v>957</v>
      </c>
      <c r="D433" s="33">
        <v>112</v>
      </c>
      <c r="E433" s="33">
        <v>226</v>
      </c>
      <c r="F433" s="33">
        <v>90</v>
      </c>
      <c r="G433" s="33">
        <v>579</v>
      </c>
      <c r="H433" s="33">
        <v>114.5</v>
      </c>
      <c r="I433" s="33">
        <v>340</v>
      </c>
      <c r="J433" s="33">
        <v>64</v>
      </c>
      <c r="K433" s="33">
        <v>559</v>
      </c>
      <c r="L433" s="33">
        <v>77</v>
      </c>
      <c r="M433" s="33">
        <v>608</v>
      </c>
      <c r="N433" s="33">
        <v>73</v>
      </c>
      <c r="O433" s="33">
        <v>275</v>
      </c>
      <c r="P433" s="1">
        <v>530.5</v>
      </c>
      <c r="Q433" s="1">
        <v>23</v>
      </c>
      <c r="R433" s="1">
        <v>432</v>
      </c>
    </row>
    <row r="434" spans="1:18">
      <c r="A434" s="33" t="s">
        <v>960</v>
      </c>
      <c r="B434" s="1" t="s">
        <v>296</v>
      </c>
      <c r="C434" s="1" t="s">
        <v>961</v>
      </c>
      <c r="D434" s="33">
        <v>100</v>
      </c>
      <c r="E434" s="33">
        <v>715</v>
      </c>
      <c r="F434" s="33">
        <v>95</v>
      </c>
      <c r="G434" s="33">
        <v>502</v>
      </c>
      <c r="H434" s="33">
        <v>104</v>
      </c>
      <c r="I434" s="33">
        <v>600</v>
      </c>
      <c r="J434" s="33">
        <v>81</v>
      </c>
      <c r="K434" s="33">
        <v>195</v>
      </c>
      <c r="L434" s="33">
        <v>80</v>
      </c>
      <c r="M434" s="33">
        <v>511</v>
      </c>
      <c r="N434" s="33">
        <v>70</v>
      </c>
      <c r="O434" s="33">
        <v>380</v>
      </c>
      <c r="P434" s="1">
        <v>530</v>
      </c>
      <c r="Q434" s="1">
        <v>23</v>
      </c>
      <c r="R434" s="1">
        <v>433</v>
      </c>
    </row>
    <row r="435" spans="1:18">
      <c r="A435" s="33" t="s">
        <v>958</v>
      </c>
      <c r="B435" s="1" t="s">
        <v>249</v>
      </c>
      <c r="C435" s="1" t="s">
        <v>959</v>
      </c>
      <c r="D435" s="33">
        <v>110</v>
      </c>
      <c r="E435" s="33">
        <v>310</v>
      </c>
      <c r="F435" s="33">
        <v>94</v>
      </c>
      <c r="G435" s="33">
        <v>524</v>
      </c>
      <c r="H435" s="33">
        <v>112</v>
      </c>
      <c r="I435" s="33">
        <v>413</v>
      </c>
      <c r="J435" s="33">
        <v>67</v>
      </c>
      <c r="K435" s="33">
        <v>497</v>
      </c>
      <c r="L435" s="33">
        <v>85</v>
      </c>
      <c r="M435" s="33">
        <v>339</v>
      </c>
      <c r="N435" s="33">
        <v>62</v>
      </c>
      <c r="O435" s="33">
        <v>657</v>
      </c>
      <c r="P435" s="1">
        <v>530</v>
      </c>
      <c r="Q435" s="1">
        <v>20</v>
      </c>
      <c r="R435" s="1">
        <v>433</v>
      </c>
    </row>
    <row r="436" spans="1:18">
      <c r="A436" s="33" t="s">
        <v>968</v>
      </c>
      <c r="B436" s="1" t="s">
        <v>106</v>
      </c>
      <c r="C436" s="1" t="s">
        <v>969</v>
      </c>
      <c r="D436" s="33">
        <v>106</v>
      </c>
      <c r="E436" s="33">
        <v>477</v>
      </c>
      <c r="F436" s="33">
        <v>113</v>
      </c>
      <c r="G436" s="33">
        <v>225</v>
      </c>
      <c r="H436" s="33">
        <v>111.5</v>
      </c>
      <c r="I436" s="33">
        <v>427</v>
      </c>
      <c r="J436" s="33">
        <v>57</v>
      </c>
      <c r="K436" s="33">
        <v>713</v>
      </c>
      <c r="L436" s="33">
        <v>76</v>
      </c>
      <c r="M436" s="33">
        <v>642</v>
      </c>
      <c r="N436" s="33">
        <v>66</v>
      </c>
      <c r="O436" s="33">
        <v>519</v>
      </c>
      <c r="P436" s="1">
        <v>529.5</v>
      </c>
      <c r="Q436" s="1">
        <v>16</v>
      </c>
      <c r="R436" s="1">
        <v>435</v>
      </c>
    </row>
    <row r="437" spans="1:18">
      <c r="A437" s="33" t="s">
        <v>966</v>
      </c>
      <c r="B437" s="1" t="s">
        <v>133</v>
      </c>
      <c r="C437" s="1" t="s">
        <v>967</v>
      </c>
      <c r="D437" s="33">
        <v>117</v>
      </c>
      <c r="E437" s="33">
        <v>86</v>
      </c>
      <c r="F437" s="33">
        <v>109</v>
      </c>
      <c r="G437" s="33">
        <v>279</v>
      </c>
      <c r="H437" s="33">
        <v>90.5</v>
      </c>
      <c r="I437" s="33">
        <v>822</v>
      </c>
      <c r="J437" s="33">
        <v>60</v>
      </c>
      <c r="K437" s="33">
        <v>647</v>
      </c>
      <c r="L437" s="33">
        <v>76</v>
      </c>
      <c r="M437" s="33">
        <v>642</v>
      </c>
      <c r="N437" s="33">
        <v>77</v>
      </c>
      <c r="O437" s="33">
        <v>162</v>
      </c>
      <c r="P437" s="1">
        <v>529.5</v>
      </c>
      <c r="Q437" s="1">
        <v>32</v>
      </c>
      <c r="R437" s="1">
        <v>435</v>
      </c>
    </row>
    <row r="438" spans="1:18">
      <c r="A438" s="33" t="s">
        <v>962</v>
      </c>
      <c r="B438" s="1" t="s">
        <v>169</v>
      </c>
      <c r="C438" s="1" t="s">
        <v>963</v>
      </c>
      <c r="D438" s="33">
        <v>106</v>
      </c>
      <c r="E438" s="33">
        <v>477</v>
      </c>
      <c r="F438" s="33">
        <v>99</v>
      </c>
      <c r="G438" s="33">
        <v>437</v>
      </c>
      <c r="H438" s="33">
        <v>123.5</v>
      </c>
      <c r="I438" s="33">
        <v>124</v>
      </c>
      <c r="J438" s="33">
        <v>58</v>
      </c>
      <c r="K438" s="33">
        <v>698</v>
      </c>
      <c r="L438" s="33">
        <v>76</v>
      </c>
      <c r="M438" s="33">
        <v>642</v>
      </c>
      <c r="N438" s="33">
        <v>67</v>
      </c>
      <c r="O438" s="33">
        <v>489</v>
      </c>
      <c r="P438" s="1">
        <v>529.5</v>
      </c>
      <c r="Q438" s="1">
        <v>26</v>
      </c>
      <c r="R438" s="1">
        <v>435</v>
      </c>
    </row>
    <row r="439" spans="1:18">
      <c r="A439" s="33" t="s">
        <v>964</v>
      </c>
      <c r="B439" s="1" t="s">
        <v>172</v>
      </c>
      <c r="C439" s="1" t="s">
        <v>965</v>
      </c>
      <c r="D439" s="33">
        <v>103</v>
      </c>
      <c r="E439" s="33">
        <v>606</v>
      </c>
      <c r="F439" s="33">
        <v>87</v>
      </c>
      <c r="G439" s="33">
        <v>615</v>
      </c>
      <c r="H439" s="33">
        <v>121.5</v>
      </c>
      <c r="I439" s="33">
        <v>160</v>
      </c>
      <c r="J439" s="33">
        <v>76</v>
      </c>
      <c r="K439" s="33">
        <v>302</v>
      </c>
      <c r="L439" s="33">
        <v>85</v>
      </c>
      <c r="M439" s="33">
        <v>339</v>
      </c>
      <c r="N439" s="33">
        <v>57</v>
      </c>
      <c r="O439" s="33">
        <v>770</v>
      </c>
      <c r="P439" s="1">
        <v>529.5</v>
      </c>
      <c r="Q439" s="1">
        <v>19</v>
      </c>
      <c r="R439" s="1">
        <v>435</v>
      </c>
    </row>
    <row r="440" spans="1:18">
      <c r="A440" s="33" t="s">
        <v>970</v>
      </c>
      <c r="B440" s="1" t="s">
        <v>106</v>
      </c>
      <c r="C440" s="1" t="s">
        <v>971</v>
      </c>
      <c r="D440" s="33">
        <v>105</v>
      </c>
      <c r="E440" s="33">
        <v>515</v>
      </c>
      <c r="F440" s="33">
        <v>97</v>
      </c>
      <c r="G440" s="33">
        <v>475</v>
      </c>
      <c r="H440" s="33">
        <v>81</v>
      </c>
      <c r="I440" s="33">
        <v>889</v>
      </c>
      <c r="J440" s="33">
        <v>84</v>
      </c>
      <c r="K440" s="33">
        <v>131</v>
      </c>
      <c r="L440" s="33">
        <v>85</v>
      </c>
      <c r="M440" s="33">
        <v>339</v>
      </c>
      <c r="N440" s="33">
        <v>77</v>
      </c>
      <c r="O440" s="33">
        <v>162</v>
      </c>
      <c r="P440" s="1">
        <v>529</v>
      </c>
      <c r="Q440" s="1">
        <v>17</v>
      </c>
      <c r="R440" s="1">
        <v>439</v>
      </c>
    </row>
    <row r="441" spans="1:18">
      <c r="A441" s="33" t="s">
        <v>978</v>
      </c>
      <c r="B441" s="1" t="s">
        <v>210</v>
      </c>
      <c r="C441" s="1" t="s">
        <v>979</v>
      </c>
      <c r="D441" s="33">
        <v>108</v>
      </c>
      <c r="E441" s="33">
        <v>391</v>
      </c>
      <c r="F441" s="33">
        <v>96</v>
      </c>
      <c r="G441" s="33">
        <v>484</v>
      </c>
      <c r="H441" s="33">
        <v>108</v>
      </c>
      <c r="I441" s="33">
        <v>519</v>
      </c>
      <c r="J441" s="33">
        <v>68</v>
      </c>
      <c r="K441" s="33">
        <v>474</v>
      </c>
      <c r="L441" s="33">
        <v>77</v>
      </c>
      <c r="M441" s="33">
        <v>608</v>
      </c>
      <c r="N441" s="33">
        <v>72</v>
      </c>
      <c r="O441" s="33">
        <v>312</v>
      </c>
      <c r="P441" s="1">
        <v>529</v>
      </c>
      <c r="Q441" s="1">
        <v>26</v>
      </c>
      <c r="R441" s="1">
        <v>439</v>
      </c>
    </row>
    <row r="442" spans="1:18">
      <c r="A442" s="33" t="s">
        <v>980</v>
      </c>
      <c r="B442" s="1" t="s">
        <v>296</v>
      </c>
      <c r="C442" s="1" t="s">
        <v>981</v>
      </c>
      <c r="D442" s="33">
        <v>108</v>
      </c>
      <c r="E442" s="33">
        <v>391</v>
      </c>
      <c r="F442" s="33">
        <v>95</v>
      </c>
      <c r="G442" s="33">
        <v>502</v>
      </c>
      <c r="H442" s="33">
        <v>113</v>
      </c>
      <c r="I442" s="33">
        <v>396</v>
      </c>
      <c r="J442" s="33">
        <v>60</v>
      </c>
      <c r="K442" s="33">
        <v>647</v>
      </c>
      <c r="L442" s="33">
        <v>75</v>
      </c>
      <c r="M442" s="33">
        <v>671</v>
      </c>
      <c r="N442" s="33">
        <v>78</v>
      </c>
      <c r="O442" s="33">
        <v>133</v>
      </c>
      <c r="P442" s="1">
        <v>529</v>
      </c>
      <c r="Q442" s="1">
        <v>24</v>
      </c>
      <c r="R442" s="1">
        <v>439</v>
      </c>
    </row>
    <row r="443" spans="1:18">
      <c r="A443" s="33" t="s">
        <v>972</v>
      </c>
      <c r="B443" s="1" t="s">
        <v>106</v>
      </c>
      <c r="C443" s="1" t="s">
        <v>973</v>
      </c>
      <c r="D443" s="33">
        <v>107</v>
      </c>
      <c r="E443" s="33">
        <v>429</v>
      </c>
      <c r="F443" s="33">
        <v>80</v>
      </c>
      <c r="G443" s="33">
        <v>700</v>
      </c>
      <c r="H443" s="33">
        <v>116</v>
      </c>
      <c r="I443" s="33">
        <v>309</v>
      </c>
      <c r="J443" s="33">
        <v>66</v>
      </c>
      <c r="K443" s="33">
        <v>513</v>
      </c>
      <c r="L443" s="33">
        <v>93</v>
      </c>
      <c r="M443" s="33">
        <v>93</v>
      </c>
      <c r="N443" s="33">
        <v>67</v>
      </c>
      <c r="O443" s="33">
        <v>489</v>
      </c>
      <c r="P443" s="1">
        <v>529</v>
      </c>
      <c r="Q443" s="1">
        <v>17</v>
      </c>
      <c r="R443" s="1">
        <v>439</v>
      </c>
    </row>
    <row r="444" spans="1:18">
      <c r="A444" s="33" t="s">
        <v>976</v>
      </c>
      <c r="B444" s="1" t="s">
        <v>172</v>
      </c>
      <c r="C444" s="1" t="s">
        <v>977</v>
      </c>
      <c r="D444" s="33">
        <v>113</v>
      </c>
      <c r="E444" s="33">
        <v>196</v>
      </c>
      <c r="F444" s="33">
        <v>79</v>
      </c>
      <c r="G444" s="33">
        <v>714</v>
      </c>
      <c r="H444" s="33">
        <v>124</v>
      </c>
      <c r="I444" s="33">
        <v>115</v>
      </c>
      <c r="J444" s="33">
        <v>66</v>
      </c>
      <c r="K444" s="33">
        <v>513</v>
      </c>
      <c r="L444" s="33">
        <v>81</v>
      </c>
      <c r="M444" s="33">
        <v>474</v>
      </c>
      <c r="N444" s="33">
        <v>66</v>
      </c>
      <c r="O444" s="33">
        <v>519</v>
      </c>
      <c r="P444" s="1">
        <v>529</v>
      </c>
      <c r="Q444" s="1">
        <v>20</v>
      </c>
      <c r="R444" s="1">
        <v>439</v>
      </c>
    </row>
    <row r="445" spans="1:18">
      <c r="A445" s="33" t="s">
        <v>974</v>
      </c>
      <c r="B445" s="1" t="s">
        <v>133</v>
      </c>
      <c r="C445" s="1" t="s">
        <v>975</v>
      </c>
      <c r="D445" s="33">
        <v>108</v>
      </c>
      <c r="E445" s="33">
        <v>391</v>
      </c>
      <c r="F445" s="33">
        <v>76</v>
      </c>
      <c r="G445" s="33">
        <v>755</v>
      </c>
      <c r="H445" s="33">
        <v>129</v>
      </c>
      <c r="I445" s="33">
        <v>50</v>
      </c>
      <c r="J445" s="33">
        <v>68</v>
      </c>
      <c r="K445" s="33">
        <v>474</v>
      </c>
      <c r="L445" s="33">
        <v>80</v>
      </c>
      <c r="M445" s="33">
        <v>511</v>
      </c>
      <c r="N445" s="33">
        <v>68</v>
      </c>
      <c r="O445" s="33">
        <v>452</v>
      </c>
      <c r="P445" s="1">
        <v>529</v>
      </c>
      <c r="Q445" s="1">
        <v>33</v>
      </c>
      <c r="R445" s="1">
        <v>439</v>
      </c>
    </row>
    <row r="446" spans="1:18">
      <c r="A446" s="33" t="s">
        <v>982</v>
      </c>
      <c r="B446" s="1" t="s">
        <v>84</v>
      </c>
      <c r="C446" s="1" t="s">
        <v>983</v>
      </c>
      <c r="D446" s="33">
        <v>106</v>
      </c>
      <c r="E446" s="33">
        <v>477</v>
      </c>
      <c r="F446" s="33">
        <v>111</v>
      </c>
      <c r="G446" s="33">
        <v>248</v>
      </c>
      <c r="H446" s="33">
        <v>96.5</v>
      </c>
      <c r="I446" s="33">
        <v>750</v>
      </c>
      <c r="J446" s="33">
        <v>69</v>
      </c>
      <c r="K446" s="33">
        <v>452</v>
      </c>
      <c r="L446" s="33">
        <v>77</v>
      </c>
      <c r="M446" s="33">
        <v>608</v>
      </c>
      <c r="N446" s="33">
        <v>69</v>
      </c>
      <c r="O446" s="33">
        <v>420</v>
      </c>
      <c r="P446" s="1">
        <v>528.5</v>
      </c>
      <c r="Q446" s="1">
        <v>22</v>
      </c>
      <c r="R446" s="1">
        <v>445</v>
      </c>
    </row>
    <row r="447" spans="1:18">
      <c r="A447" s="33" t="s">
        <v>984</v>
      </c>
      <c r="B447" s="1" t="s">
        <v>169</v>
      </c>
      <c r="C447" s="1" t="s">
        <v>985</v>
      </c>
      <c r="D447" s="33">
        <v>110</v>
      </c>
      <c r="E447" s="33">
        <v>310</v>
      </c>
      <c r="F447" s="33">
        <v>99</v>
      </c>
      <c r="G447" s="33">
        <v>437</v>
      </c>
      <c r="H447" s="33">
        <v>103.5</v>
      </c>
      <c r="I447" s="33">
        <v>612</v>
      </c>
      <c r="J447" s="33">
        <v>77</v>
      </c>
      <c r="K447" s="33">
        <v>278</v>
      </c>
      <c r="L447" s="33">
        <v>74</v>
      </c>
      <c r="M447" s="33">
        <v>702</v>
      </c>
      <c r="N447" s="33">
        <v>65</v>
      </c>
      <c r="O447" s="33">
        <v>554</v>
      </c>
      <c r="P447" s="1">
        <v>528.5</v>
      </c>
      <c r="Q447" s="1">
        <v>27</v>
      </c>
      <c r="R447" s="1">
        <v>445</v>
      </c>
    </row>
    <row r="448" spans="1:18">
      <c r="A448" s="33" t="s">
        <v>988</v>
      </c>
      <c r="B448" s="1" t="s">
        <v>97</v>
      </c>
      <c r="C448" s="1" t="s">
        <v>989</v>
      </c>
      <c r="D448" s="33">
        <v>97</v>
      </c>
      <c r="E448" s="33">
        <v>795</v>
      </c>
      <c r="F448" s="33">
        <v>98</v>
      </c>
      <c r="G448" s="33">
        <v>459</v>
      </c>
      <c r="H448" s="33">
        <v>127.5</v>
      </c>
      <c r="I448" s="33">
        <v>63</v>
      </c>
      <c r="J448" s="33">
        <v>66</v>
      </c>
      <c r="K448" s="33">
        <v>513</v>
      </c>
      <c r="L448" s="33">
        <v>72</v>
      </c>
      <c r="M448" s="33">
        <v>751</v>
      </c>
      <c r="N448" s="33">
        <v>68</v>
      </c>
      <c r="O448" s="33">
        <v>452</v>
      </c>
      <c r="P448" s="1">
        <v>528.5</v>
      </c>
      <c r="Q448" s="1">
        <v>23</v>
      </c>
      <c r="R448" s="1">
        <v>445</v>
      </c>
    </row>
    <row r="449" spans="1:18">
      <c r="A449" s="33" t="s">
        <v>986</v>
      </c>
      <c r="B449" s="1" t="s">
        <v>169</v>
      </c>
      <c r="C449" s="1" t="s">
        <v>987</v>
      </c>
      <c r="D449" s="33">
        <v>113</v>
      </c>
      <c r="E449" s="33">
        <v>196</v>
      </c>
      <c r="F449" s="33">
        <v>91</v>
      </c>
      <c r="G449" s="33">
        <v>567</v>
      </c>
      <c r="H449" s="33">
        <v>114.5</v>
      </c>
      <c r="I449" s="33">
        <v>340</v>
      </c>
      <c r="J449" s="33">
        <v>67</v>
      </c>
      <c r="K449" s="33">
        <v>497</v>
      </c>
      <c r="L449" s="33">
        <v>73</v>
      </c>
      <c r="M449" s="33">
        <v>717</v>
      </c>
      <c r="N449" s="33">
        <v>70</v>
      </c>
      <c r="O449" s="33">
        <v>380</v>
      </c>
      <c r="P449" s="1">
        <v>528.5</v>
      </c>
      <c r="Q449" s="1">
        <v>27</v>
      </c>
      <c r="R449" s="1">
        <v>445</v>
      </c>
    </row>
    <row r="450" spans="1:18">
      <c r="A450" s="33" t="s">
        <v>990</v>
      </c>
      <c r="B450" s="1" t="s">
        <v>97</v>
      </c>
      <c r="C450" s="1" t="s">
        <v>991</v>
      </c>
      <c r="D450" s="33">
        <v>107</v>
      </c>
      <c r="E450" s="33">
        <v>429</v>
      </c>
      <c r="F450" s="33">
        <v>103</v>
      </c>
      <c r="G450" s="33">
        <v>375</v>
      </c>
      <c r="H450" s="33">
        <v>81</v>
      </c>
      <c r="I450" s="33">
        <v>889</v>
      </c>
      <c r="J450" s="33">
        <v>76</v>
      </c>
      <c r="K450" s="33">
        <v>302</v>
      </c>
      <c r="L450" s="33">
        <v>92</v>
      </c>
      <c r="M450" s="33">
        <v>116</v>
      </c>
      <c r="N450" s="33">
        <v>69</v>
      </c>
      <c r="O450" s="33">
        <v>420</v>
      </c>
      <c r="P450" s="1">
        <v>528</v>
      </c>
      <c r="Q450" s="1">
        <v>24</v>
      </c>
      <c r="R450" s="1">
        <v>449</v>
      </c>
    </row>
    <row r="451" spans="1:18">
      <c r="A451" s="33" t="s">
        <v>992</v>
      </c>
      <c r="B451" s="1" t="s">
        <v>92</v>
      </c>
      <c r="C451" s="1" t="s">
        <v>993</v>
      </c>
      <c r="D451" s="33">
        <v>104</v>
      </c>
      <c r="E451" s="33">
        <v>573</v>
      </c>
      <c r="F451" s="33">
        <v>100</v>
      </c>
      <c r="G451" s="33">
        <v>422</v>
      </c>
      <c r="H451" s="33">
        <v>118</v>
      </c>
      <c r="I451" s="33">
        <v>263</v>
      </c>
      <c r="J451" s="33">
        <v>50</v>
      </c>
      <c r="K451" s="33">
        <v>826</v>
      </c>
      <c r="L451" s="33">
        <v>78</v>
      </c>
      <c r="M451" s="33">
        <v>577</v>
      </c>
      <c r="N451" s="33">
        <v>78</v>
      </c>
      <c r="O451" s="33">
        <v>133</v>
      </c>
      <c r="P451" s="1">
        <v>528</v>
      </c>
      <c r="Q451" s="1">
        <v>24</v>
      </c>
      <c r="R451" s="1">
        <v>449</v>
      </c>
    </row>
    <row r="452" spans="1:18">
      <c r="A452" s="33" t="s">
        <v>994</v>
      </c>
      <c r="B452" s="1" t="s">
        <v>97</v>
      </c>
      <c r="C452" s="1" t="s">
        <v>995</v>
      </c>
      <c r="D452" s="33">
        <v>106</v>
      </c>
      <c r="E452" s="33">
        <v>477</v>
      </c>
      <c r="F452" s="33">
        <v>98</v>
      </c>
      <c r="G452" s="33">
        <v>459</v>
      </c>
      <c r="H452" s="33">
        <v>112</v>
      </c>
      <c r="I452" s="33">
        <v>413</v>
      </c>
      <c r="J452" s="33">
        <v>59</v>
      </c>
      <c r="K452" s="33">
        <v>672</v>
      </c>
      <c r="L452" s="33">
        <v>87</v>
      </c>
      <c r="M452" s="33">
        <v>268</v>
      </c>
      <c r="N452" s="33">
        <v>66</v>
      </c>
      <c r="O452" s="33">
        <v>519</v>
      </c>
      <c r="P452" s="1">
        <v>528</v>
      </c>
      <c r="Q452" s="1">
        <v>24</v>
      </c>
      <c r="R452" s="1">
        <v>449</v>
      </c>
    </row>
    <row r="453" spans="1:18">
      <c r="A453" s="33" t="s">
        <v>996</v>
      </c>
      <c r="B453" s="1" t="s">
        <v>172</v>
      </c>
      <c r="C453" s="1" t="s">
        <v>997</v>
      </c>
      <c r="D453" s="33">
        <v>103</v>
      </c>
      <c r="E453" s="33">
        <v>606</v>
      </c>
      <c r="F453" s="33">
        <v>94</v>
      </c>
      <c r="G453" s="33">
        <v>524</v>
      </c>
      <c r="H453" s="33">
        <v>123</v>
      </c>
      <c r="I453" s="33">
        <v>132</v>
      </c>
      <c r="J453" s="33">
        <v>73</v>
      </c>
      <c r="K453" s="33">
        <v>370</v>
      </c>
      <c r="L453" s="33">
        <v>73</v>
      </c>
      <c r="M453" s="33">
        <v>717</v>
      </c>
      <c r="N453" s="33">
        <v>62</v>
      </c>
      <c r="O453" s="33">
        <v>657</v>
      </c>
      <c r="P453" s="1">
        <v>528</v>
      </c>
      <c r="Q453" s="1">
        <v>21</v>
      </c>
      <c r="R453" s="1">
        <v>449</v>
      </c>
    </row>
    <row r="454" spans="1:18">
      <c r="A454" s="33" t="s">
        <v>998</v>
      </c>
      <c r="B454" s="1" t="s">
        <v>240</v>
      </c>
      <c r="C454" s="1" t="s">
        <v>999</v>
      </c>
      <c r="D454" s="33">
        <v>103</v>
      </c>
      <c r="E454" s="33">
        <v>606</v>
      </c>
      <c r="F454" s="33">
        <v>82</v>
      </c>
      <c r="G454" s="33">
        <v>677</v>
      </c>
      <c r="H454" s="33">
        <v>126</v>
      </c>
      <c r="I454" s="33">
        <v>82</v>
      </c>
      <c r="J454" s="33">
        <v>71</v>
      </c>
      <c r="K454" s="33">
        <v>411</v>
      </c>
      <c r="L454" s="33">
        <v>80</v>
      </c>
      <c r="M454" s="33">
        <v>511</v>
      </c>
      <c r="N454" s="33">
        <v>66</v>
      </c>
      <c r="O454" s="33">
        <v>519</v>
      </c>
      <c r="P454" s="1">
        <v>528</v>
      </c>
      <c r="Q454" s="1">
        <v>28</v>
      </c>
      <c r="R454" s="1">
        <v>449</v>
      </c>
    </row>
    <row r="455" spans="1:18">
      <c r="A455" s="33" t="s">
        <v>1000</v>
      </c>
      <c r="B455" s="1" t="s">
        <v>203</v>
      </c>
      <c r="C455" s="1" t="s">
        <v>1001</v>
      </c>
      <c r="D455" s="33">
        <v>105</v>
      </c>
      <c r="E455" s="33">
        <v>515</v>
      </c>
      <c r="F455" s="33">
        <v>71</v>
      </c>
      <c r="G455" s="33">
        <v>809</v>
      </c>
      <c r="H455" s="33">
        <v>116</v>
      </c>
      <c r="I455" s="33">
        <v>309</v>
      </c>
      <c r="J455" s="33">
        <v>72</v>
      </c>
      <c r="K455" s="33">
        <v>392</v>
      </c>
      <c r="L455" s="33">
        <v>88</v>
      </c>
      <c r="M455" s="33">
        <v>240</v>
      </c>
      <c r="N455" s="33">
        <v>76</v>
      </c>
      <c r="O455" s="33">
        <v>194</v>
      </c>
      <c r="P455" s="1">
        <v>528</v>
      </c>
      <c r="Q455" s="1">
        <v>21</v>
      </c>
      <c r="R455" s="1">
        <v>449</v>
      </c>
    </row>
    <row r="456" spans="1:18">
      <c r="A456" s="33" t="s">
        <v>1002</v>
      </c>
      <c r="B456" s="1" t="s">
        <v>249</v>
      </c>
      <c r="C456" s="1" t="s">
        <v>1003</v>
      </c>
      <c r="D456" s="33">
        <v>104</v>
      </c>
      <c r="E456" s="33">
        <v>573</v>
      </c>
      <c r="F456" s="33">
        <v>109</v>
      </c>
      <c r="G456" s="33">
        <v>279</v>
      </c>
      <c r="H456" s="33">
        <v>98.5</v>
      </c>
      <c r="I456" s="33">
        <v>719</v>
      </c>
      <c r="J456" s="33">
        <v>82</v>
      </c>
      <c r="K456" s="33">
        <v>171</v>
      </c>
      <c r="L456" s="33">
        <v>81</v>
      </c>
      <c r="M456" s="33">
        <v>474</v>
      </c>
      <c r="N456" s="33">
        <v>53</v>
      </c>
      <c r="O456" s="33">
        <v>832</v>
      </c>
      <c r="P456" s="1">
        <v>527.5</v>
      </c>
      <c r="Q456" s="1">
        <v>21</v>
      </c>
      <c r="R456" s="1">
        <v>455</v>
      </c>
    </row>
    <row r="457" spans="1:18">
      <c r="A457" s="33" t="s">
        <v>1004</v>
      </c>
      <c r="B457" s="1" t="s">
        <v>106</v>
      </c>
      <c r="C457" s="1" t="s">
        <v>1005</v>
      </c>
      <c r="D457" s="33">
        <v>111</v>
      </c>
      <c r="E457" s="33">
        <v>271</v>
      </c>
      <c r="F457" s="33">
        <v>106</v>
      </c>
      <c r="G457" s="33">
        <v>323</v>
      </c>
      <c r="H457" s="33">
        <v>113.5</v>
      </c>
      <c r="I457" s="33">
        <v>374</v>
      </c>
      <c r="J457" s="33">
        <v>67</v>
      </c>
      <c r="K457" s="33">
        <v>497</v>
      </c>
      <c r="L457" s="33">
        <v>78</v>
      </c>
      <c r="M457" s="33">
        <v>577</v>
      </c>
      <c r="N457" s="33">
        <v>52</v>
      </c>
      <c r="O457" s="33">
        <v>849</v>
      </c>
      <c r="P457" s="1">
        <v>527.5</v>
      </c>
      <c r="Q457" s="1">
        <v>19</v>
      </c>
      <c r="R457" s="1">
        <v>455</v>
      </c>
    </row>
    <row r="458" spans="1:18">
      <c r="A458" s="33" t="s">
        <v>1008</v>
      </c>
      <c r="B458" s="1" t="s">
        <v>172</v>
      </c>
      <c r="C458" s="1" t="s">
        <v>1009</v>
      </c>
      <c r="D458" s="33">
        <v>104</v>
      </c>
      <c r="E458" s="33">
        <v>573</v>
      </c>
      <c r="F458" s="33">
        <v>105</v>
      </c>
      <c r="G458" s="33">
        <v>341</v>
      </c>
      <c r="H458" s="33">
        <v>110</v>
      </c>
      <c r="I458" s="33">
        <v>478</v>
      </c>
      <c r="J458" s="33">
        <v>53</v>
      </c>
      <c r="K458" s="33">
        <v>786</v>
      </c>
      <c r="L458" s="33">
        <v>89</v>
      </c>
      <c r="M458" s="33">
        <v>200</v>
      </c>
      <c r="N458" s="33">
        <v>66</v>
      </c>
      <c r="O458" s="33">
        <v>519</v>
      </c>
      <c r="P458" s="1">
        <v>527</v>
      </c>
      <c r="Q458" s="1">
        <v>22</v>
      </c>
      <c r="R458" s="1">
        <v>457</v>
      </c>
    </row>
    <row r="459" spans="1:18">
      <c r="A459" s="33" t="s">
        <v>1006</v>
      </c>
      <c r="B459" s="1" t="s">
        <v>217</v>
      </c>
      <c r="C459" s="1" t="s">
        <v>1007</v>
      </c>
      <c r="D459" s="33">
        <v>117</v>
      </c>
      <c r="E459" s="33">
        <v>86</v>
      </c>
      <c r="F459" s="33">
        <v>81</v>
      </c>
      <c r="G459" s="33">
        <v>689</v>
      </c>
      <c r="H459" s="33">
        <v>126</v>
      </c>
      <c r="I459" s="33">
        <v>82</v>
      </c>
      <c r="J459" s="33">
        <v>65</v>
      </c>
      <c r="K459" s="33">
        <v>539</v>
      </c>
      <c r="L459" s="33">
        <v>76</v>
      </c>
      <c r="M459" s="33">
        <v>642</v>
      </c>
      <c r="N459" s="33">
        <v>62</v>
      </c>
      <c r="O459" s="33">
        <v>657</v>
      </c>
      <c r="P459" s="1">
        <v>527</v>
      </c>
      <c r="Q459" s="1">
        <v>19</v>
      </c>
      <c r="R459" s="1">
        <v>457</v>
      </c>
    </row>
    <row r="460" spans="1:18">
      <c r="A460" s="33" t="s">
        <v>1010</v>
      </c>
      <c r="B460" s="1" t="s">
        <v>150</v>
      </c>
      <c r="C460" s="1" t="s">
        <v>1011</v>
      </c>
      <c r="D460" s="33">
        <v>99</v>
      </c>
      <c r="E460" s="33">
        <v>754</v>
      </c>
      <c r="F460" s="33">
        <v>111</v>
      </c>
      <c r="G460" s="33">
        <v>248</v>
      </c>
      <c r="H460" s="33">
        <v>105.5</v>
      </c>
      <c r="I460" s="33">
        <v>568</v>
      </c>
      <c r="J460" s="33">
        <v>61</v>
      </c>
      <c r="K460" s="33">
        <v>627</v>
      </c>
      <c r="L460" s="33">
        <v>73</v>
      </c>
      <c r="M460" s="33">
        <v>717</v>
      </c>
      <c r="N460" s="33">
        <v>77</v>
      </c>
      <c r="O460" s="33">
        <v>162</v>
      </c>
      <c r="P460" s="1">
        <v>526.5</v>
      </c>
      <c r="Q460" s="1">
        <v>30</v>
      </c>
      <c r="R460" s="1">
        <v>459</v>
      </c>
    </row>
    <row r="461" spans="1:18">
      <c r="A461" s="33" t="s">
        <v>1012</v>
      </c>
      <c r="B461" s="1" t="s">
        <v>203</v>
      </c>
      <c r="C461" s="1" t="s">
        <v>1013</v>
      </c>
      <c r="D461" s="33">
        <v>107</v>
      </c>
      <c r="E461" s="33">
        <v>429</v>
      </c>
      <c r="F461" s="33">
        <v>103</v>
      </c>
      <c r="G461" s="33">
        <v>375</v>
      </c>
      <c r="H461" s="33">
        <v>92.5</v>
      </c>
      <c r="I461" s="33">
        <v>801</v>
      </c>
      <c r="J461" s="33">
        <v>80</v>
      </c>
      <c r="K461" s="33">
        <v>211</v>
      </c>
      <c r="L461" s="33">
        <v>73</v>
      </c>
      <c r="M461" s="33">
        <v>717</v>
      </c>
      <c r="N461" s="33">
        <v>71</v>
      </c>
      <c r="O461" s="33">
        <v>342</v>
      </c>
      <c r="P461" s="1">
        <v>526.5</v>
      </c>
      <c r="Q461" s="1">
        <v>22</v>
      </c>
      <c r="R461" s="1">
        <v>459</v>
      </c>
    </row>
    <row r="462" spans="1:18">
      <c r="A462" s="33" t="s">
        <v>1014</v>
      </c>
      <c r="B462" s="1" t="s">
        <v>210</v>
      </c>
      <c r="C462" s="1" t="s">
        <v>1015</v>
      </c>
      <c r="D462" s="33">
        <v>117</v>
      </c>
      <c r="E462" s="33">
        <v>86</v>
      </c>
      <c r="F462" s="33">
        <v>86</v>
      </c>
      <c r="G462" s="33">
        <v>627</v>
      </c>
      <c r="H462" s="33">
        <v>118.5</v>
      </c>
      <c r="I462" s="33">
        <v>247</v>
      </c>
      <c r="J462" s="33">
        <v>59</v>
      </c>
      <c r="K462" s="33">
        <v>672</v>
      </c>
      <c r="L462" s="33">
        <v>85</v>
      </c>
      <c r="M462" s="33">
        <v>339</v>
      </c>
      <c r="N462" s="33">
        <v>61</v>
      </c>
      <c r="O462" s="33">
        <v>686</v>
      </c>
      <c r="P462" s="1">
        <v>526.5</v>
      </c>
      <c r="Q462" s="1">
        <v>27</v>
      </c>
      <c r="R462" s="1">
        <v>459</v>
      </c>
    </row>
    <row r="463" spans="1:18">
      <c r="A463" s="33" t="s">
        <v>1020</v>
      </c>
      <c r="B463" s="1" t="s">
        <v>84</v>
      </c>
      <c r="C463" s="1" t="s">
        <v>1021</v>
      </c>
      <c r="D463" s="33">
        <v>107</v>
      </c>
      <c r="E463" s="33">
        <v>429</v>
      </c>
      <c r="F463" s="33">
        <v>101</v>
      </c>
      <c r="G463" s="33">
        <v>404</v>
      </c>
      <c r="H463" s="33">
        <v>100</v>
      </c>
      <c r="I463" s="33">
        <v>680</v>
      </c>
      <c r="J463" s="33">
        <v>79</v>
      </c>
      <c r="K463" s="33">
        <v>236</v>
      </c>
      <c r="L463" s="33">
        <v>78</v>
      </c>
      <c r="M463" s="33">
        <v>577</v>
      </c>
      <c r="N463" s="33">
        <v>61</v>
      </c>
      <c r="O463" s="33">
        <v>686</v>
      </c>
      <c r="P463" s="1">
        <v>526</v>
      </c>
      <c r="Q463" s="1">
        <v>23</v>
      </c>
      <c r="R463" s="1">
        <v>462</v>
      </c>
    </row>
    <row r="464" spans="1:18">
      <c r="A464" s="33" t="s">
        <v>1016</v>
      </c>
      <c r="B464" s="1" t="s">
        <v>210</v>
      </c>
      <c r="C464" s="1" t="s">
        <v>1017</v>
      </c>
      <c r="D464" s="33">
        <v>99</v>
      </c>
      <c r="E464" s="33">
        <v>754</v>
      </c>
      <c r="F464" s="33">
        <v>101</v>
      </c>
      <c r="G464" s="33">
        <v>404</v>
      </c>
      <c r="H464" s="33">
        <v>86</v>
      </c>
      <c r="I464" s="33">
        <v>865</v>
      </c>
      <c r="J464" s="33">
        <v>78</v>
      </c>
      <c r="K464" s="33">
        <v>256</v>
      </c>
      <c r="L464" s="33">
        <v>84</v>
      </c>
      <c r="M464" s="33">
        <v>379</v>
      </c>
      <c r="N464" s="33">
        <v>78</v>
      </c>
      <c r="O464" s="33">
        <v>133</v>
      </c>
      <c r="P464" s="1">
        <v>526</v>
      </c>
      <c r="Q464" s="1">
        <v>28</v>
      </c>
      <c r="R464" s="1">
        <v>462</v>
      </c>
    </row>
    <row r="465" spans="1:18">
      <c r="A465" s="33" t="s">
        <v>1022</v>
      </c>
      <c r="B465" s="1" t="s">
        <v>217</v>
      </c>
      <c r="C465" s="1" t="s">
        <v>1023</v>
      </c>
      <c r="D465" s="33">
        <v>105</v>
      </c>
      <c r="E465" s="33">
        <v>515</v>
      </c>
      <c r="F465" s="33">
        <v>98</v>
      </c>
      <c r="G465" s="33">
        <v>459</v>
      </c>
      <c r="H465" s="33">
        <v>101</v>
      </c>
      <c r="I465" s="33">
        <v>661</v>
      </c>
      <c r="J465" s="33">
        <v>78</v>
      </c>
      <c r="K465" s="33">
        <v>256</v>
      </c>
      <c r="L465" s="33">
        <v>75</v>
      </c>
      <c r="M465" s="33">
        <v>671</v>
      </c>
      <c r="N465" s="33">
        <v>69</v>
      </c>
      <c r="O465" s="33">
        <v>420</v>
      </c>
      <c r="P465" s="1">
        <v>526</v>
      </c>
      <c r="Q465" s="1">
        <v>20</v>
      </c>
      <c r="R465" s="1">
        <v>462</v>
      </c>
    </row>
    <row r="466" spans="1:18">
      <c r="A466" s="33" t="s">
        <v>1018</v>
      </c>
      <c r="B466" s="1" t="s">
        <v>84</v>
      </c>
      <c r="C466" s="1" t="s">
        <v>1019</v>
      </c>
      <c r="D466" s="33">
        <v>123</v>
      </c>
      <c r="E466" s="33">
        <v>20</v>
      </c>
      <c r="F466" s="33">
        <v>76</v>
      </c>
      <c r="G466" s="33">
        <v>755</v>
      </c>
      <c r="H466" s="33">
        <v>117</v>
      </c>
      <c r="I466" s="33">
        <v>291</v>
      </c>
      <c r="J466" s="33">
        <v>68</v>
      </c>
      <c r="K466" s="33">
        <v>474</v>
      </c>
      <c r="L466" s="33">
        <v>76</v>
      </c>
      <c r="M466" s="33">
        <v>642</v>
      </c>
      <c r="N466" s="33">
        <v>66</v>
      </c>
      <c r="O466" s="33">
        <v>519</v>
      </c>
      <c r="P466" s="1">
        <v>526</v>
      </c>
      <c r="Q466" s="1">
        <v>23</v>
      </c>
      <c r="R466" s="1">
        <v>462</v>
      </c>
    </row>
    <row r="467" spans="1:18">
      <c r="A467" s="33" t="s">
        <v>1024</v>
      </c>
      <c r="B467" s="1" t="s">
        <v>92</v>
      </c>
      <c r="C467" s="1" t="s">
        <v>1025</v>
      </c>
      <c r="D467" s="33">
        <v>112</v>
      </c>
      <c r="E467" s="33">
        <v>226</v>
      </c>
      <c r="F467" s="33">
        <v>99</v>
      </c>
      <c r="G467" s="33">
        <v>437</v>
      </c>
      <c r="H467" s="33">
        <v>72.5</v>
      </c>
      <c r="I467" s="33">
        <v>922</v>
      </c>
      <c r="J467" s="33">
        <v>84</v>
      </c>
      <c r="K467" s="33">
        <v>131</v>
      </c>
      <c r="L467" s="33">
        <v>86</v>
      </c>
      <c r="M467" s="33">
        <v>304</v>
      </c>
      <c r="N467" s="33">
        <v>72</v>
      </c>
      <c r="O467" s="33">
        <v>312</v>
      </c>
      <c r="P467" s="1">
        <v>525.5</v>
      </c>
      <c r="Q467" s="1">
        <v>25</v>
      </c>
      <c r="R467" s="1">
        <v>466</v>
      </c>
    </row>
    <row r="468" spans="1:18">
      <c r="A468" s="33" t="s">
        <v>1028</v>
      </c>
      <c r="B468" s="1" t="s">
        <v>97</v>
      </c>
      <c r="C468" s="1" t="s">
        <v>1029</v>
      </c>
      <c r="D468" s="33">
        <v>112</v>
      </c>
      <c r="E468" s="33">
        <v>226</v>
      </c>
      <c r="F468" s="33">
        <v>94</v>
      </c>
      <c r="G468" s="33">
        <v>524</v>
      </c>
      <c r="H468" s="33">
        <v>99</v>
      </c>
      <c r="I468" s="33">
        <v>707</v>
      </c>
      <c r="J468" s="33">
        <v>66</v>
      </c>
      <c r="K468" s="33">
        <v>513</v>
      </c>
      <c r="L468" s="33">
        <v>91</v>
      </c>
      <c r="M468" s="33">
        <v>151</v>
      </c>
      <c r="N468" s="33">
        <v>63</v>
      </c>
      <c r="O468" s="33">
        <v>625</v>
      </c>
      <c r="P468" s="1">
        <v>525</v>
      </c>
      <c r="Q468" s="1">
        <v>26</v>
      </c>
      <c r="R468" s="1">
        <v>467</v>
      </c>
    </row>
    <row r="469" spans="1:18">
      <c r="A469" s="33" t="s">
        <v>1030</v>
      </c>
      <c r="B469" s="1" t="s">
        <v>249</v>
      </c>
      <c r="C469" s="1" t="s">
        <v>1031</v>
      </c>
      <c r="D469" s="33">
        <v>109</v>
      </c>
      <c r="E469" s="33">
        <v>353</v>
      </c>
      <c r="F469" s="33">
        <v>88</v>
      </c>
      <c r="G469" s="33">
        <v>602</v>
      </c>
      <c r="H469" s="33">
        <v>111</v>
      </c>
      <c r="I469" s="33">
        <v>445</v>
      </c>
      <c r="J469" s="33">
        <v>66</v>
      </c>
      <c r="K469" s="33">
        <v>513</v>
      </c>
      <c r="L469" s="33">
        <v>74</v>
      </c>
      <c r="M469" s="33">
        <v>702</v>
      </c>
      <c r="N469" s="33">
        <v>77</v>
      </c>
      <c r="O469" s="33">
        <v>162</v>
      </c>
      <c r="P469" s="1">
        <v>525</v>
      </c>
      <c r="Q469" s="1">
        <v>22</v>
      </c>
      <c r="R469" s="1">
        <v>467</v>
      </c>
    </row>
    <row r="470" spans="1:18">
      <c r="A470" s="33" t="s">
        <v>1026</v>
      </c>
      <c r="B470" s="1" t="s">
        <v>97</v>
      </c>
      <c r="C470" s="1" t="s">
        <v>1027</v>
      </c>
      <c r="D470" s="33">
        <v>119</v>
      </c>
      <c r="E470" s="33">
        <v>51</v>
      </c>
      <c r="F470" s="33">
        <v>75</v>
      </c>
      <c r="G470" s="33">
        <v>767</v>
      </c>
      <c r="H470" s="33">
        <v>116</v>
      </c>
      <c r="I470" s="33">
        <v>309</v>
      </c>
      <c r="J470" s="33">
        <v>71</v>
      </c>
      <c r="K470" s="33">
        <v>411</v>
      </c>
      <c r="L470" s="33">
        <v>83</v>
      </c>
      <c r="M470" s="33">
        <v>407</v>
      </c>
      <c r="N470" s="33">
        <v>61</v>
      </c>
      <c r="O470" s="33">
        <v>686</v>
      </c>
      <c r="P470" s="1">
        <v>525</v>
      </c>
      <c r="Q470" s="1">
        <v>26</v>
      </c>
      <c r="R470" s="1">
        <v>467</v>
      </c>
    </row>
    <row r="471" spans="1:18">
      <c r="A471" s="33" t="s">
        <v>1034</v>
      </c>
      <c r="B471" s="1" t="s">
        <v>150</v>
      </c>
      <c r="C471" s="1" t="s">
        <v>1035</v>
      </c>
      <c r="D471" s="33">
        <v>91</v>
      </c>
      <c r="E471" s="33">
        <v>890</v>
      </c>
      <c r="F471" s="33">
        <v>136</v>
      </c>
      <c r="G471" s="33">
        <v>31</v>
      </c>
      <c r="H471" s="33">
        <v>48.5</v>
      </c>
      <c r="I471" s="33">
        <v>949</v>
      </c>
      <c r="J471" s="33">
        <v>78</v>
      </c>
      <c r="K471" s="33">
        <v>256</v>
      </c>
      <c r="L471" s="33">
        <v>97</v>
      </c>
      <c r="M471" s="33">
        <v>30</v>
      </c>
      <c r="N471" s="33">
        <v>74</v>
      </c>
      <c r="O471" s="33">
        <v>247</v>
      </c>
      <c r="P471" s="1">
        <v>524.5</v>
      </c>
      <c r="Q471" s="1">
        <v>31</v>
      </c>
      <c r="R471" s="1">
        <v>470</v>
      </c>
    </row>
    <row r="472" spans="1:18">
      <c r="A472" s="33" t="s">
        <v>1038</v>
      </c>
      <c r="B472" s="1" t="s">
        <v>111</v>
      </c>
      <c r="C472" s="1" t="s">
        <v>1039</v>
      </c>
      <c r="D472" s="33">
        <v>98</v>
      </c>
      <c r="E472" s="33">
        <v>774</v>
      </c>
      <c r="F472" s="33">
        <v>112</v>
      </c>
      <c r="G472" s="33">
        <v>236</v>
      </c>
      <c r="H472" s="33">
        <v>103.5</v>
      </c>
      <c r="I472" s="33">
        <v>612</v>
      </c>
      <c r="J472" s="33">
        <v>59</v>
      </c>
      <c r="K472" s="33">
        <v>672</v>
      </c>
      <c r="L472" s="33">
        <v>89</v>
      </c>
      <c r="M472" s="33">
        <v>200</v>
      </c>
      <c r="N472" s="33">
        <v>63</v>
      </c>
      <c r="O472" s="33">
        <v>625</v>
      </c>
      <c r="P472" s="1">
        <v>524.5</v>
      </c>
      <c r="Q472" s="1">
        <v>21</v>
      </c>
      <c r="R472" s="1">
        <v>470</v>
      </c>
    </row>
    <row r="473" spans="1:18">
      <c r="A473" s="33" t="s">
        <v>1036</v>
      </c>
      <c r="B473" s="1" t="s">
        <v>240</v>
      </c>
      <c r="C473" s="1" t="s">
        <v>1037</v>
      </c>
      <c r="D473" s="33">
        <v>107</v>
      </c>
      <c r="E473" s="33">
        <v>429</v>
      </c>
      <c r="F473" s="33">
        <v>98</v>
      </c>
      <c r="G473" s="33">
        <v>459</v>
      </c>
      <c r="H473" s="33">
        <v>121.5</v>
      </c>
      <c r="I473" s="33">
        <v>160</v>
      </c>
      <c r="J473" s="33">
        <v>56</v>
      </c>
      <c r="K473" s="33">
        <v>731</v>
      </c>
      <c r="L473" s="33">
        <v>73</v>
      </c>
      <c r="M473" s="33">
        <v>717</v>
      </c>
      <c r="N473" s="33">
        <v>69</v>
      </c>
      <c r="O473" s="33">
        <v>420</v>
      </c>
      <c r="P473" s="1">
        <v>524.5</v>
      </c>
      <c r="Q473" s="1">
        <v>29</v>
      </c>
      <c r="R473" s="1">
        <v>470</v>
      </c>
    </row>
    <row r="474" spans="1:18">
      <c r="A474" s="33" t="s">
        <v>1032</v>
      </c>
      <c r="B474" s="1" t="s">
        <v>240</v>
      </c>
      <c r="C474" s="1" t="s">
        <v>1033</v>
      </c>
      <c r="D474" s="33">
        <v>89</v>
      </c>
      <c r="E474" s="33">
        <v>909</v>
      </c>
      <c r="F474" s="33">
        <v>94</v>
      </c>
      <c r="G474" s="33">
        <v>524</v>
      </c>
      <c r="H474" s="33">
        <v>113.5</v>
      </c>
      <c r="I474" s="33">
        <v>374</v>
      </c>
      <c r="J474" s="33">
        <v>62</v>
      </c>
      <c r="K474" s="33">
        <v>607</v>
      </c>
      <c r="L474" s="33">
        <v>86</v>
      </c>
      <c r="M474" s="33">
        <v>304</v>
      </c>
      <c r="N474" s="33">
        <v>80</v>
      </c>
      <c r="O474" s="33">
        <v>85</v>
      </c>
      <c r="P474" s="1">
        <v>524.5</v>
      </c>
      <c r="Q474" s="1">
        <v>29</v>
      </c>
      <c r="R474" s="1">
        <v>470</v>
      </c>
    </row>
    <row r="475" spans="1:18">
      <c r="A475" s="33" t="s">
        <v>1040</v>
      </c>
      <c r="B475" s="1" t="s">
        <v>172</v>
      </c>
      <c r="C475" s="1" t="s">
        <v>1041</v>
      </c>
      <c r="D475" s="33">
        <v>105</v>
      </c>
      <c r="E475" s="33">
        <v>515</v>
      </c>
      <c r="F475" s="33">
        <v>95</v>
      </c>
      <c r="G475" s="33">
        <v>502</v>
      </c>
      <c r="H475" s="33">
        <v>102</v>
      </c>
      <c r="I475" s="33">
        <v>642</v>
      </c>
      <c r="J475" s="33">
        <v>62</v>
      </c>
      <c r="K475" s="33">
        <v>607</v>
      </c>
      <c r="L475" s="33">
        <v>81</v>
      </c>
      <c r="M475" s="33">
        <v>474</v>
      </c>
      <c r="N475" s="33">
        <v>79</v>
      </c>
      <c r="O475" s="33">
        <v>103</v>
      </c>
      <c r="P475" s="1">
        <v>524</v>
      </c>
      <c r="Q475" s="1">
        <v>23</v>
      </c>
      <c r="R475" s="1">
        <v>474</v>
      </c>
    </row>
    <row r="476" spans="1:18">
      <c r="A476" s="33" t="s">
        <v>1044</v>
      </c>
      <c r="B476" s="1" t="s">
        <v>217</v>
      </c>
      <c r="C476" s="1" t="s">
        <v>1045</v>
      </c>
      <c r="D476" s="33">
        <v>85</v>
      </c>
      <c r="E476" s="33">
        <v>930</v>
      </c>
      <c r="F476" s="33">
        <v>104</v>
      </c>
      <c r="G476" s="33">
        <v>359</v>
      </c>
      <c r="H476" s="33">
        <v>103.5</v>
      </c>
      <c r="I476" s="33">
        <v>612</v>
      </c>
      <c r="J476" s="33">
        <v>75</v>
      </c>
      <c r="K476" s="33">
        <v>324</v>
      </c>
      <c r="L476" s="33">
        <v>86</v>
      </c>
      <c r="M476" s="33">
        <v>304</v>
      </c>
      <c r="N476" s="33">
        <v>70</v>
      </c>
      <c r="O476" s="33">
        <v>380</v>
      </c>
      <c r="P476" s="1">
        <v>523.5</v>
      </c>
      <c r="Q476" s="1">
        <v>21</v>
      </c>
      <c r="R476" s="1">
        <v>475</v>
      </c>
    </row>
    <row r="477" spans="1:18">
      <c r="A477" s="33" t="s">
        <v>1042</v>
      </c>
      <c r="B477" s="1" t="s">
        <v>217</v>
      </c>
      <c r="C477" s="1" t="s">
        <v>1043</v>
      </c>
      <c r="D477" s="33">
        <v>116</v>
      </c>
      <c r="E477" s="33">
        <v>117</v>
      </c>
      <c r="F477" s="33">
        <v>100</v>
      </c>
      <c r="G477" s="33">
        <v>422</v>
      </c>
      <c r="H477" s="33">
        <v>118.5</v>
      </c>
      <c r="I477" s="33">
        <v>247</v>
      </c>
      <c r="J477" s="33">
        <v>51</v>
      </c>
      <c r="K477" s="33">
        <v>812</v>
      </c>
      <c r="L477" s="33">
        <v>77</v>
      </c>
      <c r="M477" s="33">
        <v>608</v>
      </c>
      <c r="N477" s="33">
        <v>61</v>
      </c>
      <c r="O477" s="33">
        <v>686</v>
      </c>
      <c r="P477" s="1">
        <v>523.5</v>
      </c>
      <c r="Q477" s="1">
        <v>21</v>
      </c>
      <c r="R477" s="1">
        <v>475</v>
      </c>
    </row>
    <row r="478" spans="1:18">
      <c r="A478" s="33" t="s">
        <v>1048</v>
      </c>
      <c r="B478" s="1" t="s">
        <v>150</v>
      </c>
      <c r="C478" s="1" t="s">
        <v>1049</v>
      </c>
      <c r="D478" s="33">
        <v>106</v>
      </c>
      <c r="E478" s="33">
        <v>477</v>
      </c>
      <c r="F478" s="33">
        <v>96</v>
      </c>
      <c r="G478" s="33">
        <v>484</v>
      </c>
      <c r="H478" s="33">
        <v>112.5</v>
      </c>
      <c r="I478" s="33">
        <v>401</v>
      </c>
      <c r="J478" s="33">
        <v>39</v>
      </c>
      <c r="K478" s="33">
        <v>912</v>
      </c>
      <c r="L478" s="33">
        <v>93</v>
      </c>
      <c r="M478" s="33">
        <v>93</v>
      </c>
      <c r="N478" s="33">
        <v>77</v>
      </c>
      <c r="O478" s="33">
        <v>162</v>
      </c>
      <c r="P478" s="1">
        <v>523.5</v>
      </c>
      <c r="Q478" s="1">
        <v>32</v>
      </c>
      <c r="R478" s="1">
        <v>475</v>
      </c>
    </row>
    <row r="479" spans="1:18">
      <c r="A479" s="33" t="s">
        <v>1046</v>
      </c>
      <c r="B479" s="1" t="s">
        <v>172</v>
      </c>
      <c r="C479" s="1" t="s">
        <v>1047</v>
      </c>
      <c r="D479" s="33">
        <v>99</v>
      </c>
      <c r="E479" s="33">
        <v>754</v>
      </c>
      <c r="F479" s="33">
        <v>90</v>
      </c>
      <c r="G479" s="33">
        <v>579</v>
      </c>
      <c r="H479" s="33">
        <v>109.5</v>
      </c>
      <c r="I479" s="33">
        <v>490</v>
      </c>
      <c r="J479" s="33">
        <v>79</v>
      </c>
      <c r="K479" s="33">
        <v>236</v>
      </c>
      <c r="L479" s="33">
        <v>78</v>
      </c>
      <c r="M479" s="33">
        <v>577</v>
      </c>
      <c r="N479" s="33">
        <v>68</v>
      </c>
      <c r="O479" s="33">
        <v>452</v>
      </c>
      <c r="P479" s="1">
        <v>523.5</v>
      </c>
      <c r="Q479" s="1">
        <v>24</v>
      </c>
      <c r="R479" s="1">
        <v>475</v>
      </c>
    </row>
    <row r="480" spans="1:18">
      <c r="A480" s="33" t="s">
        <v>1050</v>
      </c>
      <c r="B480" s="1" t="s">
        <v>240</v>
      </c>
      <c r="C480" s="1" t="s">
        <v>1051</v>
      </c>
      <c r="D480" s="33">
        <v>116</v>
      </c>
      <c r="E480" s="33">
        <v>117</v>
      </c>
      <c r="F480" s="33">
        <v>87</v>
      </c>
      <c r="G480" s="33">
        <v>615</v>
      </c>
      <c r="H480" s="33">
        <v>118.5</v>
      </c>
      <c r="I480" s="33">
        <v>247</v>
      </c>
      <c r="J480" s="33">
        <v>56</v>
      </c>
      <c r="K480" s="33">
        <v>731</v>
      </c>
      <c r="L480" s="33">
        <v>84</v>
      </c>
      <c r="M480" s="33">
        <v>379</v>
      </c>
      <c r="N480" s="33">
        <v>62</v>
      </c>
      <c r="O480" s="33">
        <v>657</v>
      </c>
      <c r="P480" s="1">
        <v>523.5</v>
      </c>
      <c r="Q480" s="1">
        <v>31</v>
      </c>
      <c r="R480" s="1">
        <v>475</v>
      </c>
    </row>
    <row r="481" spans="1:18">
      <c r="A481" s="33" t="s">
        <v>1052</v>
      </c>
      <c r="B481" s="1" t="s">
        <v>240</v>
      </c>
      <c r="C481" s="1" t="s">
        <v>1053</v>
      </c>
      <c r="D481" s="33">
        <v>114</v>
      </c>
      <c r="E481" s="33">
        <v>170</v>
      </c>
      <c r="F481" s="33">
        <v>75</v>
      </c>
      <c r="G481" s="33">
        <v>767</v>
      </c>
      <c r="H481" s="33">
        <v>118.5</v>
      </c>
      <c r="I481" s="33">
        <v>247</v>
      </c>
      <c r="J481" s="33">
        <v>65</v>
      </c>
      <c r="K481" s="33">
        <v>539</v>
      </c>
      <c r="L481" s="33">
        <v>78</v>
      </c>
      <c r="M481" s="33">
        <v>577</v>
      </c>
      <c r="N481" s="33">
        <v>73</v>
      </c>
      <c r="O481" s="33">
        <v>275</v>
      </c>
      <c r="P481" s="1">
        <v>523.5</v>
      </c>
      <c r="Q481" s="1">
        <v>31</v>
      </c>
      <c r="R481" s="1">
        <v>475</v>
      </c>
    </row>
    <row r="482" spans="1:18">
      <c r="A482" s="33" t="s">
        <v>1054</v>
      </c>
      <c r="B482" s="1" t="s">
        <v>240</v>
      </c>
      <c r="C482" s="1" t="s">
        <v>1055</v>
      </c>
      <c r="D482" s="33">
        <v>110</v>
      </c>
      <c r="E482" s="33">
        <v>310</v>
      </c>
      <c r="F482" s="33">
        <v>106</v>
      </c>
      <c r="G482" s="33">
        <v>323</v>
      </c>
      <c r="H482" s="33">
        <v>107</v>
      </c>
      <c r="I482" s="33">
        <v>546</v>
      </c>
      <c r="J482" s="33">
        <v>60</v>
      </c>
      <c r="K482" s="33">
        <v>647</v>
      </c>
      <c r="L482" s="33">
        <v>75</v>
      </c>
      <c r="M482" s="33">
        <v>671</v>
      </c>
      <c r="N482" s="33">
        <v>65</v>
      </c>
      <c r="O482" s="33">
        <v>554</v>
      </c>
      <c r="P482" s="1">
        <v>523</v>
      </c>
      <c r="Q482" s="1">
        <v>33</v>
      </c>
      <c r="R482" s="1">
        <v>481</v>
      </c>
    </row>
    <row r="483" spans="1:18">
      <c r="A483" s="33" t="s">
        <v>1062</v>
      </c>
      <c r="B483" s="1" t="s">
        <v>150</v>
      </c>
      <c r="C483" s="1" t="s">
        <v>1063</v>
      </c>
      <c r="D483" s="33">
        <v>111</v>
      </c>
      <c r="E483" s="33">
        <v>271</v>
      </c>
      <c r="F483" s="33">
        <v>103</v>
      </c>
      <c r="G483" s="33">
        <v>375</v>
      </c>
      <c r="H483" s="33">
        <v>105</v>
      </c>
      <c r="I483" s="33">
        <v>578</v>
      </c>
      <c r="J483" s="33">
        <v>60</v>
      </c>
      <c r="K483" s="33">
        <v>647</v>
      </c>
      <c r="L483" s="33">
        <v>79</v>
      </c>
      <c r="M483" s="33">
        <v>539</v>
      </c>
      <c r="N483" s="33">
        <v>65</v>
      </c>
      <c r="O483" s="33">
        <v>554</v>
      </c>
      <c r="P483" s="1">
        <v>523</v>
      </c>
      <c r="Q483" s="1">
        <v>33</v>
      </c>
      <c r="R483" s="1">
        <v>481</v>
      </c>
    </row>
    <row r="484" spans="1:18">
      <c r="A484" s="33" t="s">
        <v>1060</v>
      </c>
      <c r="B484" s="1" t="s">
        <v>133</v>
      </c>
      <c r="C484" s="1" t="s">
        <v>1061</v>
      </c>
      <c r="D484" s="33">
        <v>105</v>
      </c>
      <c r="E484" s="33">
        <v>515</v>
      </c>
      <c r="F484" s="33">
        <v>94</v>
      </c>
      <c r="G484" s="33">
        <v>524</v>
      </c>
      <c r="H484" s="33">
        <v>109</v>
      </c>
      <c r="I484" s="33">
        <v>500</v>
      </c>
      <c r="J484" s="33">
        <v>57</v>
      </c>
      <c r="K484" s="33">
        <v>713</v>
      </c>
      <c r="L484" s="33">
        <v>85</v>
      </c>
      <c r="M484" s="33">
        <v>339</v>
      </c>
      <c r="N484" s="33">
        <v>73</v>
      </c>
      <c r="O484" s="33">
        <v>275</v>
      </c>
      <c r="P484" s="1">
        <v>523</v>
      </c>
      <c r="Q484" s="1">
        <v>34</v>
      </c>
      <c r="R484" s="1">
        <v>481</v>
      </c>
    </row>
    <row r="485" spans="1:18">
      <c r="A485" s="33" t="s">
        <v>1066</v>
      </c>
      <c r="B485" s="1" t="s">
        <v>122</v>
      </c>
      <c r="C485" s="1" t="s">
        <v>1067</v>
      </c>
      <c r="D485" s="33">
        <v>102</v>
      </c>
      <c r="E485" s="33">
        <v>655</v>
      </c>
      <c r="F485" s="33">
        <v>94</v>
      </c>
      <c r="G485" s="33">
        <v>524</v>
      </c>
      <c r="H485" s="33">
        <v>110</v>
      </c>
      <c r="I485" s="33">
        <v>478</v>
      </c>
      <c r="J485" s="33">
        <v>66</v>
      </c>
      <c r="K485" s="33">
        <v>513</v>
      </c>
      <c r="L485" s="33">
        <v>88</v>
      </c>
      <c r="M485" s="33">
        <v>240</v>
      </c>
      <c r="N485" s="33">
        <v>63</v>
      </c>
      <c r="O485" s="33">
        <v>625</v>
      </c>
      <c r="P485" s="1">
        <v>523</v>
      </c>
      <c r="Q485" s="1">
        <v>48</v>
      </c>
      <c r="R485" s="1">
        <v>481</v>
      </c>
    </row>
    <row r="486" spans="1:18">
      <c r="A486" s="33" t="s">
        <v>1056</v>
      </c>
      <c r="B486" s="1" t="s">
        <v>111</v>
      </c>
      <c r="C486" s="1" t="s">
        <v>1057</v>
      </c>
      <c r="D486" s="33">
        <v>113</v>
      </c>
      <c r="E486" s="33">
        <v>196</v>
      </c>
      <c r="F486" s="33">
        <v>92</v>
      </c>
      <c r="G486" s="33">
        <v>558</v>
      </c>
      <c r="H486" s="33">
        <v>118</v>
      </c>
      <c r="I486" s="33">
        <v>263</v>
      </c>
      <c r="J486" s="33">
        <v>79</v>
      </c>
      <c r="K486" s="33">
        <v>236</v>
      </c>
      <c r="L486" s="33">
        <v>71</v>
      </c>
      <c r="M486" s="33">
        <v>773</v>
      </c>
      <c r="N486" s="33">
        <v>50</v>
      </c>
      <c r="O486" s="33">
        <v>873</v>
      </c>
      <c r="P486" s="1">
        <v>523</v>
      </c>
      <c r="Q486" s="1">
        <v>22</v>
      </c>
      <c r="R486" s="1">
        <v>481</v>
      </c>
    </row>
    <row r="487" spans="1:18">
      <c r="A487" s="33" t="s">
        <v>1058</v>
      </c>
      <c r="B487" s="1" t="s">
        <v>210</v>
      </c>
      <c r="C487" s="1" t="s">
        <v>1059</v>
      </c>
      <c r="D487" s="33">
        <v>107</v>
      </c>
      <c r="E487" s="33">
        <v>429</v>
      </c>
      <c r="F487" s="33">
        <v>87</v>
      </c>
      <c r="G487" s="33">
        <v>615</v>
      </c>
      <c r="H487" s="33">
        <v>120</v>
      </c>
      <c r="I487" s="33">
        <v>211</v>
      </c>
      <c r="J487" s="33">
        <v>64</v>
      </c>
      <c r="K487" s="33">
        <v>559</v>
      </c>
      <c r="L487" s="33">
        <v>72</v>
      </c>
      <c r="M487" s="33">
        <v>751</v>
      </c>
      <c r="N487" s="33">
        <v>73</v>
      </c>
      <c r="O487" s="33">
        <v>275</v>
      </c>
      <c r="P487" s="1">
        <v>523</v>
      </c>
      <c r="Q487" s="1">
        <v>29</v>
      </c>
      <c r="R487" s="1">
        <v>481</v>
      </c>
    </row>
    <row r="488" spans="1:18">
      <c r="A488" s="33" t="s">
        <v>1064</v>
      </c>
      <c r="B488" s="1" t="s">
        <v>133</v>
      </c>
      <c r="C488" s="1" t="s">
        <v>1065</v>
      </c>
      <c r="D488" s="33">
        <v>113</v>
      </c>
      <c r="E488" s="33">
        <v>196</v>
      </c>
      <c r="F488" s="33">
        <v>86</v>
      </c>
      <c r="G488" s="33">
        <v>627</v>
      </c>
      <c r="H488" s="33">
        <v>114</v>
      </c>
      <c r="I488" s="33">
        <v>356</v>
      </c>
      <c r="J488" s="33">
        <v>69</v>
      </c>
      <c r="K488" s="33">
        <v>452</v>
      </c>
      <c r="L488" s="33">
        <v>72</v>
      </c>
      <c r="M488" s="33">
        <v>751</v>
      </c>
      <c r="N488" s="33">
        <v>69</v>
      </c>
      <c r="O488" s="33">
        <v>420</v>
      </c>
      <c r="P488" s="1">
        <v>523</v>
      </c>
      <c r="Q488" s="1">
        <v>34</v>
      </c>
      <c r="R488" s="1">
        <v>481</v>
      </c>
    </row>
    <row r="489" spans="1:18">
      <c r="A489" s="33" t="s">
        <v>1070</v>
      </c>
      <c r="B489" s="1" t="s">
        <v>249</v>
      </c>
      <c r="C489" s="1" t="s">
        <v>1071</v>
      </c>
      <c r="D489" s="33">
        <v>113</v>
      </c>
      <c r="E489" s="33">
        <v>196</v>
      </c>
      <c r="F489" s="33">
        <v>102</v>
      </c>
      <c r="G489" s="33">
        <v>387</v>
      </c>
      <c r="H489" s="33">
        <v>103.5</v>
      </c>
      <c r="I489" s="33">
        <v>612</v>
      </c>
      <c r="J489" s="33">
        <v>59</v>
      </c>
      <c r="K489" s="33">
        <v>672</v>
      </c>
      <c r="L489" s="33">
        <v>86</v>
      </c>
      <c r="M489" s="33">
        <v>304</v>
      </c>
      <c r="N489" s="33">
        <v>59</v>
      </c>
      <c r="O489" s="33">
        <v>729</v>
      </c>
      <c r="P489" s="1">
        <v>522.5</v>
      </c>
      <c r="Q489" s="1">
        <v>23</v>
      </c>
      <c r="R489" s="1">
        <v>488</v>
      </c>
    </row>
    <row r="490" spans="1:18">
      <c r="A490" s="33" t="s">
        <v>1072</v>
      </c>
      <c r="B490" s="1" t="s">
        <v>92</v>
      </c>
      <c r="C490" s="1" t="s">
        <v>1073</v>
      </c>
      <c r="D490" s="33">
        <v>101</v>
      </c>
      <c r="E490" s="33">
        <v>688</v>
      </c>
      <c r="F490" s="33">
        <v>101</v>
      </c>
      <c r="G490" s="33">
        <v>404</v>
      </c>
      <c r="H490" s="33">
        <v>89.5</v>
      </c>
      <c r="I490" s="33">
        <v>836</v>
      </c>
      <c r="J490" s="33">
        <v>66</v>
      </c>
      <c r="K490" s="33">
        <v>513</v>
      </c>
      <c r="L490" s="33">
        <v>91</v>
      </c>
      <c r="M490" s="33">
        <v>151</v>
      </c>
      <c r="N490" s="33">
        <v>74</v>
      </c>
      <c r="O490" s="33">
        <v>247</v>
      </c>
      <c r="P490" s="1">
        <v>522.5</v>
      </c>
      <c r="Q490" s="1">
        <v>26</v>
      </c>
      <c r="R490" s="1">
        <v>488</v>
      </c>
    </row>
    <row r="491" spans="1:18">
      <c r="A491" s="33" t="s">
        <v>1068</v>
      </c>
      <c r="B491" s="1" t="s">
        <v>172</v>
      </c>
      <c r="C491" s="1" t="s">
        <v>1069</v>
      </c>
      <c r="D491" s="33">
        <v>108</v>
      </c>
      <c r="E491" s="33">
        <v>391</v>
      </c>
      <c r="F491" s="33">
        <v>60</v>
      </c>
      <c r="G491" s="33">
        <v>885</v>
      </c>
      <c r="H491" s="33">
        <v>112.5</v>
      </c>
      <c r="I491" s="33">
        <v>401</v>
      </c>
      <c r="J491" s="33">
        <v>77</v>
      </c>
      <c r="K491" s="33">
        <v>278</v>
      </c>
      <c r="L491" s="33">
        <v>81</v>
      </c>
      <c r="M491" s="33">
        <v>474</v>
      </c>
      <c r="N491" s="33">
        <v>84</v>
      </c>
      <c r="O491" s="33">
        <v>21</v>
      </c>
      <c r="P491" s="1">
        <v>522.5</v>
      </c>
      <c r="Q491" s="1">
        <v>25</v>
      </c>
      <c r="R491" s="1">
        <v>488</v>
      </c>
    </row>
    <row r="492" spans="1:18">
      <c r="A492" s="33" t="s">
        <v>1080</v>
      </c>
      <c r="B492" s="1" t="s">
        <v>240</v>
      </c>
      <c r="C492" s="1" t="s">
        <v>1081</v>
      </c>
      <c r="D492" s="33">
        <v>95</v>
      </c>
      <c r="E492" s="33">
        <v>837</v>
      </c>
      <c r="F492" s="33">
        <v>103</v>
      </c>
      <c r="G492" s="33">
        <v>375</v>
      </c>
      <c r="H492" s="33">
        <v>118</v>
      </c>
      <c r="I492" s="33">
        <v>263</v>
      </c>
      <c r="J492" s="33">
        <v>74</v>
      </c>
      <c r="K492" s="33">
        <v>345</v>
      </c>
      <c r="L492" s="33">
        <v>83</v>
      </c>
      <c r="M492" s="33">
        <v>407</v>
      </c>
      <c r="N492" s="33">
        <v>49</v>
      </c>
      <c r="O492" s="33">
        <v>883</v>
      </c>
      <c r="P492" s="1">
        <v>522</v>
      </c>
      <c r="Q492" s="1">
        <v>34</v>
      </c>
      <c r="R492" s="1">
        <v>491</v>
      </c>
    </row>
    <row r="493" spans="1:18">
      <c r="A493" s="33" t="s">
        <v>1074</v>
      </c>
      <c r="B493" s="1" t="s">
        <v>92</v>
      </c>
      <c r="C493" s="1" t="s">
        <v>1075</v>
      </c>
      <c r="D493" s="33">
        <v>106</v>
      </c>
      <c r="E493" s="33">
        <v>477</v>
      </c>
      <c r="F493" s="33">
        <v>94</v>
      </c>
      <c r="G493" s="33">
        <v>524</v>
      </c>
      <c r="H493" s="33">
        <v>100</v>
      </c>
      <c r="I493" s="33">
        <v>680</v>
      </c>
      <c r="J493" s="33">
        <v>64</v>
      </c>
      <c r="K493" s="33">
        <v>559</v>
      </c>
      <c r="L493" s="33">
        <v>91</v>
      </c>
      <c r="M493" s="33">
        <v>151</v>
      </c>
      <c r="N493" s="33">
        <v>67</v>
      </c>
      <c r="O493" s="33">
        <v>489</v>
      </c>
      <c r="P493" s="1">
        <v>522</v>
      </c>
      <c r="Q493" s="1">
        <v>27</v>
      </c>
      <c r="R493" s="1">
        <v>491</v>
      </c>
    </row>
    <row r="494" spans="1:18">
      <c r="A494" s="33" t="s">
        <v>1078</v>
      </c>
      <c r="B494" s="1" t="s">
        <v>150</v>
      </c>
      <c r="C494" s="1" t="s">
        <v>1079</v>
      </c>
      <c r="D494" s="33">
        <v>117</v>
      </c>
      <c r="E494" s="33">
        <v>86</v>
      </c>
      <c r="F494" s="33">
        <v>86</v>
      </c>
      <c r="G494" s="33">
        <v>627</v>
      </c>
      <c r="H494" s="33">
        <v>110</v>
      </c>
      <c r="I494" s="33">
        <v>478</v>
      </c>
      <c r="J494" s="33">
        <v>49</v>
      </c>
      <c r="K494" s="33">
        <v>842</v>
      </c>
      <c r="L494" s="33">
        <v>81</v>
      </c>
      <c r="M494" s="33">
        <v>474</v>
      </c>
      <c r="N494" s="33">
        <v>79</v>
      </c>
      <c r="O494" s="33">
        <v>103</v>
      </c>
      <c r="P494" s="1">
        <v>522</v>
      </c>
      <c r="Q494" s="1">
        <v>34</v>
      </c>
      <c r="R494" s="1">
        <v>491</v>
      </c>
    </row>
    <row r="495" spans="1:18">
      <c r="A495" s="33" t="s">
        <v>1076</v>
      </c>
      <c r="B495" s="1" t="s">
        <v>92</v>
      </c>
      <c r="C495" s="1" t="s">
        <v>1077</v>
      </c>
      <c r="D495" s="33">
        <v>109</v>
      </c>
      <c r="E495" s="33">
        <v>353</v>
      </c>
      <c r="F495" s="33">
        <v>79</v>
      </c>
      <c r="G495" s="33">
        <v>714</v>
      </c>
      <c r="H495" s="33">
        <v>119</v>
      </c>
      <c r="I495" s="33">
        <v>237</v>
      </c>
      <c r="J495" s="33">
        <v>56</v>
      </c>
      <c r="K495" s="33">
        <v>731</v>
      </c>
      <c r="L495" s="33">
        <v>90</v>
      </c>
      <c r="M495" s="33">
        <v>177</v>
      </c>
      <c r="N495" s="33">
        <v>69</v>
      </c>
      <c r="O495" s="33">
        <v>420</v>
      </c>
      <c r="P495" s="1">
        <v>522</v>
      </c>
      <c r="Q495" s="1">
        <v>27</v>
      </c>
      <c r="R495" s="1">
        <v>491</v>
      </c>
    </row>
    <row r="496" spans="1:18">
      <c r="A496" s="33" t="s">
        <v>1084</v>
      </c>
      <c r="B496" s="1" t="s">
        <v>210</v>
      </c>
      <c r="C496" s="1" t="s">
        <v>1085</v>
      </c>
      <c r="D496" s="33">
        <v>102</v>
      </c>
      <c r="E496" s="33">
        <v>655</v>
      </c>
      <c r="F496" s="33">
        <v>108</v>
      </c>
      <c r="G496" s="33">
        <v>297</v>
      </c>
      <c r="H496" s="33">
        <v>113.5</v>
      </c>
      <c r="I496" s="33">
        <v>374</v>
      </c>
      <c r="J496" s="33">
        <v>66</v>
      </c>
      <c r="K496" s="33">
        <v>513</v>
      </c>
      <c r="L496" s="33">
        <v>72</v>
      </c>
      <c r="M496" s="33">
        <v>751</v>
      </c>
      <c r="N496" s="33">
        <v>60</v>
      </c>
      <c r="O496" s="33">
        <v>706</v>
      </c>
      <c r="P496" s="1">
        <v>521.5</v>
      </c>
      <c r="Q496" s="1">
        <v>30</v>
      </c>
      <c r="R496" s="1">
        <v>495</v>
      </c>
    </row>
    <row r="497" spans="1:18">
      <c r="A497" s="33" t="s">
        <v>1086</v>
      </c>
      <c r="B497" s="1" t="s">
        <v>106</v>
      </c>
      <c r="C497" s="1" t="s">
        <v>1087</v>
      </c>
      <c r="D497" s="33">
        <v>113</v>
      </c>
      <c r="E497" s="33">
        <v>196</v>
      </c>
      <c r="F497" s="33">
        <v>95</v>
      </c>
      <c r="G497" s="33">
        <v>502</v>
      </c>
      <c r="H497" s="33">
        <v>105.5</v>
      </c>
      <c r="I497" s="33">
        <v>568</v>
      </c>
      <c r="J497" s="33">
        <v>60</v>
      </c>
      <c r="K497" s="33">
        <v>647</v>
      </c>
      <c r="L497" s="33">
        <v>81</v>
      </c>
      <c r="M497" s="33">
        <v>474</v>
      </c>
      <c r="N497" s="33">
        <v>67</v>
      </c>
      <c r="O497" s="33">
        <v>489</v>
      </c>
      <c r="P497" s="1">
        <v>521.5</v>
      </c>
      <c r="Q497" s="1">
        <v>20</v>
      </c>
      <c r="R497" s="1">
        <v>495</v>
      </c>
    </row>
    <row r="498" spans="1:18">
      <c r="A498" s="33" t="s">
        <v>1088</v>
      </c>
      <c r="B498" s="1" t="s">
        <v>249</v>
      </c>
      <c r="C498" s="1" t="s">
        <v>1089</v>
      </c>
      <c r="D498" s="33">
        <v>118</v>
      </c>
      <c r="E498" s="33">
        <v>69</v>
      </c>
      <c r="F498" s="33">
        <v>91</v>
      </c>
      <c r="G498" s="33">
        <v>567</v>
      </c>
      <c r="H498" s="33">
        <v>112.5</v>
      </c>
      <c r="I498" s="33">
        <v>401</v>
      </c>
      <c r="J498" s="33">
        <v>70</v>
      </c>
      <c r="K498" s="33">
        <v>429</v>
      </c>
      <c r="L498" s="33">
        <v>75</v>
      </c>
      <c r="M498" s="33">
        <v>671</v>
      </c>
      <c r="N498" s="33">
        <v>55</v>
      </c>
      <c r="O498" s="33">
        <v>802</v>
      </c>
      <c r="P498" s="1">
        <v>521.5</v>
      </c>
      <c r="Q498" s="1">
        <v>24</v>
      </c>
      <c r="R498" s="1">
        <v>495</v>
      </c>
    </row>
    <row r="499" spans="1:18">
      <c r="A499" s="33" t="s">
        <v>1082</v>
      </c>
      <c r="B499" s="1" t="s">
        <v>169</v>
      </c>
      <c r="C499" s="1" t="s">
        <v>1083</v>
      </c>
      <c r="D499" s="33">
        <v>110</v>
      </c>
      <c r="E499" s="33">
        <v>310</v>
      </c>
      <c r="F499" s="33">
        <v>75</v>
      </c>
      <c r="G499" s="33">
        <v>767</v>
      </c>
      <c r="H499" s="33">
        <v>118.5</v>
      </c>
      <c r="I499" s="33">
        <v>247</v>
      </c>
      <c r="J499" s="33">
        <v>63</v>
      </c>
      <c r="K499" s="33">
        <v>581</v>
      </c>
      <c r="L499" s="33">
        <v>81</v>
      </c>
      <c r="M499" s="33">
        <v>474</v>
      </c>
      <c r="N499" s="33">
        <v>74</v>
      </c>
      <c r="O499" s="33">
        <v>247</v>
      </c>
      <c r="P499" s="1">
        <v>521.5</v>
      </c>
      <c r="Q499" s="1">
        <v>29</v>
      </c>
      <c r="R499" s="1">
        <v>495</v>
      </c>
    </row>
    <row r="500" spans="1:18">
      <c r="A500" s="33" t="s">
        <v>1092</v>
      </c>
      <c r="B500" s="1" t="s">
        <v>210</v>
      </c>
      <c r="C500" s="1" t="s">
        <v>1093</v>
      </c>
      <c r="D500" s="33">
        <v>120</v>
      </c>
      <c r="E500" s="33">
        <v>43</v>
      </c>
      <c r="F500" s="33">
        <v>104</v>
      </c>
      <c r="G500" s="33">
        <v>359</v>
      </c>
      <c r="H500" s="33">
        <v>96</v>
      </c>
      <c r="I500" s="33">
        <v>762</v>
      </c>
      <c r="J500" s="33">
        <v>67</v>
      </c>
      <c r="K500" s="33">
        <v>497</v>
      </c>
      <c r="L500" s="33">
        <v>72</v>
      </c>
      <c r="M500" s="33">
        <v>751</v>
      </c>
      <c r="N500" s="33">
        <v>62</v>
      </c>
      <c r="O500" s="33">
        <v>657</v>
      </c>
      <c r="P500" s="1">
        <v>521</v>
      </c>
      <c r="Q500" s="1">
        <v>31</v>
      </c>
      <c r="R500" s="1">
        <v>499</v>
      </c>
    </row>
    <row r="501" spans="1:18">
      <c r="A501" s="33" t="s">
        <v>1096</v>
      </c>
      <c r="B501" s="1" t="s">
        <v>84</v>
      </c>
      <c r="C501" s="1" t="s">
        <v>1097</v>
      </c>
      <c r="D501" s="33">
        <v>100</v>
      </c>
      <c r="E501" s="33">
        <v>715</v>
      </c>
      <c r="F501" s="33">
        <v>93</v>
      </c>
      <c r="G501" s="33">
        <v>541</v>
      </c>
      <c r="H501" s="33">
        <v>105</v>
      </c>
      <c r="I501" s="33">
        <v>578</v>
      </c>
      <c r="J501" s="33">
        <v>67</v>
      </c>
      <c r="K501" s="33">
        <v>497</v>
      </c>
      <c r="L501" s="33">
        <v>89</v>
      </c>
      <c r="M501" s="33">
        <v>200</v>
      </c>
      <c r="N501" s="33">
        <v>67</v>
      </c>
      <c r="O501" s="33">
        <v>489</v>
      </c>
      <c r="P501" s="1">
        <v>521</v>
      </c>
      <c r="Q501" s="1">
        <v>25</v>
      </c>
      <c r="R501" s="1">
        <v>499</v>
      </c>
    </row>
    <row r="502" spans="1:18">
      <c r="A502" s="33" t="s">
        <v>1094</v>
      </c>
      <c r="B502" s="1" t="s">
        <v>84</v>
      </c>
      <c r="C502" s="1" t="s">
        <v>1095</v>
      </c>
      <c r="D502" s="33">
        <v>101</v>
      </c>
      <c r="E502" s="33">
        <v>688</v>
      </c>
      <c r="F502" s="33">
        <v>86</v>
      </c>
      <c r="G502" s="33">
        <v>627</v>
      </c>
      <c r="H502" s="33">
        <v>112</v>
      </c>
      <c r="I502" s="33">
        <v>413</v>
      </c>
      <c r="J502" s="33">
        <v>75</v>
      </c>
      <c r="K502" s="33">
        <v>324</v>
      </c>
      <c r="L502" s="33">
        <v>78</v>
      </c>
      <c r="M502" s="33">
        <v>577</v>
      </c>
      <c r="N502" s="33">
        <v>69</v>
      </c>
      <c r="O502" s="33">
        <v>420</v>
      </c>
      <c r="P502" s="1">
        <v>521</v>
      </c>
      <c r="Q502" s="1">
        <v>25</v>
      </c>
      <c r="R502" s="1">
        <v>499</v>
      </c>
    </row>
    <row r="503" spans="1:18">
      <c r="A503" s="33" t="s">
        <v>1090</v>
      </c>
      <c r="B503" s="1" t="s">
        <v>97</v>
      </c>
      <c r="C503" s="1" t="s">
        <v>1091</v>
      </c>
      <c r="D503" s="33">
        <v>106</v>
      </c>
      <c r="E503" s="33">
        <v>477</v>
      </c>
      <c r="F503" s="33">
        <v>82</v>
      </c>
      <c r="G503" s="33">
        <v>677</v>
      </c>
      <c r="H503" s="33">
        <v>123</v>
      </c>
      <c r="I503" s="33">
        <v>132</v>
      </c>
      <c r="J503" s="33">
        <v>69</v>
      </c>
      <c r="K503" s="33">
        <v>452</v>
      </c>
      <c r="L503" s="33">
        <v>73</v>
      </c>
      <c r="M503" s="33">
        <v>717</v>
      </c>
      <c r="N503" s="33">
        <v>68</v>
      </c>
      <c r="O503" s="33">
        <v>452</v>
      </c>
      <c r="P503" s="1">
        <v>521</v>
      </c>
      <c r="Q503" s="1">
        <v>28</v>
      </c>
      <c r="R503" s="1">
        <v>499</v>
      </c>
    </row>
    <row r="504" spans="1:18">
      <c r="A504" s="33" t="s">
        <v>1098</v>
      </c>
      <c r="B504" s="1" t="s">
        <v>133</v>
      </c>
      <c r="C504" s="1" t="s">
        <v>1099</v>
      </c>
      <c r="D504" s="33">
        <v>106</v>
      </c>
      <c r="E504" s="33">
        <v>477</v>
      </c>
      <c r="F504" s="33">
        <v>94</v>
      </c>
      <c r="G504" s="33">
        <v>524</v>
      </c>
      <c r="H504" s="33">
        <v>117.5</v>
      </c>
      <c r="I504" s="33">
        <v>281</v>
      </c>
      <c r="J504" s="33">
        <v>69</v>
      </c>
      <c r="K504" s="33">
        <v>452</v>
      </c>
      <c r="L504" s="33">
        <v>88</v>
      </c>
      <c r="M504" s="33">
        <v>240</v>
      </c>
      <c r="N504" s="33">
        <v>46</v>
      </c>
      <c r="O504" s="33">
        <v>909</v>
      </c>
      <c r="P504" s="1">
        <v>520.5</v>
      </c>
      <c r="Q504" s="1">
        <v>36</v>
      </c>
      <c r="R504" s="1">
        <v>503</v>
      </c>
    </row>
    <row r="505" spans="1:18">
      <c r="A505" s="33" t="s">
        <v>1100</v>
      </c>
      <c r="B505" s="1" t="s">
        <v>97</v>
      </c>
      <c r="C505" s="1" t="s">
        <v>1101</v>
      </c>
      <c r="D505" s="33">
        <v>99</v>
      </c>
      <c r="E505" s="33">
        <v>754</v>
      </c>
      <c r="F505" s="33">
        <v>115</v>
      </c>
      <c r="G505" s="33">
        <v>196</v>
      </c>
      <c r="H505" s="33">
        <v>110</v>
      </c>
      <c r="I505" s="33">
        <v>478</v>
      </c>
      <c r="J505" s="33">
        <v>63</v>
      </c>
      <c r="K505" s="33">
        <v>581</v>
      </c>
      <c r="L505" s="33">
        <v>71</v>
      </c>
      <c r="M505" s="33">
        <v>773</v>
      </c>
      <c r="N505" s="33">
        <v>62</v>
      </c>
      <c r="O505" s="33">
        <v>657</v>
      </c>
      <c r="P505" s="1">
        <v>520</v>
      </c>
      <c r="Q505" s="1">
        <v>29</v>
      </c>
      <c r="R505" s="1">
        <v>504</v>
      </c>
    </row>
    <row r="506" spans="1:18">
      <c r="A506" s="33" t="s">
        <v>1104</v>
      </c>
      <c r="B506" s="1" t="s">
        <v>296</v>
      </c>
      <c r="C506" s="1" t="s">
        <v>1105</v>
      </c>
      <c r="D506" s="33">
        <v>87</v>
      </c>
      <c r="E506" s="33">
        <v>922</v>
      </c>
      <c r="F506" s="33">
        <v>105</v>
      </c>
      <c r="G506" s="33">
        <v>341</v>
      </c>
      <c r="H506" s="33">
        <v>100</v>
      </c>
      <c r="I506" s="33">
        <v>680</v>
      </c>
      <c r="J506" s="33">
        <v>82</v>
      </c>
      <c r="K506" s="33">
        <v>171</v>
      </c>
      <c r="L506" s="33">
        <v>83</v>
      </c>
      <c r="M506" s="33">
        <v>407</v>
      </c>
      <c r="N506" s="33">
        <v>63</v>
      </c>
      <c r="O506" s="33">
        <v>625</v>
      </c>
      <c r="P506" s="1">
        <v>520</v>
      </c>
      <c r="Q506" s="1">
        <v>25</v>
      </c>
      <c r="R506" s="1">
        <v>504</v>
      </c>
    </row>
    <row r="507" spans="1:18">
      <c r="A507" s="33" t="s">
        <v>1102</v>
      </c>
      <c r="B507" s="1" t="s">
        <v>169</v>
      </c>
      <c r="C507" s="1" t="s">
        <v>1103</v>
      </c>
      <c r="D507" s="33">
        <v>101</v>
      </c>
      <c r="E507" s="33">
        <v>688</v>
      </c>
      <c r="F507" s="33">
        <v>88</v>
      </c>
      <c r="G507" s="33">
        <v>602</v>
      </c>
      <c r="H507" s="33">
        <v>101</v>
      </c>
      <c r="I507" s="33">
        <v>661</v>
      </c>
      <c r="J507" s="33">
        <v>60</v>
      </c>
      <c r="K507" s="33">
        <v>647</v>
      </c>
      <c r="L507" s="33">
        <v>89</v>
      </c>
      <c r="M507" s="33">
        <v>200</v>
      </c>
      <c r="N507" s="33">
        <v>81</v>
      </c>
      <c r="O507" s="33">
        <v>66</v>
      </c>
      <c r="P507" s="1">
        <v>520</v>
      </c>
      <c r="Q507" s="1">
        <v>30</v>
      </c>
      <c r="R507" s="1">
        <v>504</v>
      </c>
    </row>
    <row r="508" spans="1:18">
      <c r="A508" s="33" t="s">
        <v>1106</v>
      </c>
      <c r="B508" s="1" t="s">
        <v>84</v>
      </c>
      <c r="C508" s="1" t="s">
        <v>1107</v>
      </c>
      <c r="D508" s="33">
        <v>104</v>
      </c>
      <c r="E508" s="33">
        <v>573</v>
      </c>
      <c r="F508" s="33">
        <v>121</v>
      </c>
      <c r="G508" s="33">
        <v>131</v>
      </c>
      <c r="H508" s="33">
        <v>118.5</v>
      </c>
      <c r="I508" s="33">
        <v>247</v>
      </c>
      <c r="J508" s="33">
        <v>51</v>
      </c>
      <c r="K508" s="33">
        <v>812</v>
      </c>
      <c r="L508" s="33">
        <v>67</v>
      </c>
      <c r="M508" s="33">
        <v>837</v>
      </c>
      <c r="N508" s="33">
        <v>58</v>
      </c>
      <c r="O508" s="33">
        <v>754</v>
      </c>
      <c r="P508" s="1">
        <v>519.5</v>
      </c>
      <c r="Q508" s="1">
        <v>27</v>
      </c>
      <c r="R508" s="1">
        <v>507</v>
      </c>
    </row>
    <row r="509" spans="1:18">
      <c r="A509" s="33" t="s">
        <v>1108</v>
      </c>
      <c r="B509" s="1" t="s">
        <v>210</v>
      </c>
      <c r="C509" s="1" t="s">
        <v>1109</v>
      </c>
      <c r="D509" s="33">
        <v>113</v>
      </c>
      <c r="E509" s="33">
        <v>196</v>
      </c>
      <c r="F509" s="33">
        <v>88</v>
      </c>
      <c r="G509" s="33">
        <v>602</v>
      </c>
      <c r="H509" s="33">
        <v>88.5</v>
      </c>
      <c r="I509" s="33">
        <v>848</v>
      </c>
      <c r="J509" s="33">
        <v>77</v>
      </c>
      <c r="K509" s="33">
        <v>278</v>
      </c>
      <c r="L509" s="33">
        <v>82</v>
      </c>
      <c r="M509" s="33">
        <v>452</v>
      </c>
      <c r="N509" s="33">
        <v>71</v>
      </c>
      <c r="O509" s="33">
        <v>342</v>
      </c>
      <c r="P509" s="1">
        <v>519.5</v>
      </c>
      <c r="Q509" s="1">
        <v>32</v>
      </c>
      <c r="R509" s="1">
        <v>507</v>
      </c>
    </row>
    <row r="510" spans="1:18">
      <c r="A510" s="33" t="s">
        <v>1114</v>
      </c>
      <c r="B510" s="1" t="s">
        <v>97</v>
      </c>
      <c r="C510" s="1" t="s">
        <v>1115</v>
      </c>
      <c r="D510" s="33">
        <v>104</v>
      </c>
      <c r="E510" s="33">
        <v>573</v>
      </c>
      <c r="F510" s="33">
        <v>107</v>
      </c>
      <c r="G510" s="33">
        <v>314</v>
      </c>
      <c r="H510" s="33">
        <v>93</v>
      </c>
      <c r="I510" s="33">
        <v>796</v>
      </c>
      <c r="J510" s="33">
        <v>56</v>
      </c>
      <c r="K510" s="33">
        <v>731</v>
      </c>
      <c r="L510" s="33">
        <v>88</v>
      </c>
      <c r="M510" s="33">
        <v>240</v>
      </c>
      <c r="N510" s="33">
        <v>71</v>
      </c>
      <c r="O510" s="33">
        <v>342</v>
      </c>
      <c r="P510" s="1">
        <v>519</v>
      </c>
      <c r="Q510" s="1">
        <v>30</v>
      </c>
      <c r="R510" s="1">
        <v>509</v>
      </c>
    </row>
    <row r="511" spans="1:18">
      <c r="A511" s="33" t="s">
        <v>1118</v>
      </c>
      <c r="B511" s="1" t="s">
        <v>172</v>
      </c>
      <c r="C511" s="1" t="s">
        <v>1119</v>
      </c>
      <c r="D511" s="33">
        <v>107</v>
      </c>
      <c r="E511" s="33">
        <v>429</v>
      </c>
      <c r="F511" s="33">
        <v>105</v>
      </c>
      <c r="G511" s="33">
        <v>341</v>
      </c>
      <c r="H511" s="33">
        <v>120</v>
      </c>
      <c r="I511" s="33">
        <v>211</v>
      </c>
      <c r="J511" s="33">
        <v>49</v>
      </c>
      <c r="K511" s="33">
        <v>842</v>
      </c>
      <c r="L511" s="33">
        <v>81</v>
      </c>
      <c r="M511" s="33">
        <v>474</v>
      </c>
      <c r="N511" s="33">
        <v>57</v>
      </c>
      <c r="O511" s="33">
        <v>770</v>
      </c>
      <c r="P511" s="1">
        <v>519</v>
      </c>
      <c r="Q511" s="1">
        <v>26</v>
      </c>
      <c r="R511" s="1">
        <v>509</v>
      </c>
    </row>
    <row r="512" spans="1:18">
      <c r="A512" s="33" t="s">
        <v>1116</v>
      </c>
      <c r="B512" s="1" t="s">
        <v>150</v>
      </c>
      <c r="C512" s="1" t="s">
        <v>1117</v>
      </c>
      <c r="D512" s="33">
        <v>109</v>
      </c>
      <c r="E512" s="33">
        <v>353</v>
      </c>
      <c r="F512" s="33">
        <v>95</v>
      </c>
      <c r="G512" s="33">
        <v>502</v>
      </c>
      <c r="H512" s="33">
        <v>106</v>
      </c>
      <c r="I512" s="33">
        <v>558</v>
      </c>
      <c r="J512" s="33">
        <v>54</v>
      </c>
      <c r="K512" s="33">
        <v>766</v>
      </c>
      <c r="L512" s="33">
        <v>87</v>
      </c>
      <c r="M512" s="33">
        <v>268</v>
      </c>
      <c r="N512" s="33">
        <v>68</v>
      </c>
      <c r="O512" s="33">
        <v>452</v>
      </c>
      <c r="P512" s="1">
        <v>519</v>
      </c>
      <c r="Q512" s="1">
        <v>35</v>
      </c>
      <c r="R512" s="1">
        <v>509</v>
      </c>
    </row>
    <row r="513" spans="1:18">
      <c r="A513" s="33" t="s">
        <v>1112</v>
      </c>
      <c r="B513" s="1" t="s">
        <v>203</v>
      </c>
      <c r="C513" s="1" t="s">
        <v>1113</v>
      </c>
      <c r="D513" s="33">
        <v>120</v>
      </c>
      <c r="E513" s="33">
        <v>43</v>
      </c>
      <c r="F513" s="33">
        <v>87</v>
      </c>
      <c r="G513" s="33">
        <v>615</v>
      </c>
      <c r="H513" s="33">
        <v>99</v>
      </c>
      <c r="I513" s="33">
        <v>707</v>
      </c>
      <c r="J513" s="33">
        <v>48</v>
      </c>
      <c r="K513" s="33">
        <v>854</v>
      </c>
      <c r="L513" s="33">
        <v>91</v>
      </c>
      <c r="M513" s="33">
        <v>151</v>
      </c>
      <c r="N513" s="33">
        <v>74</v>
      </c>
      <c r="O513" s="33">
        <v>247</v>
      </c>
      <c r="P513" s="1">
        <v>519</v>
      </c>
      <c r="Q513" s="1">
        <v>23</v>
      </c>
      <c r="R513" s="1">
        <v>509</v>
      </c>
    </row>
    <row r="514" spans="1:18">
      <c r="A514" s="33" t="s">
        <v>1110</v>
      </c>
      <c r="B514" s="1" t="s">
        <v>84</v>
      </c>
      <c r="C514" s="1" t="s">
        <v>1111</v>
      </c>
      <c r="D514" s="33">
        <v>104</v>
      </c>
      <c r="E514" s="33">
        <v>573</v>
      </c>
      <c r="F514" s="33">
        <v>81</v>
      </c>
      <c r="G514" s="33">
        <v>689</v>
      </c>
      <c r="H514" s="33">
        <v>105</v>
      </c>
      <c r="I514" s="33">
        <v>578</v>
      </c>
      <c r="J514" s="33">
        <v>80</v>
      </c>
      <c r="K514" s="33">
        <v>211</v>
      </c>
      <c r="L514" s="33">
        <v>79</v>
      </c>
      <c r="M514" s="33">
        <v>539</v>
      </c>
      <c r="N514" s="33">
        <v>70</v>
      </c>
      <c r="O514" s="33">
        <v>380</v>
      </c>
      <c r="P514" s="1">
        <v>519</v>
      </c>
      <c r="Q514" s="1">
        <v>28</v>
      </c>
      <c r="R514" s="1">
        <v>509</v>
      </c>
    </row>
    <row r="515" spans="1:18">
      <c r="A515" s="33" t="s">
        <v>1120</v>
      </c>
      <c r="B515" s="1" t="s">
        <v>92</v>
      </c>
      <c r="C515" s="1" t="s">
        <v>1121</v>
      </c>
      <c r="D515" s="33">
        <v>103</v>
      </c>
      <c r="E515" s="33">
        <v>606</v>
      </c>
      <c r="F515" s="33">
        <v>97</v>
      </c>
      <c r="G515" s="33">
        <v>475</v>
      </c>
      <c r="H515" s="33">
        <v>119.5</v>
      </c>
      <c r="I515" s="33">
        <v>229</v>
      </c>
      <c r="J515" s="33">
        <v>62</v>
      </c>
      <c r="K515" s="33">
        <v>607</v>
      </c>
      <c r="L515" s="33">
        <v>70</v>
      </c>
      <c r="M515" s="33">
        <v>787</v>
      </c>
      <c r="N515" s="33">
        <v>67</v>
      </c>
      <c r="O515" s="33">
        <v>489</v>
      </c>
      <c r="P515" s="1">
        <v>518.5</v>
      </c>
      <c r="Q515" s="1">
        <v>29</v>
      </c>
      <c r="R515" s="1">
        <v>514</v>
      </c>
    </row>
    <row r="516" spans="1:18">
      <c r="A516" s="33" t="s">
        <v>1122</v>
      </c>
      <c r="B516" s="1" t="s">
        <v>84</v>
      </c>
      <c r="C516" s="1" t="s">
        <v>1123</v>
      </c>
      <c r="D516" s="33">
        <v>112</v>
      </c>
      <c r="E516" s="33">
        <v>226</v>
      </c>
      <c r="F516" s="33">
        <v>93</v>
      </c>
      <c r="G516" s="33">
        <v>541</v>
      </c>
      <c r="H516" s="33">
        <v>96.5</v>
      </c>
      <c r="I516" s="33">
        <v>750</v>
      </c>
      <c r="J516" s="33">
        <v>73</v>
      </c>
      <c r="K516" s="33">
        <v>370</v>
      </c>
      <c r="L516" s="33">
        <v>83</v>
      </c>
      <c r="M516" s="33">
        <v>407</v>
      </c>
      <c r="N516" s="33">
        <v>61</v>
      </c>
      <c r="O516" s="33">
        <v>686</v>
      </c>
      <c r="P516" s="1">
        <v>518.5</v>
      </c>
      <c r="Q516" s="1">
        <v>29</v>
      </c>
      <c r="R516" s="1">
        <v>514</v>
      </c>
    </row>
    <row r="517" spans="1:18">
      <c r="A517" s="33" t="s">
        <v>1126</v>
      </c>
      <c r="B517" s="1" t="s">
        <v>97</v>
      </c>
      <c r="C517" s="1" t="s">
        <v>1127</v>
      </c>
      <c r="D517" s="33">
        <v>103</v>
      </c>
      <c r="E517" s="33">
        <v>606</v>
      </c>
      <c r="F517" s="33">
        <v>109</v>
      </c>
      <c r="G517" s="33">
        <v>279</v>
      </c>
      <c r="H517" s="33">
        <v>108</v>
      </c>
      <c r="I517" s="33">
        <v>519</v>
      </c>
      <c r="J517" s="33">
        <v>50</v>
      </c>
      <c r="K517" s="33">
        <v>826</v>
      </c>
      <c r="L517" s="33">
        <v>77</v>
      </c>
      <c r="M517" s="33">
        <v>608</v>
      </c>
      <c r="N517" s="33">
        <v>71</v>
      </c>
      <c r="O517" s="33">
        <v>342</v>
      </c>
      <c r="P517" s="1">
        <v>518</v>
      </c>
      <c r="Q517" s="1">
        <v>31</v>
      </c>
      <c r="R517" s="1">
        <v>516</v>
      </c>
    </row>
    <row r="518" spans="1:18">
      <c r="A518" s="33" t="s">
        <v>1124</v>
      </c>
      <c r="B518" s="1" t="s">
        <v>203</v>
      </c>
      <c r="C518" s="1" t="s">
        <v>1125</v>
      </c>
      <c r="D518" s="33">
        <v>101</v>
      </c>
      <c r="E518" s="33">
        <v>688</v>
      </c>
      <c r="F518" s="33">
        <v>84</v>
      </c>
      <c r="G518" s="33">
        <v>659</v>
      </c>
      <c r="H518" s="33">
        <v>88</v>
      </c>
      <c r="I518" s="33">
        <v>852</v>
      </c>
      <c r="J518" s="33">
        <v>78</v>
      </c>
      <c r="K518" s="33">
        <v>256</v>
      </c>
      <c r="L518" s="33">
        <v>85</v>
      </c>
      <c r="M518" s="33">
        <v>339</v>
      </c>
      <c r="N518" s="33">
        <v>82</v>
      </c>
      <c r="O518" s="33">
        <v>46</v>
      </c>
      <c r="P518" s="1">
        <v>518</v>
      </c>
      <c r="Q518" s="1">
        <v>24</v>
      </c>
      <c r="R518" s="1">
        <v>516</v>
      </c>
    </row>
    <row r="519" spans="1:18">
      <c r="A519" s="33" t="s">
        <v>1128</v>
      </c>
      <c r="B519" s="1" t="s">
        <v>92</v>
      </c>
      <c r="C519" s="1" t="s">
        <v>1129</v>
      </c>
      <c r="D519" s="33">
        <v>103</v>
      </c>
      <c r="E519" s="33">
        <v>606</v>
      </c>
      <c r="F519" s="33">
        <v>80</v>
      </c>
      <c r="G519" s="33">
        <v>700</v>
      </c>
      <c r="H519" s="33">
        <v>98</v>
      </c>
      <c r="I519" s="33">
        <v>728</v>
      </c>
      <c r="J519" s="33">
        <v>73</v>
      </c>
      <c r="K519" s="33">
        <v>370</v>
      </c>
      <c r="L519" s="33">
        <v>89</v>
      </c>
      <c r="M519" s="33">
        <v>200</v>
      </c>
      <c r="N519" s="33">
        <v>75</v>
      </c>
      <c r="O519" s="33">
        <v>219</v>
      </c>
      <c r="P519" s="1">
        <v>518</v>
      </c>
      <c r="Q519" s="1">
        <v>30</v>
      </c>
      <c r="R519" s="1">
        <v>516</v>
      </c>
    </row>
    <row r="520" spans="1:18">
      <c r="A520" s="33" t="s">
        <v>1138</v>
      </c>
      <c r="B520" s="1" t="s">
        <v>240</v>
      </c>
      <c r="C520" s="1" t="s">
        <v>1139</v>
      </c>
      <c r="D520" s="33">
        <v>100</v>
      </c>
      <c r="E520" s="33">
        <v>715</v>
      </c>
      <c r="F520" s="33">
        <v>113</v>
      </c>
      <c r="G520" s="33">
        <v>225</v>
      </c>
      <c r="H520" s="33">
        <v>87.5</v>
      </c>
      <c r="I520" s="33">
        <v>855</v>
      </c>
      <c r="J520" s="33">
        <v>71</v>
      </c>
      <c r="K520" s="33">
        <v>411</v>
      </c>
      <c r="L520" s="33">
        <v>82</v>
      </c>
      <c r="M520" s="33">
        <v>452</v>
      </c>
      <c r="N520" s="33">
        <v>64</v>
      </c>
      <c r="O520" s="33">
        <v>593</v>
      </c>
      <c r="P520" s="1">
        <v>517.5</v>
      </c>
      <c r="Q520" s="1">
        <v>35</v>
      </c>
      <c r="R520" s="1">
        <v>519</v>
      </c>
    </row>
    <row r="521" spans="1:18">
      <c r="A521" s="33" t="s">
        <v>1136</v>
      </c>
      <c r="B521" s="1" t="s">
        <v>210</v>
      </c>
      <c r="C521" s="1" t="s">
        <v>1137</v>
      </c>
      <c r="D521" s="33">
        <v>110</v>
      </c>
      <c r="E521" s="33">
        <v>310</v>
      </c>
      <c r="F521" s="33">
        <v>105</v>
      </c>
      <c r="G521" s="33">
        <v>341</v>
      </c>
      <c r="H521" s="33">
        <v>86.5</v>
      </c>
      <c r="I521" s="33">
        <v>863</v>
      </c>
      <c r="J521" s="33">
        <v>68</v>
      </c>
      <c r="K521" s="33">
        <v>474</v>
      </c>
      <c r="L521" s="33">
        <v>86</v>
      </c>
      <c r="M521" s="33">
        <v>304</v>
      </c>
      <c r="N521" s="33">
        <v>62</v>
      </c>
      <c r="O521" s="33">
        <v>657</v>
      </c>
      <c r="P521" s="1">
        <v>517.5</v>
      </c>
      <c r="Q521" s="1">
        <v>33</v>
      </c>
      <c r="R521" s="1">
        <v>519</v>
      </c>
    </row>
    <row r="522" spans="1:18">
      <c r="A522" s="33" t="s">
        <v>1134</v>
      </c>
      <c r="B522" s="1" t="s">
        <v>217</v>
      </c>
      <c r="C522" s="1" t="s">
        <v>1135</v>
      </c>
      <c r="D522" s="33">
        <v>98</v>
      </c>
      <c r="E522" s="33">
        <v>774</v>
      </c>
      <c r="F522" s="33">
        <v>98</v>
      </c>
      <c r="G522" s="33">
        <v>459</v>
      </c>
      <c r="H522" s="33">
        <v>103.5</v>
      </c>
      <c r="I522" s="33">
        <v>612</v>
      </c>
      <c r="J522" s="33">
        <v>75</v>
      </c>
      <c r="K522" s="33">
        <v>324</v>
      </c>
      <c r="L522" s="33">
        <v>85</v>
      </c>
      <c r="M522" s="33">
        <v>339</v>
      </c>
      <c r="N522" s="33">
        <v>58</v>
      </c>
      <c r="O522" s="33">
        <v>754</v>
      </c>
      <c r="P522" s="1">
        <v>517.5</v>
      </c>
      <c r="Q522" s="1">
        <v>23</v>
      </c>
      <c r="R522" s="1">
        <v>519</v>
      </c>
    </row>
    <row r="523" spans="1:18">
      <c r="A523" s="33" t="s">
        <v>1130</v>
      </c>
      <c r="B523" s="1" t="s">
        <v>97</v>
      </c>
      <c r="C523" s="1" t="s">
        <v>1131</v>
      </c>
      <c r="D523" s="33">
        <v>108</v>
      </c>
      <c r="E523" s="33">
        <v>391</v>
      </c>
      <c r="F523" s="33">
        <v>97</v>
      </c>
      <c r="G523" s="33">
        <v>475</v>
      </c>
      <c r="H523" s="33">
        <v>120.5</v>
      </c>
      <c r="I523" s="33">
        <v>192</v>
      </c>
      <c r="J523" s="33">
        <v>54</v>
      </c>
      <c r="K523" s="33">
        <v>766</v>
      </c>
      <c r="L523" s="33">
        <v>85</v>
      </c>
      <c r="M523" s="33">
        <v>339</v>
      </c>
      <c r="N523" s="33">
        <v>53</v>
      </c>
      <c r="O523" s="33">
        <v>832</v>
      </c>
      <c r="P523" s="1">
        <v>517.5</v>
      </c>
      <c r="Q523" s="1">
        <v>32</v>
      </c>
      <c r="R523" s="1">
        <v>519</v>
      </c>
    </row>
    <row r="524" spans="1:18">
      <c r="A524" s="33" t="s">
        <v>1140</v>
      </c>
      <c r="B524" s="1" t="s">
        <v>169</v>
      </c>
      <c r="C524" s="1" t="s">
        <v>1141</v>
      </c>
      <c r="D524" s="33">
        <v>103</v>
      </c>
      <c r="E524" s="33">
        <v>606</v>
      </c>
      <c r="F524" s="33">
        <v>86</v>
      </c>
      <c r="G524" s="33">
        <v>627</v>
      </c>
      <c r="H524" s="33">
        <v>108.5</v>
      </c>
      <c r="I524" s="33">
        <v>508</v>
      </c>
      <c r="J524" s="33">
        <v>78</v>
      </c>
      <c r="K524" s="33">
        <v>256</v>
      </c>
      <c r="L524" s="33">
        <v>80</v>
      </c>
      <c r="M524" s="33">
        <v>511</v>
      </c>
      <c r="N524" s="33">
        <v>62</v>
      </c>
      <c r="O524" s="33">
        <v>657</v>
      </c>
      <c r="P524" s="1">
        <v>517.5</v>
      </c>
      <c r="Q524" s="1">
        <v>31</v>
      </c>
      <c r="R524" s="1">
        <v>519</v>
      </c>
    </row>
    <row r="525" spans="1:18">
      <c r="A525" s="33" t="s">
        <v>1132</v>
      </c>
      <c r="B525" s="1" t="s">
        <v>92</v>
      </c>
      <c r="C525" s="1" t="s">
        <v>1133</v>
      </c>
      <c r="D525" s="33">
        <v>91</v>
      </c>
      <c r="E525" s="33">
        <v>890</v>
      </c>
      <c r="F525" s="33">
        <v>82</v>
      </c>
      <c r="G525" s="33">
        <v>677</v>
      </c>
      <c r="H525" s="33">
        <v>120.5</v>
      </c>
      <c r="I525" s="33">
        <v>192</v>
      </c>
      <c r="J525" s="33">
        <v>70</v>
      </c>
      <c r="K525" s="33">
        <v>429</v>
      </c>
      <c r="L525" s="33">
        <v>93</v>
      </c>
      <c r="M525" s="33">
        <v>93</v>
      </c>
      <c r="N525" s="33">
        <v>61</v>
      </c>
      <c r="O525" s="33">
        <v>686</v>
      </c>
      <c r="P525" s="1">
        <v>517.5</v>
      </c>
      <c r="Q525" s="1">
        <v>31</v>
      </c>
      <c r="R525" s="1">
        <v>519</v>
      </c>
    </row>
    <row r="526" spans="1:18">
      <c r="A526" s="33" t="s">
        <v>1148</v>
      </c>
      <c r="B526" s="1" t="s">
        <v>133</v>
      </c>
      <c r="C526" s="1" t="s">
        <v>1149</v>
      </c>
      <c r="D526" s="33">
        <v>114</v>
      </c>
      <c r="E526" s="33">
        <v>170</v>
      </c>
      <c r="F526" s="33">
        <v>104</v>
      </c>
      <c r="G526" s="33">
        <v>359</v>
      </c>
      <c r="H526" s="33">
        <v>102</v>
      </c>
      <c r="I526" s="33">
        <v>642</v>
      </c>
      <c r="J526" s="33">
        <v>58</v>
      </c>
      <c r="K526" s="33">
        <v>698</v>
      </c>
      <c r="L526" s="33">
        <v>77</v>
      </c>
      <c r="M526" s="33">
        <v>608</v>
      </c>
      <c r="N526" s="33">
        <v>62</v>
      </c>
      <c r="O526" s="33">
        <v>657</v>
      </c>
      <c r="P526" s="1">
        <v>517</v>
      </c>
      <c r="Q526" s="1">
        <v>37</v>
      </c>
      <c r="R526" s="1">
        <v>525</v>
      </c>
    </row>
    <row r="527" spans="1:18">
      <c r="A527" s="33" t="s">
        <v>1142</v>
      </c>
      <c r="B527" s="1" t="s">
        <v>111</v>
      </c>
      <c r="C527" s="1" t="s">
        <v>1143</v>
      </c>
      <c r="D527" s="33">
        <v>114</v>
      </c>
      <c r="E527" s="33">
        <v>170</v>
      </c>
      <c r="F527" s="33">
        <v>99</v>
      </c>
      <c r="G527" s="33">
        <v>437</v>
      </c>
      <c r="H527" s="33">
        <v>106</v>
      </c>
      <c r="I527" s="33">
        <v>558</v>
      </c>
      <c r="J527" s="33">
        <v>68</v>
      </c>
      <c r="K527" s="33">
        <v>474</v>
      </c>
      <c r="L527" s="33">
        <v>70</v>
      </c>
      <c r="M527" s="33">
        <v>787</v>
      </c>
      <c r="N527" s="33">
        <v>60</v>
      </c>
      <c r="O527" s="33">
        <v>706</v>
      </c>
      <c r="P527" s="1">
        <v>517</v>
      </c>
      <c r="Q527" s="1">
        <v>23</v>
      </c>
      <c r="R527" s="1">
        <v>525</v>
      </c>
    </row>
    <row r="528" spans="1:18">
      <c r="A528" s="33" t="s">
        <v>1144</v>
      </c>
      <c r="B528" s="1" t="s">
        <v>84</v>
      </c>
      <c r="C528" s="1" t="s">
        <v>1145</v>
      </c>
      <c r="D528" s="33">
        <v>102</v>
      </c>
      <c r="E528" s="33">
        <v>655</v>
      </c>
      <c r="F528" s="33">
        <v>99</v>
      </c>
      <c r="G528" s="33">
        <v>437</v>
      </c>
      <c r="H528" s="33">
        <v>99</v>
      </c>
      <c r="I528" s="33">
        <v>707</v>
      </c>
      <c r="J528" s="33">
        <v>68</v>
      </c>
      <c r="K528" s="33">
        <v>474</v>
      </c>
      <c r="L528" s="33">
        <v>80</v>
      </c>
      <c r="M528" s="33">
        <v>511</v>
      </c>
      <c r="N528" s="33">
        <v>69</v>
      </c>
      <c r="O528" s="33">
        <v>420</v>
      </c>
      <c r="P528" s="1">
        <v>517</v>
      </c>
      <c r="Q528" s="1">
        <v>30</v>
      </c>
      <c r="R528" s="1">
        <v>525</v>
      </c>
    </row>
    <row r="529" spans="1:18">
      <c r="A529" s="33" t="s">
        <v>1146</v>
      </c>
      <c r="B529" s="1" t="s">
        <v>84</v>
      </c>
      <c r="C529" s="1" t="s">
        <v>1147</v>
      </c>
      <c r="D529" s="33">
        <v>114</v>
      </c>
      <c r="E529" s="33">
        <v>170</v>
      </c>
      <c r="F529" s="33">
        <v>87</v>
      </c>
      <c r="G529" s="33">
        <v>615</v>
      </c>
      <c r="H529" s="33">
        <v>112</v>
      </c>
      <c r="I529" s="33">
        <v>413</v>
      </c>
      <c r="J529" s="33">
        <v>75</v>
      </c>
      <c r="K529" s="33">
        <v>324</v>
      </c>
      <c r="L529" s="33">
        <v>70</v>
      </c>
      <c r="M529" s="33">
        <v>787</v>
      </c>
      <c r="N529" s="33">
        <v>59</v>
      </c>
      <c r="O529" s="33">
        <v>729</v>
      </c>
      <c r="P529" s="1">
        <v>517</v>
      </c>
      <c r="Q529" s="1">
        <v>30</v>
      </c>
      <c r="R529" s="1">
        <v>525</v>
      </c>
    </row>
    <row r="530" spans="1:18">
      <c r="A530" s="33" t="s">
        <v>1150</v>
      </c>
      <c r="B530" s="1" t="s">
        <v>172</v>
      </c>
      <c r="C530" s="1" t="s">
        <v>1151</v>
      </c>
      <c r="D530" s="33">
        <v>115</v>
      </c>
      <c r="E530" s="33">
        <v>140</v>
      </c>
      <c r="F530" s="33">
        <v>106</v>
      </c>
      <c r="G530" s="33">
        <v>323</v>
      </c>
      <c r="H530" s="33">
        <v>89.5</v>
      </c>
      <c r="I530" s="33">
        <v>836</v>
      </c>
      <c r="J530" s="33">
        <v>68</v>
      </c>
      <c r="K530" s="33">
        <v>474</v>
      </c>
      <c r="L530" s="33">
        <v>71</v>
      </c>
      <c r="M530" s="33">
        <v>773</v>
      </c>
      <c r="N530" s="33">
        <v>67</v>
      </c>
      <c r="O530" s="33">
        <v>489</v>
      </c>
      <c r="P530" s="1">
        <v>516.5</v>
      </c>
      <c r="Q530" s="1">
        <v>27</v>
      </c>
      <c r="R530" s="1">
        <v>529</v>
      </c>
    </row>
    <row r="531" spans="1:18">
      <c r="A531" s="33" t="s">
        <v>1154</v>
      </c>
      <c r="B531" s="1" t="s">
        <v>111</v>
      </c>
      <c r="C531" s="1" t="s">
        <v>1155</v>
      </c>
      <c r="D531" s="33">
        <v>109</v>
      </c>
      <c r="E531" s="33">
        <v>353</v>
      </c>
      <c r="F531" s="33">
        <v>101</v>
      </c>
      <c r="G531" s="33">
        <v>404</v>
      </c>
      <c r="H531" s="33">
        <v>111.5</v>
      </c>
      <c r="I531" s="33">
        <v>427</v>
      </c>
      <c r="J531" s="33">
        <v>57</v>
      </c>
      <c r="K531" s="33">
        <v>713</v>
      </c>
      <c r="L531" s="33">
        <v>75</v>
      </c>
      <c r="M531" s="33">
        <v>671</v>
      </c>
      <c r="N531" s="33">
        <v>63</v>
      </c>
      <c r="O531" s="33">
        <v>625</v>
      </c>
      <c r="P531" s="1">
        <v>516.5</v>
      </c>
      <c r="Q531" s="1">
        <v>24</v>
      </c>
      <c r="R531" s="1">
        <v>529</v>
      </c>
    </row>
    <row r="532" spans="1:18">
      <c r="A532" s="33" t="s">
        <v>1152</v>
      </c>
      <c r="B532" s="1" t="s">
        <v>122</v>
      </c>
      <c r="C532" s="1" t="s">
        <v>1153</v>
      </c>
      <c r="D532" s="33">
        <v>100</v>
      </c>
      <c r="E532" s="33">
        <v>715</v>
      </c>
      <c r="F532" s="33">
        <v>90</v>
      </c>
      <c r="G532" s="33">
        <v>579</v>
      </c>
      <c r="H532" s="33">
        <v>110.5</v>
      </c>
      <c r="I532" s="33">
        <v>465</v>
      </c>
      <c r="J532" s="33">
        <v>64</v>
      </c>
      <c r="K532" s="33">
        <v>559</v>
      </c>
      <c r="L532" s="33">
        <v>89</v>
      </c>
      <c r="M532" s="33">
        <v>200</v>
      </c>
      <c r="N532" s="33">
        <v>63</v>
      </c>
      <c r="O532" s="33">
        <v>625</v>
      </c>
      <c r="P532" s="1">
        <v>516.5</v>
      </c>
      <c r="Q532" s="1">
        <v>49</v>
      </c>
      <c r="R532" s="1">
        <v>529</v>
      </c>
    </row>
    <row r="533" spans="1:18">
      <c r="A533" s="33" t="s">
        <v>1156</v>
      </c>
      <c r="B533" s="1" t="s">
        <v>203</v>
      </c>
      <c r="C533" s="1" t="s">
        <v>1157</v>
      </c>
      <c r="D533" s="33">
        <v>109</v>
      </c>
      <c r="E533" s="33">
        <v>353</v>
      </c>
      <c r="F533" s="33">
        <v>85</v>
      </c>
      <c r="G533" s="33">
        <v>644</v>
      </c>
      <c r="H533" s="33">
        <v>122.5</v>
      </c>
      <c r="I533" s="33">
        <v>146</v>
      </c>
      <c r="J533" s="33">
        <v>47</v>
      </c>
      <c r="K533" s="33">
        <v>863</v>
      </c>
      <c r="L533" s="33">
        <v>79</v>
      </c>
      <c r="M533" s="33">
        <v>539</v>
      </c>
      <c r="N533" s="33">
        <v>74</v>
      </c>
      <c r="O533" s="33">
        <v>247</v>
      </c>
      <c r="P533" s="1">
        <v>516.5</v>
      </c>
      <c r="Q533" s="1">
        <v>25</v>
      </c>
      <c r="R533" s="1">
        <v>529</v>
      </c>
    </row>
    <row r="534" spans="1:18">
      <c r="A534" s="33" t="s">
        <v>1158</v>
      </c>
      <c r="B534" s="1" t="s">
        <v>169</v>
      </c>
      <c r="C534" s="1" t="s">
        <v>1159</v>
      </c>
      <c r="D534" s="33">
        <v>91</v>
      </c>
      <c r="E534" s="33">
        <v>890</v>
      </c>
      <c r="F534" s="33">
        <v>113</v>
      </c>
      <c r="G534" s="33">
        <v>225</v>
      </c>
      <c r="H534" s="33">
        <v>93</v>
      </c>
      <c r="I534" s="33">
        <v>796</v>
      </c>
      <c r="J534" s="33">
        <v>78</v>
      </c>
      <c r="K534" s="33">
        <v>256</v>
      </c>
      <c r="L534" s="33">
        <v>75</v>
      </c>
      <c r="M534" s="33">
        <v>671</v>
      </c>
      <c r="N534" s="33">
        <v>66</v>
      </c>
      <c r="O534" s="33">
        <v>519</v>
      </c>
      <c r="P534" s="1">
        <v>516</v>
      </c>
      <c r="Q534" s="1">
        <v>32</v>
      </c>
      <c r="R534" s="1">
        <v>533</v>
      </c>
    </row>
    <row r="535" spans="1:18">
      <c r="A535" s="33" t="s">
        <v>1164</v>
      </c>
      <c r="B535" s="1" t="s">
        <v>150</v>
      </c>
      <c r="C535" s="1" t="s">
        <v>1165</v>
      </c>
      <c r="D535" s="33">
        <v>110</v>
      </c>
      <c r="E535" s="33">
        <v>310</v>
      </c>
      <c r="F535" s="33">
        <v>103</v>
      </c>
      <c r="G535" s="33">
        <v>375</v>
      </c>
      <c r="H535" s="33">
        <v>128</v>
      </c>
      <c r="I535" s="33">
        <v>58</v>
      </c>
      <c r="J535" s="33">
        <v>50</v>
      </c>
      <c r="K535" s="33">
        <v>826</v>
      </c>
      <c r="L535" s="33">
        <v>59</v>
      </c>
      <c r="M535" s="33">
        <v>911</v>
      </c>
      <c r="N535" s="33">
        <v>66</v>
      </c>
      <c r="O535" s="33">
        <v>519</v>
      </c>
      <c r="P535" s="1">
        <v>516</v>
      </c>
      <c r="Q535" s="1">
        <v>36</v>
      </c>
      <c r="R535" s="1">
        <v>533</v>
      </c>
    </row>
    <row r="536" spans="1:18">
      <c r="A536" s="33" t="s">
        <v>1162</v>
      </c>
      <c r="B536" s="1" t="s">
        <v>106</v>
      </c>
      <c r="C536" s="1" t="s">
        <v>1163</v>
      </c>
      <c r="D536" s="33">
        <v>105</v>
      </c>
      <c r="E536" s="33">
        <v>515</v>
      </c>
      <c r="F536" s="33">
        <v>99</v>
      </c>
      <c r="G536" s="33">
        <v>437</v>
      </c>
      <c r="H536" s="33">
        <v>104</v>
      </c>
      <c r="I536" s="33">
        <v>600</v>
      </c>
      <c r="J536" s="33">
        <v>51</v>
      </c>
      <c r="K536" s="33">
        <v>812</v>
      </c>
      <c r="L536" s="33">
        <v>77</v>
      </c>
      <c r="M536" s="33">
        <v>608</v>
      </c>
      <c r="N536" s="33">
        <v>80</v>
      </c>
      <c r="O536" s="33">
        <v>85</v>
      </c>
      <c r="P536" s="1">
        <v>516</v>
      </c>
      <c r="Q536" s="1">
        <v>21</v>
      </c>
      <c r="R536" s="1">
        <v>533</v>
      </c>
    </row>
    <row r="537" spans="1:18">
      <c r="A537" s="33" t="s">
        <v>1160</v>
      </c>
      <c r="B537" s="1" t="s">
        <v>210</v>
      </c>
      <c r="C537" s="1" t="s">
        <v>1161</v>
      </c>
      <c r="D537" s="33">
        <v>98</v>
      </c>
      <c r="E537" s="33">
        <v>774</v>
      </c>
      <c r="F537" s="33">
        <v>60</v>
      </c>
      <c r="G537" s="33">
        <v>885</v>
      </c>
      <c r="H537" s="33">
        <v>135</v>
      </c>
      <c r="I537" s="33">
        <v>8</v>
      </c>
      <c r="J537" s="33">
        <v>58</v>
      </c>
      <c r="K537" s="33">
        <v>698</v>
      </c>
      <c r="L537" s="33">
        <v>88</v>
      </c>
      <c r="M537" s="33">
        <v>240</v>
      </c>
      <c r="N537" s="33">
        <v>77</v>
      </c>
      <c r="O537" s="33">
        <v>162</v>
      </c>
      <c r="P537" s="1">
        <v>516</v>
      </c>
      <c r="Q537" s="1">
        <v>34</v>
      </c>
      <c r="R537" s="1">
        <v>533</v>
      </c>
    </row>
    <row r="538" spans="1:18">
      <c r="A538" s="33" t="s">
        <v>1170</v>
      </c>
      <c r="B538" s="1" t="s">
        <v>249</v>
      </c>
      <c r="C538" s="1" t="s">
        <v>1171</v>
      </c>
      <c r="D538" s="33">
        <v>115</v>
      </c>
      <c r="E538" s="33">
        <v>140</v>
      </c>
      <c r="F538" s="33">
        <v>102</v>
      </c>
      <c r="G538" s="33">
        <v>387</v>
      </c>
      <c r="H538" s="33">
        <v>96.5</v>
      </c>
      <c r="I538" s="33">
        <v>750</v>
      </c>
      <c r="J538" s="33">
        <v>66</v>
      </c>
      <c r="K538" s="33">
        <v>513</v>
      </c>
      <c r="L538" s="33">
        <v>79</v>
      </c>
      <c r="M538" s="33">
        <v>539</v>
      </c>
      <c r="N538" s="33">
        <v>57</v>
      </c>
      <c r="O538" s="33">
        <v>770</v>
      </c>
      <c r="P538" s="1">
        <v>515.5</v>
      </c>
      <c r="Q538" s="1">
        <v>25</v>
      </c>
      <c r="R538" s="1">
        <v>537</v>
      </c>
    </row>
    <row r="539" spans="1:18">
      <c r="A539" s="33" t="s">
        <v>1166</v>
      </c>
      <c r="B539" s="1" t="s">
        <v>133</v>
      </c>
      <c r="C539" s="1" t="s">
        <v>1167</v>
      </c>
      <c r="D539" s="33">
        <v>104</v>
      </c>
      <c r="E539" s="33">
        <v>573</v>
      </c>
      <c r="F539" s="33">
        <v>98</v>
      </c>
      <c r="G539" s="33">
        <v>459</v>
      </c>
      <c r="H539" s="33">
        <v>102.5</v>
      </c>
      <c r="I539" s="33">
        <v>635</v>
      </c>
      <c r="J539" s="33">
        <v>49</v>
      </c>
      <c r="K539" s="33">
        <v>842</v>
      </c>
      <c r="L539" s="33">
        <v>81</v>
      </c>
      <c r="M539" s="33">
        <v>474</v>
      </c>
      <c r="N539" s="33">
        <v>81</v>
      </c>
      <c r="O539" s="33">
        <v>66</v>
      </c>
      <c r="P539" s="1">
        <v>515.5</v>
      </c>
      <c r="Q539" s="1">
        <v>38</v>
      </c>
      <c r="R539" s="1">
        <v>537</v>
      </c>
    </row>
    <row r="540" spans="1:18">
      <c r="A540" s="33" t="s">
        <v>1172</v>
      </c>
      <c r="B540" s="1" t="s">
        <v>111</v>
      </c>
      <c r="C540" s="1" t="s">
        <v>1173</v>
      </c>
      <c r="D540" s="33">
        <v>117</v>
      </c>
      <c r="E540" s="33">
        <v>86</v>
      </c>
      <c r="F540" s="33">
        <v>90</v>
      </c>
      <c r="G540" s="33">
        <v>579</v>
      </c>
      <c r="H540" s="33">
        <v>114.5</v>
      </c>
      <c r="I540" s="33">
        <v>340</v>
      </c>
      <c r="J540" s="33">
        <v>62</v>
      </c>
      <c r="K540" s="33">
        <v>607</v>
      </c>
      <c r="L540" s="33">
        <v>73</v>
      </c>
      <c r="M540" s="33">
        <v>717</v>
      </c>
      <c r="N540" s="33">
        <v>59</v>
      </c>
      <c r="O540" s="33">
        <v>729</v>
      </c>
      <c r="P540" s="1">
        <v>515.5</v>
      </c>
      <c r="Q540" s="1">
        <v>25</v>
      </c>
      <c r="R540" s="1">
        <v>537</v>
      </c>
    </row>
    <row r="541" spans="1:18">
      <c r="A541" s="33" t="s">
        <v>1174</v>
      </c>
      <c r="B541" s="1" t="s">
        <v>240</v>
      </c>
      <c r="C541" s="1" t="s">
        <v>1175</v>
      </c>
      <c r="D541" s="33">
        <v>108</v>
      </c>
      <c r="E541" s="33">
        <v>391</v>
      </c>
      <c r="F541" s="33">
        <v>74</v>
      </c>
      <c r="G541" s="33">
        <v>779</v>
      </c>
      <c r="H541" s="33">
        <v>100.5</v>
      </c>
      <c r="I541" s="33">
        <v>675</v>
      </c>
      <c r="J541" s="33">
        <v>81</v>
      </c>
      <c r="K541" s="33">
        <v>195</v>
      </c>
      <c r="L541" s="33">
        <v>85</v>
      </c>
      <c r="M541" s="33">
        <v>339</v>
      </c>
      <c r="N541" s="33">
        <v>67</v>
      </c>
      <c r="O541" s="33">
        <v>489</v>
      </c>
      <c r="P541" s="1">
        <v>515.5</v>
      </c>
      <c r="Q541" s="1">
        <v>36</v>
      </c>
      <c r="R541" s="1">
        <v>537</v>
      </c>
    </row>
    <row r="542" spans="1:18">
      <c r="A542" s="33" t="s">
        <v>1168</v>
      </c>
      <c r="B542" s="1" t="s">
        <v>133</v>
      </c>
      <c r="C542" s="1" t="s">
        <v>1169</v>
      </c>
      <c r="D542" s="33">
        <v>114</v>
      </c>
      <c r="E542" s="33">
        <v>170</v>
      </c>
      <c r="F542" s="33">
        <v>70</v>
      </c>
      <c r="G542" s="33">
        <v>816</v>
      </c>
      <c r="H542" s="33">
        <v>111.5</v>
      </c>
      <c r="I542" s="33">
        <v>427</v>
      </c>
      <c r="J542" s="33">
        <v>84</v>
      </c>
      <c r="K542" s="33">
        <v>131</v>
      </c>
      <c r="L542" s="33">
        <v>80</v>
      </c>
      <c r="M542" s="33">
        <v>511</v>
      </c>
      <c r="N542" s="33">
        <v>56</v>
      </c>
      <c r="O542" s="33">
        <v>789</v>
      </c>
      <c r="P542" s="1">
        <v>515.5</v>
      </c>
      <c r="Q542" s="1">
        <v>38</v>
      </c>
      <c r="R542" s="1">
        <v>537</v>
      </c>
    </row>
    <row r="543" spans="1:18">
      <c r="A543" s="33" t="s">
        <v>1178</v>
      </c>
      <c r="B543" s="1" t="s">
        <v>92</v>
      </c>
      <c r="C543" s="1" t="s">
        <v>1179</v>
      </c>
      <c r="D543" s="33">
        <v>101</v>
      </c>
      <c r="E543" s="33">
        <v>688</v>
      </c>
      <c r="F543" s="33">
        <v>99</v>
      </c>
      <c r="G543" s="33">
        <v>437</v>
      </c>
      <c r="H543" s="33">
        <v>97</v>
      </c>
      <c r="I543" s="33">
        <v>743</v>
      </c>
      <c r="J543" s="33">
        <v>66</v>
      </c>
      <c r="K543" s="33">
        <v>513</v>
      </c>
      <c r="L543" s="33">
        <v>76</v>
      </c>
      <c r="M543" s="33">
        <v>642</v>
      </c>
      <c r="N543" s="33">
        <v>76</v>
      </c>
      <c r="O543" s="33">
        <v>194</v>
      </c>
      <c r="P543" s="1">
        <v>515</v>
      </c>
      <c r="Q543" s="1">
        <v>32</v>
      </c>
      <c r="R543" s="1">
        <v>542</v>
      </c>
    </row>
    <row r="544" spans="1:18">
      <c r="A544" s="33" t="s">
        <v>1176</v>
      </c>
      <c r="B544" s="1" t="s">
        <v>92</v>
      </c>
      <c r="C544" s="1" t="s">
        <v>1177</v>
      </c>
      <c r="D544" s="33">
        <v>102</v>
      </c>
      <c r="E544" s="33">
        <v>655</v>
      </c>
      <c r="F544" s="33">
        <v>91</v>
      </c>
      <c r="G544" s="33">
        <v>567</v>
      </c>
      <c r="H544" s="33">
        <v>124</v>
      </c>
      <c r="I544" s="33">
        <v>115</v>
      </c>
      <c r="J544" s="33">
        <v>65</v>
      </c>
      <c r="K544" s="33">
        <v>539</v>
      </c>
      <c r="L544" s="33">
        <v>78</v>
      </c>
      <c r="M544" s="33">
        <v>577</v>
      </c>
      <c r="N544" s="33">
        <v>55</v>
      </c>
      <c r="O544" s="33">
        <v>802</v>
      </c>
      <c r="P544" s="1">
        <v>515</v>
      </c>
      <c r="Q544" s="1">
        <v>32</v>
      </c>
      <c r="R544" s="1">
        <v>542</v>
      </c>
    </row>
    <row r="545" spans="1:18">
      <c r="A545" s="33" t="s">
        <v>1180</v>
      </c>
      <c r="B545" s="1" t="s">
        <v>97</v>
      </c>
      <c r="C545" s="1" t="s">
        <v>1181</v>
      </c>
      <c r="D545" s="33">
        <v>103</v>
      </c>
      <c r="E545" s="33">
        <v>606</v>
      </c>
      <c r="F545" s="33">
        <v>77</v>
      </c>
      <c r="G545" s="33">
        <v>742</v>
      </c>
      <c r="H545" s="33">
        <v>88</v>
      </c>
      <c r="I545" s="33">
        <v>852</v>
      </c>
      <c r="J545" s="33">
        <v>74</v>
      </c>
      <c r="K545" s="33">
        <v>345</v>
      </c>
      <c r="L545" s="33">
        <v>86</v>
      </c>
      <c r="M545" s="33">
        <v>304</v>
      </c>
      <c r="N545" s="33">
        <v>87</v>
      </c>
      <c r="O545" s="33">
        <v>2</v>
      </c>
      <c r="P545" s="1">
        <v>515</v>
      </c>
      <c r="Q545" s="1">
        <v>33</v>
      </c>
      <c r="R545" s="1">
        <v>542</v>
      </c>
    </row>
    <row r="546" spans="1:18">
      <c r="A546" s="33" t="s">
        <v>1182</v>
      </c>
      <c r="B546" s="1" t="s">
        <v>106</v>
      </c>
      <c r="C546" s="1" t="s">
        <v>1183</v>
      </c>
      <c r="D546" s="33">
        <v>107</v>
      </c>
      <c r="E546" s="33">
        <v>429</v>
      </c>
      <c r="F546" s="33">
        <v>81</v>
      </c>
      <c r="G546" s="33">
        <v>689</v>
      </c>
      <c r="H546" s="33">
        <v>118.5</v>
      </c>
      <c r="I546" s="33">
        <v>247</v>
      </c>
      <c r="J546" s="33">
        <v>52</v>
      </c>
      <c r="K546" s="33">
        <v>798</v>
      </c>
      <c r="L546" s="33">
        <v>83</v>
      </c>
      <c r="M546" s="33">
        <v>407</v>
      </c>
      <c r="N546" s="33">
        <v>73</v>
      </c>
      <c r="O546" s="33">
        <v>275</v>
      </c>
      <c r="P546" s="1">
        <v>514.5</v>
      </c>
      <c r="Q546" s="1">
        <v>22</v>
      </c>
      <c r="R546" s="1">
        <v>545</v>
      </c>
    </row>
    <row r="547" spans="1:18">
      <c r="A547" s="33" t="s">
        <v>1184</v>
      </c>
      <c r="B547" s="1" t="s">
        <v>249</v>
      </c>
      <c r="C547" s="1" t="s">
        <v>1185</v>
      </c>
      <c r="D547" s="33">
        <v>117</v>
      </c>
      <c r="E547" s="33">
        <v>86</v>
      </c>
      <c r="F547" s="33">
        <v>80</v>
      </c>
      <c r="G547" s="33">
        <v>700</v>
      </c>
      <c r="H547" s="33">
        <v>114.5</v>
      </c>
      <c r="I547" s="33">
        <v>340</v>
      </c>
      <c r="J547" s="33">
        <v>56</v>
      </c>
      <c r="K547" s="33">
        <v>731</v>
      </c>
      <c r="L547" s="33">
        <v>74</v>
      </c>
      <c r="M547" s="33">
        <v>702</v>
      </c>
      <c r="N547" s="33">
        <v>73</v>
      </c>
      <c r="O547" s="33">
        <v>275</v>
      </c>
      <c r="P547" s="1">
        <v>514.5</v>
      </c>
      <c r="Q547" s="1">
        <v>26</v>
      </c>
      <c r="R547" s="1">
        <v>545</v>
      </c>
    </row>
    <row r="548" spans="1:18">
      <c r="A548" s="33" t="s">
        <v>1186</v>
      </c>
      <c r="B548" s="1" t="s">
        <v>217</v>
      </c>
      <c r="C548" s="1" t="s">
        <v>1187</v>
      </c>
      <c r="D548" s="33">
        <v>98</v>
      </c>
      <c r="E548" s="33">
        <v>774</v>
      </c>
      <c r="F548" s="33">
        <v>105</v>
      </c>
      <c r="G548" s="33">
        <v>341</v>
      </c>
      <c r="H548" s="33">
        <v>100</v>
      </c>
      <c r="I548" s="33">
        <v>680</v>
      </c>
      <c r="J548" s="33">
        <v>60</v>
      </c>
      <c r="K548" s="33">
        <v>647</v>
      </c>
      <c r="L548" s="33">
        <v>83</v>
      </c>
      <c r="M548" s="33">
        <v>407</v>
      </c>
      <c r="N548" s="33">
        <v>68</v>
      </c>
      <c r="O548" s="33">
        <v>452</v>
      </c>
      <c r="P548" s="1">
        <v>514</v>
      </c>
      <c r="Q548" s="1">
        <v>24</v>
      </c>
      <c r="R548" s="1">
        <v>547</v>
      </c>
    </row>
    <row r="549" spans="1:18">
      <c r="A549" s="33" t="s">
        <v>1188</v>
      </c>
      <c r="B549" s="1" t="s">
        <v>169</v>
      </c>
      <c r="C549" s="1" t="s">
        <v>1189</v>
      </c>
      <c r="D549" s="33">
        <v>101</v>
      </c>
      <c r="E549" s="33">
        <v>688</v>
      </c>
      <c r="F549" s="33">
        <v>92</v>
      </c>
      <c r="G549" s="33">
        <v>558</v>
      </c>
      <c r="H549" s="33">
        <v>118</v>
      </c>
      <c r="I549" s="33">
        <v>263</v>
      </c>
      <c r="J549" s="33">
        <v>55</v>
      </c>
      <c r="K549" s="33">
        <v>748</v>
      </c>
      <c r="L549" s="33">
        <v>83</v>
      </c>
      <c r="M549" s="33">
        <v>407</v>
      </c>
      <c r="N549" s="33">
        <v>65</v>
      </c>
      <c r="O549" s="33">
        <v>554</v>
      </c>
      <c r="P549" s="1">
        <v>514</v>
      </c>
      <c r="Q549" s="1">
        <v>33</v>
      </c>
      <c r="R549" s="1">
        <v>547</v>
      </c>
    </row>
    <row r="550" spans="1:18">
      <c r="A550" s="33" t="s">
        <v>1192</v>
      </c>
      <c r="B550" s="1" t="s">
        <v>97</v>
      </c>
      <c r="C550" s="1" t="s">
        <v>1193</v>
      </c>
      <c r="D550" s="33">
        <v>89</v>
      </c>
      <c r="E550" s="33">
        <v>909</v>
      </c>
      <c r="F550" s="33">
        <v>99</v>
      </c>
      <c r="G550" s="33">
        <v>437</v>
      </c>
      <c r="H550" s="33">
        <v>112.5</v>
      </c>
      <c r="I550" s="33">
        <v>401</v>
      </c>
      <c r="J550" s="33">
        <v>57</v>
      </c>
      <c r="K550" s="33">
        <v>713</v>
      </c>
      <c r="L550" s="33">
        <v>79</v>
      </c>
      <c r="M550" s="33">
        <v>539</v>
      </c>
      <c r="N550" s="33">
        <v>77</v>
      </c>
      <c r="O550" s="33">
        <v>162</v>
      </c>
      <c r="P550" s="1">
        <v>513.5</v>
      </c>
      <c r="Q550" s="1">
        <v>34</v>
      </c>
      <c r="R550" s="1">
        <v>549</v>
      </c>
    </row>
    <row r="551" spans="1:18">
      <c r="A551" s="33" t="s">
        <v>1190</v>
      </c>
      <c r="B551" s="1" t="s">
        <v>296</v>
      </c>
      <c r="C551" s="1" t="s">
        <v>1191</v>
      </c>
      <c r="D551" s="33">
        <v>106</v>
      </c>
      <c r="E551" s="33">
        <v>477</v>
      </c>
      <c r="F551" s="33">
        <v>78</v>
      </c>
      <c r="G551" s="33">
        <v>730</v>
      </c>
      <c r="H551" s="33">
        <v>126.5</v>
      </c>
      <c r="I551" s="33">
        <v>76</v>
      </c>
      <c r="J551" s="33">
        <v>56</v>
      </c>
      <c r="K551" s="33">
        <v>731</v>
      </c>
      <c r="L551" s="33">
        <v>79</v>
      </c>
      <c r="M551" s="33">
        <v>539</v>
      </c>
      <c r="N551" s="33">
        <v>68</v>
      </c>
      <c r="O551" s="33">
        <v>452</v>
      </c>
      <c r="P551" s="1">
        <v>513.5</v>
      </c>
      <c r="Q551" s="1">
        <v>26</v>
      </c>
      <c r="R551" s="1">
        <v>549</v>
      </c>
    </row>
    <row r="552" spans="1:18">
      <c r="A552" s="33" t="s">
        <v>1194</v>
      </c>
      <c r="B552" s="1" t="s">
        <v>97</v>
      </c>
      <c r="C552" s="1" t="s">
        <v>1195</v>
      </c>
      <c r="D552" s="33">
        <v>96</v>
      </c>
      <c r="E552" s="33">
        <v>814</v>
      </c>
      <c r="F552" s="33">
        <v>111</v>
      </c>
      <c r="G552" s="33">
        <v>248</v>
      </c>
      <c r="H552" s="33">
        <v>97</v>
      </c>
      <c r="I552" s="33">
        <v>743</v>
      </c>
      <c r="J552" s="33">
        <v>59</v>
      </c>
      <c r="K552" s="33">
        <v>672</v>
      </c>
      <c r="L552" s="33">
        <v>83</v>
      </c>
      <c r="M552" s="33">
        <v>407</v>
      </c>
      <c r="N552" s="33">
        <v>67</v>
      </c>
      <c r="O552" s="33">
        <v>489</v>
      </c>
      <c r="P552" s="1">
        <v>513</v>
      </c>
      <c r="Q552" s="1">
        <v>35</v>
      </c>
      <c r="R552" s="1">
        <v>551</v>
      </c>
    </row>
    <row r="553" spans="1:18">
      <c r="A553" s="33" t="s">
        <v>1196</v>
      </c>
      <c r="B553" s="1" t="s">
        <v>106</v>
      </c>
      <c r="C553" s="1" t="s">
        <v>1197</v>
      </c>
      <c r="D553" s="33">
        <v>111</v>
      </c>
      <c r="E553" s="33">
        <v>271</v>
      </c>
      <c r="F553" s="33">
        <v>108</v>
      </c>
      <c r="G553" s="33">
        <v>297</v>
      </c>
      <c r="H553" s="33">
        <v>97</v>
      </c>
      <c r="I553" s="33">
        <v>743</v>
      </c>
      <c r="J553" s="33">
        <v>61</v>
      </c>
      <c r="K553" s="33">
        <v>627</v>
      </c>
      <c r="L553" s="33">
        <v>73</v>
      </c>
      <c r="M553" s="33">
        <v>717</v>
      </c>
      <c r="N553" s="33">
        <v>63</v>
      </c>
      <c r="O553" s="33">
        <v>625</v>
      </c>
      <c r="P553" s="1">
        <v>513</v>
      </c>
      <c r="Q553" s="1">
        <v>23</v>
      </c>
      <c r="R553" s="1">
        <v>551</v>
      </c>
    </row>
    <row r="554" spans="1:18">
      <c r="A554" s="33" t="s">
        <v>1198</v>
      </c>
      <c r="B554" s="1" t="s">
        <v>217</v>
      </c>
      <c r="C554" s="1" t="s">
        <v>1199</v>
      </c>
      <c r="D554" s="33">
        <v>94</v>
      </c>
      <c r="E554" s="33">
        <v>856</v>
      </c>
      <c r="F554" s="33">
        <v>101</v>
      </c>
      <c r="G554" s="33">
        <v>404</v>
      </c>
      <c r="H554" s="33">
        <v>93</v>
      </c>
      <c r="I554" s="33">
        <v>796</v>
      </c>
      <c r="J554" s="33">
        <v>76</v>
      </c>
      <c r="K554" s="33">
        <v>302</v>
      </c>
      <c r="L554" s="33">
        <v>79</v>
      </c>
      <c r="M554" s="33">
        <v>539</v>
      </c>
      <c r="N554" s="33">
        <v>70</v>
      </c>
      <c r="O554" s="33">
        <v>380</v>
      </c>
      <c r="P554" s="1">
        <v>513</v>
      </c>
      <c r="Q554" s="1">
        <v>25</v>
      </c>
      <c r="R554" s="1">
        <v>551</v>
      </c>
    </row>
    <row r="555" spans="1:18">
      <c r="A555" s="33" t="s">
        <v>1200</v>
      </c>
      <c r="B555" s="1" t="s">
        <v>84</v>
      </c>
      <c r="C555" s="1" t="s">
        <v>1201</v>
      </c>
      <c r="D555" s="33">
        <v>105</v>
      </c>
      <c r="E555" s="33">
        <v>515</v>
      </c>
      <c r="F555" s="33">
        <v>97</v>
      </c>
      <c r="G555" s="33">
        <v>475</v>
      </c>
      <c r="H555" s="33">
        <v>124</v>
      </c>
      <c r="I555" s="33">
        <v>115</v>
      </c>
      <c r="J555" s="33">
        <v>59</v>
      </c>
      <c r="K555" s="33">
        <v>672</v>
      </c>
      <c r="L555" s="33">
        <v>65</v>
      </c>
      <c r="M555" s="33">
        <v>866</v>
      </c>
      <c r="N555" s="33">
        <v>63</v>
      </c>
      <c r="O555" s="33">
        <v>625</v>
      </c>
      <c r="P555" s="1">
        <v>513</v>
      </c>
      <c r="Q555" s="1">
        <v>32</v>
      </c>
      <c r="R555" s="1">
        <v>551</v>
      </c>
    </row>
    <row r="556" spans="1:18">
      <c r="A556" s="33" t="s">
        <v>1210</v>
      </c>
      <c r="B556" s="1" t="s">
        <v>217</v>
      </c>
      <c r="C556" s="1" t="s">
        <v>1211</v>
      </c>
      <c r="D556" s="33">
        <v>104</v>
      </c>
      <c r="E556" s="33">
        <v>573</v>
      </c>
      <c r="F556" s="33">
        <v>124</v>
      </c>
      <c r="G556" s="33">
        <v>101</v>
      </c>
      <c r="H556" s="33">
        <v>69.5</v>
      </c>
      <c r="I556" s="33">
        <v>928</v>
      </c>
      <c r="J556" s="33">
        <v>72</v>
      </c>
      <c r="K556" s="33">
        <v>392</v>
      </c>
      <c r="L556" s="33">
        <v>79</v>
      </c>
      <c r="M556" s="33">
        <v>539</v>
      </c>
      <c r="N556" s="33">
        <v>64</v>
      </c>
      <c r="O556" s="33">
        <v>593</v>
      </c>
      <c r="P556" s="1">
        <v>512.5</v>
      </c>
      <c r="Q556" s="1">
        <v>26</v>
      </c>
      <c r="R556" s="1">
        <v>555</v>
      </c>
    </row>
    <row r="557" spans="1:18">
      <c r="A557" s="33" t="s">
        <v>1204</v>
      </c>
      <c r="B557" s="1" t="s">
        <v>210</v>
      </c>
      <c r="C557" s="1" t="s">
        <v>1205</v>
      </c>
      <c r="D557" s="33">
        <v>109</v>
      </c>
      <c r="E557" s="33">
        <v>353</v>
      </c>
      <c r="F557" s="33">
        <v>113</v>
      </c>
      <c r="G557" s="33">
        <v>225</v>
      </c>
      <c r="H557" s="33">
        <v>101.5</v>
      </c>
      <c r="I557" s="33">
        <v>654</v>
      </c>
      <c r="J557" s="33">
        <v>52</v>
      </c>
      <c r="K557" s="33">
        <v>798</v>
      </c>
      <c r="L557" s="33">
        <v>80</v>
      </c>
      <c r="M557" s="33">
        <v>511</v>
      </c>
      <c r="N557" s="33">
        <v>57</v>
      </c>
      <c r="O557" s="33">
        <v>770</v>
      </c>
      <c r="P557" s="1">
        <v>512.5</v>
      </c>
      <c r="Q557" s="1">
        <v>35</v>
      </c>
      <c r="R557" s="1">
        <v>555</v>
      </c>
    </row>
    <row r="558" spans="1:18">
      <c r="A558" s="33" t="s">
        <v>1206</v>
      </c>
      <c r="B558" s="1" t="s">
        <v>172</v>
      </c>
      <c r="C558" s="1" t="s">
        <v>1207</v>
      </c>
      <c r="D558" s="33">
        <v>89</v>
      </c>
      <c r="E558" s="33">
        <v>909</v>
      </c>
      <c r="F558" s="33">
        <v>112</v>
      </c>
      <c r="G558" s="33">
        <v>236</v>
      </c>
      <c r="H558" s="33">
        <v>105.5</v>
      </c>
      <c r="I558" s="33">
        <v>568</v>
      </c>
      <c r="J558" s="33">
        <v>55</v>
      </c>
      <c r="K558" s="33">
        <v>748</v>
      </c>
      <c r="L558" s="33">
        <v>81</v>
      </c>
      <c r="M558" s="33">
        <v>474</v>
      </c>
      <c r="N558" s="33">
        <v>70</v>
      </c>
      <c r="O558" s="33">
        <v>380</v>
      </c>
      <c r="P558" s="1">
        <v>512.5</v>
      </c>
      <c r="Q558" s="1">
        <v>28</v>
      </c>
      <c r="R558" s="1">
        <v>555</v>
      </c>
    </row>
    <row r="559" spans="1:18">
      <c r="A559" s="33" t="s">
        <v>1212</v>
      </c>
      <c r="B559" s="1" t="s">
        <v>106</v>
      </c>
      <c r="C559" s="1" t="s">
        <v>1213</v>
      </c>
      <c r="D559" s="33">
        <v>100</v>
      </c>
      <c r="E559" s="33">
        <v>715</v>
      </c>
      <c r="F559" s="33">
        <v>103</v>
      </c>
      <c r="G559" s="33">
        <v>375</v>
      </c>
      <c r="H559" s="33">
        <v>120.5</v>
      </c>
      <c r="I559" s="33">
        <v>192</v>
      </c>
      <c r="J559" s="33">
        <v>53</v>
      </c>
      <c r="K559" s="33">
        <v>786</v>
      </c>
      <c r="L559" s="33">
        <v>81</v>
      </c>
      <c r="M559" s="33">
        <v>474</v>
      </c>
      <c r="N559" s="33">
        <v>55</v>
      </c>
      <c r="O559" s="33">
        <v>802</v>
      </c>
      <c r="P559" s="1">
        <v>512.5</v>
      </c>
      <c r="Q559" s="1">
        <v>24</v>
      </c>
      <c r="R559" s="1">
        <v>555</v>
      </c>
    </row>
    <row r="560" spans="1:18">
      <c r="A560" s="33" t="s">
        <v>1208</v>
      </c>
      <c r="B560" s="1" t="s">
        <v>172</v>
      </c>
      <c r="C560" s="1" t="s">
        <v>1209</v>
      </c>
      <c r="D560" s="33">
        <v>96</v>
      </c>
      <c r="E560" s="33">
        <v>814</v>
      </c>
      <c r="F560" s="33">
        <v>103</v>
      </c>
      <c r="G560" s="33">
        <v>375</v>
      </c>
      <c r="H560" s="33">
        <v>96.5</v>
      </c>
      <c r="I560" s="33">
        <v>750</v>
      </c>
      <c r="J560" s="33">
        <v>75</v>
      </c>
      <c r="K560" s="33">
        <v>324</v>
      </c>
      <c r="L560" s="33">
        <v>89</v>
      </c>
      <c r="M560" s="33">
        <v>200</v>
      </c>
      <c r="N560" s="33">
        <v>53</v>
      </c>
      <c r="O560" s="33">
        <v>832</v>
      </c>
      <c r="P560" s="1">
        <v>512.5</v>
      </c>
      <c r="Q560" s="1">
        <v>28</v>
      </c>
      <c r="R560" s="1">
        <v>555</v>
      </c>
    </row>
    <row r="561" spans="1:18">
      <c r="A561" s="33" t="s">
        <v>1214</v>
      </c>
      <c r="B561" s="1" t="s">
        <v>92</v>
      </c>
      <c r="C561" s="1" t="s">
        <v>1215</v>
      </c>
      <c r="D561" s="33">
        <v>109</v>
      </c>
      <c r="E561" s="33">
        <v>353</v>
      </c>
      <c r="F561" s="33">
        <v>98</v>
      </c>
      <c r="G561" s="33">
        <v>459</v>
      </c>
      <c r="H561" s="33">
        <v>84.5</v>
      </c>
      <c r="I561" s="33">
        <v>873</v>
      </c>
      <c r="J561" s="33">
        <v>65</v>
      </c>
      <c r="K561" s="33">
        <v>539</v>
      </c>
      <c r="L561" s="33">
        <v>85</v>
      </c>
      <c r="M561" s="33">
        <v>339</v>
      </c>
      <c r="N561" s="33">
        <v>71</v>
      </c>
      <c r="O561" s="33">
        <v>342</v>
      </c>
      <c r="P561" s="1">
        <v>512.5</v>
      </c>
      <c r="Q561" s="1">
        <v>34</v>
      </c>
      <c r="R561" s="1">
        <v>555</v>
      </c>
    </row>
    <row r="562" spans="1:18">
      <c r="A562" s="33" t="s">
        <v>1202</v>
      </c>
      <c r="B562" s="1" t="s">
        <v>111</v>
      </c>
      <c r="C562" s="1" t="s">
        <v>1203</v>
      </c>
      <c r="D562" s="33">
        <v>109</v>
      </c>
      <c r="E562" s="33">
        <v>353</v>
      </c>
      <c r="F562" s="33">
        <v>94</v>
      </c>
      <c r="G562" s="33">
        <v>524</v>
      </c>
      <c r="H562" s="33">
        <v>101.5</v>
      </c>
      <c r="I562" s="33">
        <v>654</v>
      </c>
      <c r="J562" s="33">
        <v>51</v>
      </c>
      <c r="K562" s="33">
        <v>812</v>
      </c>
      <c r="L562" s="33">
        <v>80</v>
      </c>
      <c r="M562" s="33">
        <v>511</v>
      </c>
      <c r="N562" s="33">
        <v>77</v>
      </c>
      <c r="O562" s="33">
        <v>162</v>
      </c>
      <c r="P562" s="1">
        <v>512.5</v>
      </c>
      <c r="Q562" s="1">
        <v>26</v>
      </c>
      <c r="R562" s="1">
        <v>555</v>
      </c>
    </row>
    <row r="563" spans="1:18">
      <c r="A563" s="33" t="s">
        <v>1218</v>
      </c>
      <c r="B563" s="1" t="s">
        <v>296</v>
      </c>
      <c r="C563" s="1" t="s">
        <v>1219</v>
      </c>
      <c r="D563" s="33">
        <v>110</v>
      </c>
      <c r="E563" s="33">
        <v>310</v>
      </c>
      <c r="F563" s="33">
        <v>101</v>
      </c>
      <c r="G563" s="33">
        <v>404</v>
      </c>
      <c r="H563" s="33">
        <v>115</v>
      </c>
      <c r="I563" s="33">
        <v>330</v>
      </c>
      <c r="J563" s="33">
        <v>49</v>
      </c>
      <c r="K563" s="33">
        <v>842</v>
      </c>
      <c r="L563" s="33">
        <v>85</v>
      </c>
      <c r="M563" s="33">
        <v>339</v>
      </c>
      <c r="N563" s="33">
        <v>52</v>
      </c>
      <c r="O563" s="33">
        <v>849</v>
      </c>
      <c r="P563" s="1">
        <v>512</v>
      </c>
      <c r="Q563" s="1">
        <v>27</v>
      </c>
      <c r="R563" s="1">
        <v>562</v>
      </c>
    </row>
    <row r="564" spans="1:18">
      <c r="A564" s="33" t="s">
        <v>1216</v>
      </c>
      <c r="B564" s="1" t="s">
        <v>296</v>
      </c>
      <c r="C564" s="1" t="s">
        <v>1217</v>
      </c>
      <c r="D564" s="33">
        <v>81</v>
      </c>
      <c r="E564" s="33">
        <v>938</v>
      </c>
      <c r="F564" s="33">
        <v>95</v>
      </c>
      <c r="G564" s="33">
        <v>502</v>
      </c>
      <c r="H564" s="33">
        <v>79</v>
      </c>
      <c r="I564" s="33">
        <v>900</v>
      </c>
      <c r="J564" s="33">
        <v>81</v>
      </c>
      <c r="K564" s="33">
        <v>195</v>
      </c>
      <c r="L564" s="33">
        <v>99</v>
      </c>
      <c r="M564" s="33">
        <v>13</v>
      </c>
      <c r="N564" s="33">
        <v>77</v>
      </c>
      <c r="O564" s="33">
        <v>162</v>
      </c>
      <c r="P564" s="1">
        <v>512</v>
      </c>
      <c r="Q564" s="1">
        <v>27</v>
      </c>
      <c r="R564" s="1">
        <v>562</v>
      </c>
    </row>
    <row r="565" spans="1:18">
      <c r="A565" s="33" t="s">
        <v>1220</v>
      </c>
      <c r="B565" s="1" t="s">
        <v>203</v>
      </c>
      <c r="C565" s="1" t="s">
        <v>1221</v>
      </c>
      <c r="D565" s="33">
        <v>107</v>
      </c>
      <c r="E565" s="33">
        <v>429</v>
      </c>
      <c r="F565" s="33">
        <v>82</v>
      </c>
      <c r="G565" s="33">
        <v>677</v>
      </c>
      <c r="H565" s="33">
        <v>83</v>
      </c>
      <c r="I565" s="33">
        <v>881</v>
      </c>
      <c r="J565" s="33">
        <v>78</v>
      </c>
      <c r="K565" s="33">
        <v>256</v>
      </c>
      <c r="L565" s="33">
        <v>87</v>
      </c>
      <c r="M565" s="33">
        <v>268</v>
      </c>
      <c r="N565" s="33">
        <v>75</v>
      </c>
      <c r="O565" s="33">
        <v>219</v>
      </c>
      <c r="P565" s="1">
        <v>512</v>
      </c>
      <c r="Q565" s="1">
        <v>26</v>
      </c>
      <c r="R565" s="1">
        <v>562</v>
      </c>
    </row>
    <row r="566" spans="1:18">
      <c r="A566" s="33" t="s">
        <v>1228</v>
      </c>
      <c r="B566" s="1" t="s">
        <v>210</v>
      </c>
      <c r="C566" s="1" t="s">
        <v>1229</v>
      </c>
      <c r="D566" s="33">
        <v>87</v>
      </c>
      <c r="E566" s="33">
        <v>922</v>
      </c>
      <c r="F566" s="33">
        <v>95</v>
      </c>
      <c r="G566" s="33">
        <v>502</v>
      </c>
      <c r="H566" s="33">
        <v>119.5</v>
      </c>
      <c r="I566" s="33">
        <v>229</v>
      </c>
      <c r="J566" s="33">
        <v>62</v>
      </c>
      <c r="K566" s="33">
        <v>607</v>
      </c>
      <c r="L566" s="33">
        <v>83</v>
      </c>
      <c r="M566" s="33">
        <v>407</v>
      </c>
      <c r="N566" s="33">
        <v>65</v>
      </c>
      <c r="O566" s="33">
        <v>554</v>
      </c>
      <c r="P566" s="1">
        <v>511.5</v>
      </c>
      <c r="Q566" s="1">
        <v>36</v>
      </c>
      <c r="R566" s="1">
        <v>565</v>
      </c>
    </row>
    <row r="567" spans="1:18">
      <c r="A567" s="33" t="s">
        <v>1226</v>
      </c>
      <c r="B567" s="1" t="s">
        <v>296</v>
      </c>
      <c r="C567" s="1" t="s">
        <v>1227</v>
      </c>
      <c r="D567" s="33">
        <v>99</v>
      </c>
      <c r="E567" s="33">
        <v>754</v>
      </c>
      <c r="F567" s="33">
        <v>93</v>
      </c>
      <c r="G567" s="33">
        <v>541</v>
      </c>
      <c r="H567" s="33">
        <v>99.5</v>
      </c>
      <c r="I567" s="33">
        <v>694</v>
      </c>
      <c r="J567" s="33">
        <v>79</v>
      </c>
      <c r="K567" s="33">
        <v>236</v>
      </c>
      <c r="L567" s="33">
        <v>72</v>
      </c>
      <c r="M567" s="33">
        <v>751</v>
      </c>
      <c r="N567" s="33">
        <v>69</v>
      </c>
      <c r="O567" s="33">
        <v>420</v>
      </c>
      <c r="P567" s="1">
        <v>511.5</v>
      </c>
      <c r="Q567" s="1">
        <v>29</v>
      </c>
      <c r="R567" s="1">
        <v>565</v>
      </c>
    </row>
    <row r="568" spans="1:18">
      <c r="A568" s="33" t="s">
        <v>1222</v>
      </c>
      <c r="B568" s="1" t="s">
        <v>203</v>
      </c>
      <c r="C568" s="1" t="s">
        <v>1223</v>
      </c>
      <c r="D568" s="33">
        <v>118</v>
      </c>
      <c r="E568" s="33">
        <v>69</v>
      </c>
      <c r="F568" s="33">
        <v>93</v>
      </c>
      <c r="G568" s="33">
        <v>541</v>
      </c>
      <c r="H568" s="33">
        <v>132.5</v>
      </c>
      <c r="I568" s="33">
        <v>20</v>
      </c>
      <c r="J568" s="33">
        <v>61</v>
      </c>
      <c r="K568" s="33">
        <v>627</v>
      </c>
      <c r="L568" s="33">
        <v>65</v>
      </c>
      <c r="M568" s="33">
        <v>866</v>
      </c>
      <c r="N568" s="33">
        <v>42</v>
      </c>
      <c r="O568" s="33">
        <v>925</v>
      </c>
      <c r="P568" s="1">
        <v>511.5</v>
      </c>
      <c r="Q568" s="1">
        <v>27</v>
      </c>
      <c r="R568" s="1">
        <v>565</v>
      </c>
    </row>
    <row r="569" spans="1:18">
      <c r="A569" s="33" t="s">
        <v>1234</v>
      </c>
      <c r="B569" s="1" t="s">
        <v>150</v>
      </c>
      <c r="C569" s="1" t="s">
        <v>1235</v>
      </c>
      <c r="D569" s="33">
        <v>102</v>
      </c>
      <c r="E569" s="33">
        <v>655</v>
      </c>
      <c r="F569" s="33">
        <v>88</v>
      </c>
      <c r="G569" s="33">
        <v>602</v>
      </c>
      <c r="H569" s="33">
        <v>113.5</v>
      </c>
      <c r="I569" s="33">
        <v>374</v>
      </c>
      <c r="J569" s="33">
        <v>61</v>
      </c>
      <c r="K569" s="33">
        <v>627</v>
      </c>
      <c r="L569" s="33">
        <v>81</v>
      </c>
      <c r="M569" s="33">
        <v>474</v>
      </c>
      <c r="N569" s="33">
        <v>66</v>
      </c>
      <c r="O569" s="33">
        <v>519</v>
      </c>
      <c r="P569" s="1">
        <v>511.5</v>
      </c>
      <c r="Q569" s="1">
        <v>37</v>
      </c>
      <c r="R569" s="1">
        <v>565</v>
      </c>
    </row>
    <row r="570" spans="1:18">
      <c r="A570" s="33" t="s">
        <v>1224</v>
      </c>
      <c r="B570" s="1" t="s">
        <v>203</v>
      </c>
      <c r="C570" s="1" t="s">
        <v>1225</v>
      </c>
      <c r="D570" s="33">
        <v>95</v>
      </c>
      <c r="E570" s="33">
        <v>837</v>
      </c>
      <c r="F570" s="33">
        <v>88</v>
      </c>
      <c r="G570" s="33">
        <v>602</v>
      </c>
      <c r="H570" s="33">
        <v>93.5</v>
      </c>
      <c r="I570" s="33">
        <v>790</v>
      </c>
      <c r="J570" s="33">
        <v>81</v>
      </c>
      <c r="K570" s="33">
        <v>195</v>
      </c>
      <c r="L570" s="33">
        <v>85</v>
      </c>
      <c r="M570" s="33">
        <v>339</v>
      </c>
      <c r="N570" s="33">
        <v>69</v>
      </c>
      <c r="O570" s="33">
        <v>420</v>
      </c>
      <c r="P570" s="1">
        <v>511.5</v>
      </c>
      <c r="Q570" s="1">
        <v>27</v>
      </c>
      <c r="R570" s="1">
        <v>565</v>
      </c>
    </row>
    <row r="571" spans="1:18">
      <c r="A571" s="33" t="s">
        <v>1232</v>
      </c>
      <c r="B571" s="1" t="s">
        <v>106</v>
      </c>
      <c r="C571" s="1" t="s">
        <v>1233</v>
      </c>
      <c r="D571" s="33">
        <v>112</v>
      </c>
      <c r="E571" s="33">
        <v>226</v>
      </c>
      <c r="F571" s="33">
        <v>86</v>
      </c>
      <c r="G571" s="33">
        <v>627</v>
      </c>
      <c r="H571" s="33">
        <v>94.5</v>
      </c>
      <c r="I571" s="33">
        <v>779</v>
      </c>
      <c r="J571" s="33">
        <v>70</v>
      </c>
      <c r="K571" s="33">
        <v>429</v>
      </c>
      <c r="L571" s="33">
        <v>79</v>
      </c>
      <c r="M571" s="33">
        <v>539</v>
      </c>
      <c r="N571" s="33">
        <v>70</v>
      </c>
      <c r="O571" s="33">
        <v>380</v>
      </c>
      <c r="P571" s="1">
        <v>511.5</v>
      </c>
      <c r="Q571" s="1">
        <v>25</v>
      </c>
      <c r="R571" s="1">
        <v>565</v>
      </c>
    </row>
    <row r="572" spans="1:18">
      <c r="A572" s="33" t="s">
        <v>1230</v>
      </c>
      <c r="B572" s="1" t="s">
        <v>240</v>
      </c>
      <c r="C572" s="1" t="s">
        <v>1231</v>
      </c>
      <c r="D572" s="33">
        <v>106</v>
      </c>
      <c r="E572" s="33">
        <v>477</v>
      </c>
      <c r="F572" s="33">
        <v>85</v>
      </c>
      <c r="G572" s="33">
        <v>644</v>
      </c>
      <c r="H572" s="33">
        <v>123.5</v>
      </c>
      <c r="I572" s="33">
        <v>124</v>
      </c>
      <c r="J572" s="33">
        <v>68</v>
      </c>
      <c r="K572" s="33">
        <v>474</v>
      </c>
      <c r="L572" s="33">
        <v>65</v>
      </c>
      <c r="M572" s="33">
        <v>866</v>
      </c>
      <c r="N572" s="33">
        <v>64</v>
      </c>
      <c r="O572" s="33">
        <v>593</v>
      </c>
      <c r="P572" s="1">
        <v>511.5</v>
      </c>
      <c r="Q572" s="1">
        <v>37</v>
      </c>
      <c r="R572" s="1">
        <v>565</v>
      </c>
    </row>
    <row r="573" spans="1:18">
      <c r="A573" s="33" t="s">
        <v>1236</v>
      </c>
      <c r="B573" s="1" t="s">
        <v>111</v>
      </c>
      <c r="C573" s="1" t="s">
        <v>1237</v>
      </c>
      <c r="D573" s="33">
        <v>91</v>
      </c>
      <c r="E573" s="33">
        <v>890</v>
      </c>
      <c r="F573" s="33">
        <v>87</v>
      </c>
      <c r="G573" s="33">
        <v>615</v>
      </c>
      <c r="H573" s="33">
        <v>112</v>
      </c>
      <c r="I573" s="33">
        <v>413</v>
      </c>
      <c r="J573" s="33">
        <v>56</v>
      </c>
      <c r="K573" s="33">
        <v>731</v>
      </c>
      <c r="L573" s="33">
        <v>87</v>
      </c>
      <c r="M573" s="33">
        <v>268</v>
      </c>
      <c r="N573" s="33">
        <v>78</v>
      </c>
      <c r="O573" s="33">
        <v>133</v>
      </c>
      <c r="P573" s="1">
        <v>511</v>
      </c>
      <c r="Q573" s="1">
        <v>27</v>
      </c>
      <c r="R573" s="1">
        <v>572</v>
      </c>
    </row>
    <row r="574" spans="1:18">
      <c r="A574" s="33" t="s">
        <v>1242</v>
      </c>
      <c r="B574" s="1" t="s">
        <v>150</v>
      </c>
      <c r="C574" s="1" t="s">
        <v>1243</v>
      </c>
      <c r="D574" s="33">
        <v>91</v>
      </c>
      <c r="E574" s="33">
        <v>890</v>
      </c>
      <c r="F574" s="33">
        <v>126</v>
      </c>
      <c r="G574" s="33">
        <v>86</v>
      </c>
      <c r="H574" s="33">
        <v>56.5</v>
      </c>
      <c r="I574" s="33">
        <v>946</v>
      </c>
      <c r="J574" s="33">
        <v>83</v>
      </c>
      <c r="K574" s="33">
        <v>153</v>
      </c>
      <c r="L574" s="33">
        <v>87</v>
      </c>
      <c r="M574" s="33">
        <v>268</v>
      </c>
      <c r="N574" s="33">
        <v>67</v>
      </c>
      <c r="O574" s="33">
        <v>489</v>
      </c>
      <c r="P574" s="1">
        <v>510.5</v>
      </c>
      <c r="Q574" s="1">
        <v>38</v>
      </c>
      <c r="R574" s="1">
        <v>573</v>
      </c>
    </row>
    <row r="575" spans="1:18">
      <c r="A575" s="33" t="s">
        <v>1240</v>
      </c>
      <c r="B575" s="1" t="s">
        <v>210</v>
      </c>
      <c r="C575" s="1" t="s">
        <v>1241</v>
      </c>
      <c r="D575" s="33">
        <v>101</v>
      </c>
      <c r="E575" s="33">
        <v>688</v>
      </c>
      <c r="F575" s="33">
        <v>122</v>
      </c>
      <c r="G575" s="33">
        <v>116</v>
      </c>
      <c r="H575" s="33">
        <v>106.5</v>
      </c>
      <c r="I575" s="33">
        <v>554</v>
      </c>
      <c r="J575" s="33">
        <v>57</v>
      </c>
      <c r="K575" s="33">
        <v>713</v>
      </c>
      <c r="L575" s="33">
        <v>73</v>
      </c>
      <c r="M575" s="33">
        <v>717</v>
      </c>
      <c r="N575" s="33">
        <v>51</v>
      </c>
      <c r="O575" s="33">
        <v>862</v>
      </c>
      <c r="P575" s="1">
        <v>510.5</v>
      </c>
      <c r="Q575" s="1">
        <v>37</v>
      </c>
      <c r="R575" s="1">
        <v>573</v>
      </c>
    </row>
    <row r="576" spans="1:18">
      <c r="A576" s="33" t="s">
        <v>1244</v>
      </c>
      <c r="B576" s="1" t="s">
        <v>217</v>
      </c>
      <c r="C576" s="1" t="s">
        <v>1245</v>
      </c>
      <c r="D576" s="33">
        <v>111</v>
      </c>
      <c r="E576" s="33">
        <v>271</v>
      </c>
      <c r="F576" s="33">
        <v>104</v>
      </c>
      <c r="G576" s="33">
        <v>359</v>
      </c>
      <c r="H576" s="33">
        <v>75.5</v>
      </c>
      <c r="I576" s="33">
        <v>913</v>
      </c>
      <c r="J576" s="33">
        <v>88</v>
      </c>
      <c r="K576" s="33">
        <v>87</v>
      </c>
      <c r="L576" s="33">
        <v>70</v>
      </c>
      <c r="M576" s="33">
        <v>787</v>
      </c>
      <c r="N576" s="33">
        <v>62</v>
      </c>
      <c r="O576" s="33">
        <v>657</v>
      </c>
      <c r="P576" s="1">
        <v>510.5</v>
      </c>
      <c r="Q576" s="1">
        <v>27</v>
      </c>
      <c r="R576" s="1">
        <v>573</v>
      </c>
    </row>
    <row r="577" spans="1:18">
      <c r="A577" s="33" t="s">
        <v>1238</v>
      </c>
      <c r="B577" s="1" t="s">
        <v>169</v>
      </c>
      <c r="C577" s="1" t="s">
        <v>1239</v>
      </c>
      <c r="D577" s="33">
        <v>108</v>
      </c>
      <c r="E577" s="33">
        <v>391</v>
      </c>
      <c r="F577" s="33">
        <v>87</v>
      </c>
      <c r="G577" s="33">
        <v>615</v>
      </c>
      <c r="H577" s="33">
        <v>99.5</v>
      </c>
      <c r="I577" s="33">
        <v>694</v>
      </c>
      <c r="J577" s="33">
        <v>71</v>
      </c>
      <c r="K577" s="33">
        <v>411</v>
      </c>
      <c r="L577" s="33">
        <v>75</v>
      </c>
      <c r="M577" s="33">
        <v>671</v>
      </c>
      <c r="N577" s="33">
        <v>70</v>
      </c>
      <c r="O577" s="33">
        <v>380</v>
      </c>
      <c r="P577" s="1">
        <v>510.5</v>
      </c>
      <c r="Q577" s="1">
        <v>34</v>
      </c>
      <c r="R577" s="1">
        <v>573</v>
      </c>
    </row>
    <row r="578" spans="1:18">
      <c r="A578" s="33" t="s">
        <v>1250</v>
      </c>
      <c r="B578" s="1" t="s">
        <v>296</v>
      </c>
      <c r="C578" s="1" t="s">
        <v>1251</v>
      </c>
      <c r="D578" s="33">
        <v>95</v>
      </c>
      <c r="E578" s="33">
        <v>837</v>
      </c>
      <c r="F578" s="33">
        <v>119</v>
      </c>
      <c r="G578" s="33">
        <v>154</v>
      </c>
      <c r="H578" s="33">
        <v>114</v>
      </c>
      <c r="I578" s="33">
        <v>356</v>
      </c>
      <c r="J578" s="33">
        <v>54</v>
      </c>
      <c r="K578" s="33">
        <v>766</v>
      </c>
      <c r="L578" s="33">
        <v>73</v>
      </c>
      <c r="M578" s="33">
        <v>717</v>
      </c>
      <c r="N578" s="33">
        <v>55</v>
      </c>
      <c r="O578" s="33">
        <v>802</v>
      </c>
      <c r="P578" s="1">
        <v>510</v>
      </c>
      <c r="Q578" s="1">
        <v>30</v>
      </c>
      <c r="R578" s="1">
        <v>577</v>
      </c>
    </row>
    <row r="579" spans="1:18">
      <c r="A579" s="33" t="s">
        <v>1252</v>
      </c>
      <c r="B579" s="1" t="s">
        <v>111</v>
      </c>
      <c r="C579" s="1" t="s">
        <v>1253</v>
      </c>
      <c r="D579" s="33">
        <v>110</v>
      </c>
      <c r="E579" s="33">
        <v>310</v>
      </c>
      <c r="F579" s="33">
        <v>107</v>
      </c>
      <c r="G579" s="33">
        <v>314</v>
      </c>
      <c r="H579" s="33">
        <v>98</v>
      </c>
      <c r="I579" s="33">
        <v>728</v>
      </c>
      <c r="J579" s="33">
        <v>61</v>
      </c>
      <c r="K579" s="33">
        <v>627</v>
      </c>
      <c r="L579" s="33">
        <v>72</v>
      </c>
      <c r="M579" s="33">
        <v>751</v>
      </c>
      <c r="N579" s="33">
        <v>62</v>
      </c>
      <c r="O579" s="33">
        <v>657</v>
      </c>
      <c r="P579" s="1">
        <v>510</v>
      </c>
      <c r="Q579" s="1">
        <v>28</v>
      </c>
      <c r="R579" s="1">
        <v>577</v>
      </c>
    </row>
    <row r="580" spans="1:18">
      <c r="A580" s="33" t="s">
        <v>1246</v>
      </c>
      <c r="B580" s="1" t="s">
        <v>172</v>
      </c>
      <c r="C580" s="1" t="s">
        <v>1247</v>
      </c>
      <c r="D580" s="33">
        <v>111</v>
      </c>
      <c r="E580" s="33">
        <v>271</v>
      </c>
      <c r="F580" s="33">
        <v>100</v>
      </c>
      <c r="G580" s="33">
        <v>422</v>
      </c>
      <c r="H580" s="33">
        <v>95</v>
      </c>
      <c r="I580" s="33">
        <v>775</v>
      </c>
      <c r="J580" s="33">
        <v>58</v>
      </c>
      <c r="K580" s="33">
        <v>698</v>
      </c>
      <c r="L580" s="33">
        <v>78</v>
      </c>
      <c r="M580" s="33">
        <v>577</v>
      </c>
      <c r="N580" s="33">
        <v>68</v>
      </c>
      <c r="O580" s="33">
        <v>452</v>
      </c>
      <c r="P580" s="1">
        <v>510</v>
      </c>
      <c r="Q580" s="1">
        <v>30</v>
      </c>
      <c r="R580" s="1">
        <v>577</v>
      </c>
    </row>
    <row r="581" spans="1:18">
      <c r="A581" s="33" t="s">
        <v>1248</v>
      </c>
      <c r="B581" s="1" t="s">
        <v>150</v>
      </c>
      <c r="C581" s="1" t="s">
        <v>1249</v>
      </c>
      <c r="D581" s="33">
        <v>112</v>
      </c>
      <c r="E581" s="33">
        <v>226</v>
      </c>
      <c r="F581" s="33">
        <v>76</v>
      </c>
      <c r="G581" s="33">
        <v>755</v>
      </c>
      <c r="H581" s="33">
        <v>111</v>
      </c>
      <c r="I581" s="33">
        <v>445</v>
      </c>
      <c r="J581" s="33">
        <v>61</v>
      </c>
      <c r="K581" s="33">
        <v>627</v>
      </c>
      <c r="L581" s="33">
        <v>76</v>
      </c>
      <c r="M581" s="33">
        <v>642</v>
      </c>
      <c r="N581" s="33">
        <v>74</v>
      </c>
      <c r="O581" s="33">
        <v>247</v>
      </c>
      <c r="P581" s="1">
        <v>510</v>
      </c>
      <c r="Q581" s="1">
        <v>39</v>
      </c>
      <c r="R581" s="1">
        <v>577</v>
      </c>
    </row>
    <row r="582" spans="1:18">
      <c r="A582" s="33" t="s">
        <v>1256</v>
      </c>
      <c r="B582" s="1" t="s">
        <v>203</v>
      </c>
      <c r="C582" s="1" t="s">
        <v>1257</v>
      </c>
      <c r="D582" s="33">
        <v>107</v>
      </c>
      <c r="E582" s="33">
        <v>429</v>
      </c>
      <c r="F582" s="33">
        <v>89</v>
      </c>
      <c r="G582" s="33">
        <v>588</v>
      </c>
      <c r="H582" s="33">
        <v>103.5</v>
      </c>
      <c r="I582" s="33">
        <v>612</v>
      </c>
      <c r="J582" s="33">
        <v>69</v>
      </c>
      <c r="K582" s="33">
        <v>452</v>
      </c>
      <c r="L582" s="33">
        <v>73</v>
      </c>
      <c r="M582" s="33">
        <v>717</v>
      </c>
      <c r="N582" s="33">
        <v>68</v>
      </c>
      <c r="O582" s="33">
        <v>452</v>
      </c>
      <c r="P582" s="1">
        <v>509.5</v>
      </c>
      <c r="Q582" s="1">
        <v>29</v>
      </c>
      <c r="R582" s="1">
        <v>581</v>
      </c>
    </row>
    <row r="583" spans="1:18">
      <c r="A583" s="33" t="s">
        <v>1254</v>
      </c>
      <c r="B583" s="1" t="s">
        <v>111</v>
      </c>
      <c r="C583" s="1" t="s">
        <v>1255</v>
      </c>
      <c r="D583" s="33">
        <v>117</v>
      </c>
      <c r="E583" s="33">
        <v>86</v>
      </c>
      <c r="F583" s="33">
        <v>69</v>
      </c>
      <c r="G583" s="33">
        <v>828</v>
      </c>
      <c r="H583" s="33">
        <v>120.5</v>
      </c>
      <c r="I583" s="33">
        <v>192</v>
      </c>
      <c r="J583" s="33">
        <v>70</v>
      </c>
      <c r="K583" s="33">
        <v>429</v>
      </c>
      <c r="L583" s="33">
        <v>80</v>
      </c>
      <c r="M583" s="33">
        <v>511</v>
      </c>
      <c r="N583" s="33">
        <v>53</v>
      </c>
      <c r="O583" s="33">
        <v>832</v>
      </c>
      <c r="P583" s="1">
        <v>509.5</v>
      </c>
      <c r="Q583" s="1">
        <v>29</v>
      </c>
      <c r="R583" s="1">
        <v>581</v>
      </c>
    </row>
    <row r="584" spans="1:18">
      <c r="A584" s="33" t="s">
        <v>1258</v>
      </c>
      <c r="B584" s="1" t="s">
        <v>172</v>
      </c>
      <c r="C584" s="1" t="s">
        <v>1259</v>
      </c>
      <c r="D584" s="33">
        <v>97</v>
      </c>
      <c r="E584" s="33">
        <v>795</v>
      </c>
      <c r="F584" s="33">
        <v>100</v>
      </c>
      <c r="G584" s="33">
        <v>422</v>
      </c>
      <c r="H584" s="33">
        <v>105</v>
      </c>
      <c r="I584" s="33">
        <v>578</v>
      </c>
      <c r="J584" s="33">
        <v>64</v>
      </c>
      <c r="K584" s="33">
        <v>559</v>
      </c>
      <c r="L584" s="33">
        <v>74</v>
      </c>
      <c r="M584" s="33">
        <v>702</v>
      </c>
      <c r="N584" s="33">
        <v>69</v>
      </c>
      <c r="O584" s="33">
        <v>420</v>
      </c>
      <c r="P584" s="1">
        <v>509</v>
      </c>
      <c r="Q584" s="1">
        <v>31</v>
      </c>
      <c r="R584" s="1">
        <v>583</v>
      </c>
    </row>
    <row r="585" spans="1:18">
      <c r="A585" s="33" t="s">
        <v>1262</v>
      </c>
      <c r="B585" s="1" t="s">
        <v>150</v>
      </c>
      <c r="C585" s="1" t="s">
        <v>1263</v>
      </c>
      <c r="D585" s="33">
        <v>99</v>
      </c>
      <c r="E585" s="33">
        <v>754</v>
      </c>
      <c r="F585" s="33">
        <v>89</v>
      </c>
      <c r="G585" s="33">
        <v>588</v>
      </c>
      <c r="H585" s="33">
        <v>116.5</v>
      </c>
      <c r="I585" s="33">
        <v>298</v>
      </c>
      <c r="J585" s="33">
        <v>66</v>
      </c>
      <c r="K585" s="33">
        <v>513</v>
      </c>
      <c r="L585" s="33">
        <v>74</v>
      </c>
      <c r="M585" s="33">
        <v>702</v>
      </c>
      <c r="N585" s="33">
        <v>64</v>
      </c>
      <c r="O585" s="33">
        <v>593</v>
      </c>
      <c r="P585" s="1">
        <v>508.5</v>
      </c>
      <c r="Q585" s="1">
        <v>40</v>
      </c>
      <c r="R585" s="1">
        <v>584</v>
      </c>
    </row>
    <row r="586" spans="1:18">
      <c r="A586" s="33" t="s">
        <v>1264</v>
      </c>
      <c r="B586" s="1" t="s">
        <v>97</v>
      </c>
      <c r="C586" s="1" t="s">
        <v>1265</v>
      </c>
      <c r="D586" s="33">
        <v>106</v>
      </c>
      <c r="E586" s="33">
        <v>477</v>
      </c>
      <c r="F586" s="33">
        <v>87</v>
      </c>
      <c r="G586" s="33">
        <v>615</v>
      </c>
      <c r="H586" s="33">
        <v>116.5</v>
      </c>
      <c r="I586" s="33">
        <v>298</v>
      </c>
      <c r="J586" s="33">
        <v>62</v>
      </c>
      <c r="K586" s="33">
        <v>607</v>
      </c>
      <c r="L586" s="33">
        <v>75</v>
      </c>
      <c r="M586" s="33">
        <v>671</v>
      </c>
      <c r="N586" s="33">
        <v>62</v>
      </c>
      <c r="O586" s="33">
        <v>657</v>
      </c>
      <c r="P586" s="1">
        <v>508.5</v>
      </c>
      <c r="Q586" s="1">
        <v>36</v>
      </c>
      <c r="R586" s="1">
        <v>584</v>
      </c>
    </row>
    <row r="587" spans="1:18">
      <c r="A587" s="33" t="s">
        <v>1260</v>
      </c>
      <c r="B587" s="1" t="s">
        <v>150</v>
      </c>
      <c r="C587" s="1" t="s">
        <v>1261</v>
      </c>
      <c r="D587" s="33">
        <v>97</v>
      </c>
      <c r="E587" s="33">
        <v>795</v>
      </c>
      <c r="F587" s="33">
        <v>79</v>
      </c>
      <c r="G587" s="33">
        <v>714</v>
      </c>
      <c r="H587" s="33">
        <v>111.5</v>
      </c>
      <c r="I587" s="33">
        <v>427</v>
      </c>
      <c r="J587" s="33">
        <v>59</v>
      </c>
      <c r="K587" s="33">
        <v>672</v>
      </c>
      <c r="L587" s="33">
        <v>86</v>
      </c>
      <c r="M587" s="33">
        <v>304</v>
      </c>
      <c r="N587" s="33">
        <v>76</v>
      </c>
      <c r="O587" s="33">
        <v>194</v>
      </c>
      <c r="P587" s="1">
        <v>508.5</v>
      </c>
      <c r="Q587" s="1">
        <v>40</v>
      </c>
      <c r="R587" s="1">
        <v>584</v>
      </c>
    </row>
    <row r="588" spans="1:18">
      <c r="A588" s="33" t="s">
        <v>1266</v>
      </c>
      <c r="B588" s="1" t="s">
        <v>111</v>
      </c>
      <c r="C588" s="1" t="s">
        <v>1267</v>
      </c>
      <c r="D588" s="33">
        <v>97</v>
      </c>
      <c r="E588" s="33">
        <v>795</v>
      </c>
      <c r="F588" s="33">
        <v>77</v>
      </c>
      <c r="G588" s="33">
        <v>742</v>
      </c>
      <c r="H588" s="33">
        <v>102.5</v>
      </c>
      <c r="I588" s="33">
        <v>635</v>
      </c>
      <c r="J588" s="33">
        <v>77</v>
      </c>
      <c r="K588" s="33">
        <v>278</v>
      </c>
      <c r="L588" s="33">
        <v>81</v>
      </c>
      <c r="M588" s="33">
        <v>474</v>
      </c>
      <c r="N588" s="33">
        <v>74</v>
      </c>
      <c r="O588" s="33">
        <v>247</v>
      </c>
      <c r="P588" s="1">
        <v>508.5</v>
      </c>
      <c r="Q588" s="1">
        <v>30</v>
      </c>
      <c r="R588" s="1">
        <v>584</v>
      </c>
    </row>
    <row r="589" spans="1:18">
      <c r="A589" s="33" t="s">
        <v>1270</v>
      </c>
      <c r="B589" s="1" t="s">
        <v>169</v>
      </c>
      <c r="C589" s="1" t="s">
        <v>1271</v>
      </c>
      <c r="D589" s="33">
        <v>102</v>
      </c>
      <c r="E589" s="33">
        <v>655</v>
      </c>
      <c r="F589" s="33">
        <v>101</v>
      </c>
      <c r="G589" s="33">
        <v>404</v>
      </c>
      <c r="H589" s="33">
        <v>109</v>
      </c>
      <c r="I589" s="33">
        <v>500</v>
      </c>
      <c r="J589" s="33">
        <v>80</v>
      </c>
      <c r="K589" s="33">
        <v>211</v>
      </c>
      <c r="L589" s="33">
        <v>70</v>
      </c>
      <c r="M589" s="33">
        <v>787</v>
      </c>
      <c r="N589" s="33">
        <v>46</v>
      </c>
      <c r="O589" s="33">
        <v>909</v>
      </c>
      <c r="P589" s="1">
        <v>508</v>
      </c>
      <c r="Q589" s="1">
        <v>35</v>
      </c>
      <c r="R589" s="1">
        <v>588</v>
      </c>
    </row>
    <row r="590" spans="1:18">
      <c r="A590" s="33" t="s">
        <v>1272</v>
      </c>
      <c r="B590" s="1" t="s">
        <v>84</v>
      </c>
      <c r="C590" s="1" t="s">
        <v>1273</v>
      </c>
      <c r="D590" s="33">
        <v>106</v>
      </c>
      <c r="E590" s="33">
        <v>477</v>
      </c>
      <c r="F590" s="33">
        <v>101</v>
      </c>
      <c r="G590" s="33">
        <v>404</v>
      </c>
      <c r="H590" s="33">
        <v>111</v>
      </c>
      <c r="I590" s="33">
        <v>445</v>
      </c>
      <c r="J590" s="33">
        <v>59</v>
      </c>
      <c r="K590" s="33">
        <v>672</v>
      </c>
      <c r="L590" s="33">
        <v>77</v>
      </c>
      <c r="M590" s="33">
        <v>608</v>
      </c>
      <c r="N590" s="33">
        <v>54</v>
      </c>
      <c r="O590" s="33">
        <v>817</v>
      </c>
      <c r="P590" s="1">
        <v>508</v>
      </c>
      <c r="Q590" s="1">
        <v>33</v>
      </c>
      <c r="R590" s="1">
        <v>588</v>
      </c>
    </row>
    <row r="591" spans="1:18">
      <c r="A591" s="33" t="s">
        <v>1268</v>
      </c>
      <c r="B591" s="1" t="s">
        <v>169</v>
      </c>
      <c r="C591" s="1" t="s">
        <v>1269</v>
      </c>
      <c r="D591" s="33">
        <v>110</v>
      </c>
      <c r="E591" s="33">
        <v>310</v>
      </c>
      <c r="F591" s="33">
        <v>76</v>
      </c>
      <c r="G591" s="33">
        <v>755</v>
      </c>
      <c r="H591" s="33">
        <v>121</v>
      </c>
      <c r="I591" s="33">
        <v>173</v>
      </c>
      <c r="J591" s="33">
        <v>65</v>
      </c>
      <c r="K591" s="33">
        <v>539</v>
      </c>
      <c r="L591" s="33">
        <v>73</v>
      </c>
      <c r="M591" s="33">
        <v>717</v>
      </c>
      <c r="N591" s="33">
        <v>63</v>
      </c>
      <c r="O591" s="33">
        <v>625</v>
      </c>
      <c r="P591" s="1">
        <v>508</v>
      </c>
      <c r="Q591" s="1">
        <v>35</v>
      </c>
      <c r="R591" s="1">
        <v>588</v>
      </c>
    </row>
    <row r="592" spans="1:18">
      <c r="A592" s="33" t="s">
        <v>1274</v>
      </c>
      <c r="B592" s="1" t="s">
        <v>249</v>
      </c>
      <c r="C592" s="1" t="s">
        <v>1275</v>
      </c>
      <c r="D592" s="33">
        <v>116</v>
      </c>
      <c r="E592" s="33">
        <v>117</v>
      </c>
      <c r="F592" s="33">
        <v>72</v>
      </c>
      <c r="G592" s="33">
        <v>803</v>
      </c>
      <c r="H592" s="33">
        <v>114</v>
      </c>
      <c r="I592" s="33">
        <v>356</v>
      </c>
      <c r="J592" s="33">
        <v>70</v>
      </c>
      <c r="K592" s="33">
        <v>429</v>
      </c>
      <c r="L592" s="33">
        <v>60</v>
      </c>
      <c r="M592" s="33">
        <v>908</v>
      </c>
      <c r="N592" s="33">
        <v>76</v>
      </c>
      <c r="O592" s="33">
        <v>194</v>
      </c>
      <c r="P592" s="1">
        <v>508</v>
      </c>
      <c r="Q592" s="1">
        <v>27</v>
      </c>
      <c r="R592" s="1">
        <v>588</v>
      </c>
    </row>
    <row r="593" spans="1:18">
      <c r="A593" s="33" t="s">
        <v>1278</v>
      </c>
      <c r="B593" s="1" t="s">
        <v>92</v>
      </c>
      <c r="C593" s="1" t="s">
        <v>1279</v>
      </c>
      <c r="D593" s="33">
        <v>101</v>
      </c>
      <c r="E593" s="33">
        <v>688</v>
      </c>
      <c r="F593" s="33">
        <v>102</v>
      </c>
      <c r="G593" s="33">
        <v>387</v>
      </c>
      <c r="H593" s="33">
        <v>79.5</v>
      </c>
      <c r="I593" s="33">
        <v>897</v>
      </c>
      <c r="J593" s="33">
        <v>76</v>
      </c>
      <c r="K593" s="33">
        <v>302</v>
      </c>
      <c r="L593" s="33">
        <v>81</v>
      </c>
      <c r="M593" s="33">
        <v>474</v>
      </c>
      <c r="N593" s="33">
        <v>68</v>
      </c>
      <c r="O593" s="33">
        <v>452</v>
      </c>
      <c r="P593" s="1">
        <v>507.5</v>
      </c>
      <c r="Q593" s="1">
        <v>35</v>
      </c>
      <c r="R593" s="1">
        <v>592</v>
      </c>
    </row>
    <row r="594" spans="1:18">
      <c r="A594" s="33" t="s">
        <v>1280</v>
      </c>
      <c r="B594" s="1" t="s">
        <v>84</v>
      </c>
      <c r="C594" s="1" t="s">
        <v>1281</v>
      </c>
      <c r="D594" s="33">
        <v>110</v>
      </c>
      <c r="E594" s="33">
        <v>310</v>
      </c>
      <c r="F594" s="33">
        <v>80</v>
      </c>
      <c r="G594" s="33">
        <v>700</v>
      </c>
      <c r="H594" s="33">
        <v>109.5</v>
      </c>
      <c r="I594" s="33">
        <v>490</v>
      </c>
      <c r="J594" s="33">
        <v>62</v>
      </c>
      <c r="K594" s="33">
        <v>607</v>
      </c>
      <c r="L594" s="33">
        <v>75</v>
      </c>
      <c r="M594" s="33">
        <v>671</v>
      </c>
      <c r="N594" s="33">
        <v>71</v>
      </c>
      <c r="O594" s="33">
        <v>342</v>
      </c>
      <c r="P594" s="1">
        <v>507.5</v>
      </c>
      <c r="Q594" s="1">
        <v>34</v>
      </c>
      <c r="R594" s="1">
        <v>592</v>
      </c>
    </row>
    <row r="595" spans="1:18">
      <c r="A595" s="33" t="s">
        <v>1276</v>
      </c>
      <c r="B595" s="1" t="s">
        <v>97</v>
      </c>
      <c r="C595" s="1" t="s">
        <v>1277</v>
      </c>
      <c r="D595" s="33">
        <v>112</v>
      </c>
      <c r="E595" s="33">
        <v>226</v>
      </c>
      <c r="F595" s="33">
        <v>75</v>
      </c>
      <c r="G595" s="33">
        <v>767</v>
      </c>
      <c r="H595" s="33">
        <v>114.5</v>
      </c>
      <c r="I595" s="33">
        <v>340</v>
      </c>
      <c r="J595" s="33">
        <v>65</v>
      </c>
      <c r="K595" s="33">
        <v>539</v>
      </c>
      <c r="L595" s="33">
        <v>73</v>
      </c>
      <c r="M595" s="33">
        <v>717</v>
      </c>
      <c r="N595" s="33">
        <v>68</v>
      </c>
      <c r="O595" s="33">
        <v>452</v>
      </c>
      <c r="P595" s="1">
        <v>507.5</v>
      </c>
      <c r="Q595" s="1">
        <v>37</v>
      </c>
      <c r="R595" s="1">
        <v>592</v>
      </c>
    </row>
    <row r="596" spans="1:18">
      <c r="A596" s="33" t="s">
        <v>1286</v>
      </c>
      <c r="B596" s="1" t="s">
        <v>106</v>
      </c>
      <c r="C596" s="1" t="s">
        <v>1287</v>
      </c>
      <c r="D596" s="33">
        <v>100</v>
      </c>
      <c r="E596" s="33">
        <v>715</v>
      </c>
      <c r="F596" s="33">
        <v>97</v>
      </c>
      <c r="G596" s="33">
        <v>475</v>
      </c>
      <c r="H596" s="33">
        <v>125</v>
      </c>
      <c r="I596" s="33">
        <v>96</v>
      </c>
      <c r="J596" s="33">
        <v>54</v>
      </c>
      <c r="K596" s="33">
        <v>766</v>
      </c>
      <c r="L596" s="33">
        <v>67</v>
      </c>
      <c r="M596" s="33">
        <v>837</v>
      </c>
      <c r="N596" s="33">
        <v>64</v>
      </c>
      <c r="O596" s="33">
        <v>593</v>
      </c>
      <c r="P596" s="1">
        <v>507</v>
      </c>
      <c r="Q596" s="1">
        <v>26</v>
      </c>
      <c r="R596" s="1">
        <v>595</v>
      </c>
    </row>
    <row r="597" spans="1:18">
      <c r="A597" s="33" t="s">
        <v>1284</v>
      </c>
      <c r="B597" s="1" t="s">
        <v>106</v>
      </c>
      <c r="C597" s="1" t="s">
        <v>1285</v>
      </c>
      <c r="D597" s="33">
        <v>114</v>
      </c>
      <c r="E597" s="33">
        <v>170</v>
      </c>
      <c r="F597" s="33">
        <v>85</v>
      </c>
      <c r="G597" s="33">
        <v>644</v>
      </c>
      <c r="H597" s="33">
        <v>123</v>
      </c>
      <c r="I597" s="33">
        <v>132</v>
      </c>
      <c r="J597" s="33">
        <v>54</v>
      </c>
      <c r="K597" s="33">
        <v>766</v>
      </c>
      <c r="L597" s="33">
        <v>69</v>
      </c>
      <c r="M597" s="33">
        <v>810</v>
      </c>
      <c r="N597" s="33">
        <v>62</v>
      </c>
      <c r="O597" s="33">
        <v>657</v>
      </c>
      <c r="P597" s="1">
        <v>507</v>
      </c>
      <c r="Q597" s="1">
        <v>26</v>
      </c>
      <c r="R597" s="1">
        <v>595</v>
      </c>
    </row>
    <row r="598" spans="1:18">
      <c r="A598" s="33" t="s">
        <v>1282</v>
      </c>
      <c r="B598" s="1" t="s">
        <v>111</v>
      </c>
      <c r="C598" s="1" t="s">
        <v>1283</v>
      </c>
      <c r="D598" s="33">
        <v>103</v>
      </c>
      <c r="E598" s="33">
        <v>606</v>
      </c>
      <c r="F598" s="33">
        <v>73</v>
      </c>
      <c r="G598" s="33">
        <v>789</v>
      </c>
      <c r="H598" s="33">
        <v>101</v>
      </c>
      <c r="I598" s="33">
        <v>661</v>
      </c>
      <c r="J598" s="33">
        <v>79</v>
      </c>
      <c r="K598" s="33">
        <v>236</v>
      </c>
      <c r="L598" s="33">
        <v>77</v>
      </c>
      <c r="M598" s="33">
        <v>608</v>
      </c>
      <c r="N598" s="33">
        <v>74</v>
      </c>
      <c r="O598" s="33">
        <v>247</v>
      </c>
      <c r="P598" s="1">
        <v>507</v>
      </c>
      <c r="Q598" s="1">
        <v>31</v>
      </c>
      <c r="R598" s="1">
        <v>595</v>
      </c>
    </row>
    <row r="599" spans="1:18">
      <c r="A599" s="33" t="s">
        <v>1290</v>
      </c>
      <c r="B599" s="1" t="s">
        <v>203</v>
      </c>
      <c r="C599" s="1" t="s">
        <v>1291</v>
      </c>
      <c r="D599" s="33">
        <v>96</v>
      </c>
      <c r="E599" s="33">
        <v>814</v>
      </c>
      <c r="F599" s="33">
        <v>105</v>
      </c>
      <c r="G599" s="33">
        <v>341</v>
      </c>
      <c r="H599" s="33">
        <v>96.5</v>
      </c>
      <c r="I599" s="33">
        <v>750</v>
      </c>
      <c r="J599" s="33">
        <v>84</v>
      </c>
      <c r="K599" s="33">
        <v>131</v>
      </c>
      <c r="L599" s="33">
        <v>56</v>
      </c>
      <c r="M599" s="33">
        <v>928</v>
      </c>
      <c r="N599" s="33">
        <v>69</v>
      </c>
      <c r="O599" s="33">
        <v>420</v>
      </c>
      <c r="P599" s="1">
        <v>506.5</v>
      </c>
      <c r="Q599" s="1">
        <v>30</v>
      </c>
      <c r="R599" s="1">
        <v>598</v>
      </c>
    </row>
    <row r="600" spans="1:18">
      <c r="A600" s="33" t="s">
        <v>1288</v>
      </c>
      <c r="B600" s="1" t="s">
        <v>249</v>
      </c>
      <c r="C600" s="1" t="s">
        <v>1289</v>
      </c>
      <c r="D600" s="33">
        <v>108</v>
      </c>
      <c r="E600" s="33">
        <v>391</v>
      </c>
      <c r="F600" s="33">
        <v>87</v>
      </c>
      <c r="G600" s="33">
        <v>615</v>
      </c>
      <c r="H600" s="33">
        <v>104.5</v>
      </c>
      <c r="I600" s="33">
        <v>593</v>
      </c>
      <c r="J600" s="33">
        <v>54</v>
      </c>
      <c r="K600" s="33">
        <v>766</v>
      </c>
      <c r="L600" s="33">
        <v>86</v>
      </c>
      <c r="M600" s="33">
        <v>304</v>
      </c>
      <c r="N600" s="33">
        <v>67</v>
      </c>
      <c r="O600" s="33">
        <v>489</v>
      </c>
      <c r="P600" s="1">
        <v>506.5</v>
      </c>
      <c r="Q600" s="1">
        <v>28</v>
      </c>
      <c r="R600" s="1">
        <v>598</v>
      </c>
    </row>
    <row r="601" spans="1:18">
      <c r="A601" s="33" t="s">
        <v>1292</v>
      </c>
      <c r="B601" s="1" t="s">
        <v>240</v>
      </c>
      <c r="C601" s="1" t="s">
        <v>1293</v>
      </c>
      <c r="D601" s="33">
        <v>96</v>
      </c>
      <c r="E601" s="33">
        <v>814</v>
      </c>
      <c r="F601" s="33">
        <v>97</v>
      </c>
      <c r="G601" s="33">
        <v>475</v>
      </c>
      <c r="H601" s="33">
        <v>104</v>
      </c>
      <c r="I601" s="33">
        <v>600</v>
      </c>
      <c r="J601" s="33">
        <v>51</v>
      </c>
      <c r="K601" s="33">
        <v>812</v>
      </c>
      <c r="L601" s="33">
        <v>93</v>
      </c>
      <c r="M601" s="33">
        <v>93</v>
      </c>
      <c r="N601" s="33">
        <v>65</v>
      </c>
      <c r="O601" s="33">
        <v>554</v>
      </c>
      <c r="P601" s="1">
        <v>506</v>
      </c>
      <c r="Q601" s="1">
        <v>38</v>
      </c>
      <c r="R601" s="1">
        <v>600</v>
      </c>
    </row>
    <row r="602" spans="1:18">
      <c r="A602" s="33" t="s">
        <v>1296</v>
      </c>
      <c r="B602" s="1" t="s">
        <v>210</v>
      </c>
      <c r="C602" s="1" t="s">
        <v>1297</v>
      </c>
      <c r="D602" s="33">
        <v>101</v>
      </c>
      <c r="E602" s="33">
        <v>688</v>
      </c>
      <c r="F602" s="33">
        <v>89</v>
      </c>
      <c r="G602" s="33">
        <v>588</v>
      </c>
      <c r="H602" s="33">
        <v>118</v>
      </c>
      <c r="I602" s="33">
        <v>263</v>
      </c>
      <c r="J602" s="33">
        <v>53</v>
      </c>
      <c r="K602" s="33">
        <v>786</v>
      </c>
      <c r="L602" s="33">
        <v>86</v>
      </c>
      <c r="M602" s="33">
        <v>304</v>
      </c>
      <c r="N602" s="33">
        <v>59</v>
      </c>
      <c r="O602" s="33">
        <v>729</v>
      </c>
      <c r="P602" s="1">
        <v>506</v>
      </c>
      <c r="Q602" s="1">
        <v>38</v>
      </c>
      <c r="R602" s="1">
        <v>600</v>
      </c>
    </row>
    <row r="603" spans="1:18">
      <c r="A603" s="33" t="s">
        <v>1294</v>
      </c>
      <c r="B603" s="1" t="s">
        <v>169</v>
      </c>
      <c r="C603" s="1" t="s">
        <v>1295</v>
      </c>
      <c r="D603" s="33">
        <v>117</v>
      </c>
      <c r="E603" s="33">
        <v>86</v>
      </c>
      <c r="F603" s="33">
        <v>74</v>
      </c>
      <c r="G603" s="33">
        <v>779</v>
      </c>
      <c r="H603" s="33">
        <v>110</v>
      </c>
      <c r="I603" s="33">
        <v>478</v>
      </c>
      <c r="J603" s="33">
        <v>68</v>
      </c>
      <c r="K603" s="33">
        <v>474</v>
      </c>
      <c r="L603" s="33">
        <v>72</v>
      </c>
      <c r="M603" s="33">
        <v>751</v>
      </c>
      <c r="N603" s="33">
        <v>65</v>
      </c>
      <c r="O603" s="33">
        <v>554</v>
      </c>
      <c r="P603" s="1">
        <v>506</v>
      </c>
      <c r="Q603" s="1">
        <v>37</v>
      </c>
      <c r="R603" s="1">
        <v>600</v>
      </c>
    </row>
    <row r="604" spans="1:18">
      <c r="A604" s="33" t="s">
        <v>1300</v>
      </c>
      <c r="B604" s="1" t="s">
        <v>172</v>
      </c>
      <c r="C604" s="1" t="s">
        <v>1301</v>
      </c>
      <c r="D604" s="33">
        <v>114</v>
      </c>
      <c r="E604" s="33">
        <v>170</v>
      </c>
      <c r="F604" s="33">
        <v>96</v>
      </c>
      <c r="G604" s="33">
        <v>484</v>
      </c>
      <c r="H604" s="33">
        <v>113.5</v>
      </c>
      <c r="I604" s="33">
        <v>374</v>
      </c>
      <c r="J604" s="33">
        <v>60</v>
      </c>
      <c r="K604" s="33">
        <v>647</v>
      </c>
      <c r="L604" s="33">
        <v>68</v>
      </c>
      <c r="M604" s="33">
        <v>824</v>
      </c>
      <c r="N604" s="33">
        <v>54</v>
      </c>
      <c r="O604" s="33">
        <v>817</v>
      </c>
      <c r="P604" s="1">
        <v>505.5</v>
      </c>
      <c r="Q604" s="1">
        <v>32</v>
      </c>
      <c r="R604" s="1">
        <v>603</v>
      </c>
    </row>
    <row r="605" spans="1:18">
      <c r="A605" s="33" t="s">
        <v>1298</v>
      </c>
      <c r="B605" s="1" t="s">
        <v>172</v>
      </c>
      <c r="C605" s="1" t="s">
        <v>1299</v>
      </c>
      <c r="D605" s="33">
        <v>105</v>
      </c>
      <c r="E605" s="33">
        <v>515</v>
      </c>
      <c r="F605" s="33">
        <v>92</v>
      </c>
      <c r="G605" s="33">
        <v>558</v>
      </c>
      <c r="H605" s="33">
        <v>100.5</v>
      </c>
      <c r="I605" s="33">
        <v>675</v>
      </c>
      <c r="J605" s="33">
        <v>77</v>
      </c>
      <c r="K605" s="33">
        <v>278</v>
      </c>
      <c r="L605" s="33">
        <v>65</v>
      </c>
      <c r="M605" s="33">
        <v>866</v>
      </c>
      <c r="N605" s="33">
        <v>66</v>
      </c>
      <c r="O605" s="33">
        <v>519</v>
      </c>
      <c r="P605" s="1">
        <v>505.5</v>
      </c>
      <c r="Q605" s="1">
        <v>32</v>
      </c>
      <c r="R605" s="1">
        <v>603</v>
      </c>
    </row>
    <row r="606" spans="1:18">
      <c r="A606" s="33" t="s">
        <v>1302</v>
      </c>
      <c r="B606" s="1" t="s">
        <v>133</v>
      </c>
      <c r="C606" s="1" t="s">
        <v>1303</v>
      </c>
      <c r="D606" s="33">
        <v>111</v>
      </c>
      <c r="E606" s="33">
        <v>271</v>
      </c>
      <c r="F606" s="33">
        <v>77</v>
      </c>
      <c r="G606" s="33">
        <v>742</v>
      </c>
      <c r="H606" s="33">
        <v>117.5</v>
      </c>
      <c r="I606" s="33">
        <v>281</v>
      </c>
      <c r="J606" s="33">
        <v>58</v>
      </c>
      <c r="K606" s="33">
        <v>698</v>
      </c>
      <c r="L606" s="33">
        <v>73</v>
      </c>
      <c r="M606" s="33">
        <v>717</v>
      </c>
      <c r="N606" s="33">
        <v>69</v>
      </c>
      <c r="O606" s="33">
        <v>420</v>
      </c>
      <c r="P606" s="1">
        <v>505.5</v>
      </c>
      <c r="Q606" s="1">
        <v>40</v>
      </c>
      <c r="R606" s="1">
        <v>603</v>
      </c>
    </row>
    <row r="607" spans="1:18">
      <c r="A607" s="33" t="s">
        <v>1304</v>
      </c>
      <c r="B607" s="1" t="s">
        <v>106</v>
      </c>
      <c r="C607" s="1" t="s">
        <v>1305</v>
      </c>
      <c r="D607" s="33">
        <v>93</v>
      </c>
      <c r="E607" s="33">
        <v>868</v>
      </c>
      <c r="F607" s="33">
        <v>104</v>
      </c>
      <c r="G607" s="33">
        <v>359</v>
      </c>
      <c r="H607" s="33">
        <v>97</v>
      </c>
      <c r="I607" s="33">
        <v>743</v>
      </c>
      <c r="J607" s="33">
        <v>65</v>
      </c>
      <c r="K607" s="33">
        <v>539</v>
      </c>
      <c r="L607" s="33">
        <v>76</v>
      </c>
      <c r="M607" s="33">
        <v>642</v>
      </c>
      <c r="N607" s="33">
        <v>70</v>
      </c>
      <c r="O607" s="33">
        <v>380</v>
      </c>
      <c r="P607" s="1">
        <v>505</v>
      </c>
      <c r="Q607" s="1">
        <v>28</v>
      </c>
      <c r="R607" s="1">
        <v>606</v>
      </c>
    </row>
    <row r="608" spans="1:18">
      <c r="A608" s="33" t="s">
        <v>1306</v>
      </c>
      <c r="B608" s="1" t="s">
        <v>92</v>
      </c>
      <c r="C608" s="1" t="s">
        <v>1307</v>
      </c>
      <c r="D608" s="33">
        <v>101</v>
      </c>
      <c r="E608" s="33">
        <v>688</v>
      </c>
      <c r="F608" s="33">
        <v>102</v>
      </c>
      <c r="G608" s="33">
        <v>387</v>
      </c>
      <c r="H608" s="33">
        <v>94</v>
      </c>
      <c r="I608" s="33">
        <v>783</v>
      </c>
      <c r="J608" s="33">
        <v>58</v>
      </c>
      <c r="K608" s="33">
        <v>698</v>
      </c>
      <c r="L608" s="33">
        <v>79</v>
      </c>
      <c r="M608" s="33">
        <v>539</v>
      </c>
      <c r="N608" s="33">
        <v>71</v>
      </c>
      <c r="O608" s="33">
        <v>342</v>
      </c>
      <c r="P608" s="1">
        <v>505</v>
      </c>
      <c r="Q608" s="1">
        <v>36</v>
      </c>
      <c r="R608" s="1">
        <v>606</v>
      </c>
    </row>
    <row r="609" spans="1:18">
      <c r="A609" s="33" t="s">
        <v>1308</v>
      </c>
      <c r="B609" s="1" t="s">
        <v>97</v>
      </c>
      <c r="C609" s="1" t="s">
        <v>1309</v>
      </c>
      <c r="D609" s="33">
        <v>105</v>
      </c>
      <c r="E609" s="33">
        <v>515</v>
      </c>
      <c r="F609" s="33">
        <v>82</v>
      </c>
      <c r="G609" s="33">
        <v>677</v>
      </c>
      <c r="H609" s="33">
        <v>120</v>
      </c>
      <c r="I609" s="33">
        <v>211</v>
      </c>
      <c r="J609" s="33">
        <v>50</v>
      </c>
      <c r="K609" s="33">
        <v>826</v>
      </c>
      <c r="L609" s="33">
        <v>84</v>
      </c>
      <c r="M609" s="33">
        <v>379</v>
      </c>
      <c r="N609" s="33">
        <v>64</v>
      </c>
      <c r="O609" s="33">
        <v>593</v>
      </c>
      <c r="P609" s="1">
        <v>505</v>
      </c>
      <c r="Q609" s="1">
        <v>38</v>
      </c>
      <c r="R609" s="1">
        <v>606</v>
      </c>
    </row>
    <row r="610" spans="1:18">
      <c r="A610" s="33" t="s">
        <v>1310</v>
      </c>
      <c r="B610" s="1" t="s">
        <v>84</v>
      </c>
      <c r="C610" s="1" t="s">
        <v>1311</v>
      </c>
      <c r="D610" s="33">
        <v>108</v>
      </c>
      <c r="E610" s="33">
        <v>391</v>
      </c>
      <c r="F610" s="33">
        <v>73</v>
      </c>
      <c r="G610" s="33">
        <v>789</v>
      </c>
      <c r="H610" s="33">
        <v>111</v>
      </c>
      <c r="I610" s="33">
        <v>445</v>
      </c>
      <c r="J610" s="33">
        <v>64</v>
      </c>
      <c r="K610" s="33">
        <v>559</v>
      </c>
      <c r="L610" s="33">
        <v>78</v>
      </c>
      <c r="M610" s="33">
        <v>577</v>
      </c>
      <c r="N610" s="33">
        <v>71</v>
      </c>
      <c r="O610" s="33">
        <v>342</v>
      </c>
      <c r="P610" s="1">
        <v>505</v>
      </c>
      <c r="Q610" s="1">
        <v>35</v>
      </c>
      <c r="R610" s="1">
        <v>606</v>
      </c>
    </row>
    <row r="611" spans="1:18">
      <c r="A611" s="33" t="s">
        <v>1314</v>
      </c>
      <c r="B611" s="1" t="s">
        <v>203</v>
      </c>
      <c r="C611" s="1" t="s">
        <v>1315</v>
      </c>
      <c r="D611" s="33">
        <v>107</v>
      </c>
      <c r="E611" s="33">
        <v>429</v>
      </c>
      <c r="F611" s="33">
        <v>69</v>
      </c>
      <c r="G611" s="33">
        <v>828</v>
      </c>
      <c r="H611" s="33">
        <v>112</v>
      </c>
      <c r="I611" s="33">
        <v>413</v>
      </c>
      <c r="J611" s="33">
        <v>68</v>
      </c>
      <c r="K611" s="33">
        <v>474</v>
      </c>
      <c r="L611" s="33">
        <v>79</v>
      </c>
      <c r="M611" s="33">
        <v>539</v>
      </c>
      <c r="N611" s="33">
        <v>70</v>
      </c>
      <c r="O611" s="33">
        <v>380</v>
      </c>
      <c r="P611" s="1">
        <v>505</v>
      </c>
      <c r="Q611" s="1">
        <v>31</v>
      </c>
      <c r="R611" s="1">
        <v>606</v>
      </c>
    </row>
    <row r="612" spans="1:18">
      <c r="A612" s="33" t="s">
        <v>1312</v>
      </c>
      <c r="B612" s="1" t="s">
        <v>84</v>
      </c>
      <c r="C612" s="1" t="s">
        <v>1313</v>
      </c>
      <c r="D612" s="33">
        <v>103</v>
      </c>
      <c r="E612" s="33">
        <v>606</v>
      </c>
      <c r="F612" s="33">
        <v>67</v>
      </c>
      <c r="G612" s="33">
        <v>840</v>
      </c>
      <c r="H612" s="33">
        <v>127</v>
      </c>
      <c r="I612" s="33">
        <v>72</v>
      </c>
      <c r="J612" s="33">
        <v>62</v>
      </c>
      <c r="K612" s="33">
        <v>607</v>
      </c>
      <c r="L612" s="33">
        <v>80</v>
      </c>
      <c r="M612" s="33">
        <v>511</v>
      </c>
      <c r="N612" s="33">
        <v>66</v>
      </c>
      <c r="O612" s="33">
        <v>519</v>
      </c>
      <c r="P612" s="1">
        <v>505</v>
      </c>
      <c r="Q612" s="1">
        <v>35</v>
      </c>
      <c r="R612" s="1">
        <v>606</v>
      </c>
    </row>
    <row r="613" spans="1:18">
      <c r="A613" s="33" t="s">
        <v>1318</v>
      </c>
      <c r="B613" s="1" t="s">
        <v>133</v>
      </c>
      <c r="C613" s="1" t="s">
        <v>1319</v>
      </c>
      <c r="D613" s="33">
        <v>97</v>
      </c>
      <c r="E613" s="33">
        <v>795</v>
      </c>
      <c r="F613" s="33">
        <v>111</v>
      </c>
      <c r="G613" s="33">
        <v>248</v>
      </c>
      <c r="H613" s="33">
        <v>97.5</v>
      </c>
      <c r="I613" s="33">
        <v>737</v>
      </c>
      <c r="J613" s="33">
        <v>59</v>
      </c>
      <c r="K613" s="33">
        <v>672</v>
      </c>
      <c r="L613" s="33">
        <v>76</v>
      </c>
      <c r="M613" s="33">
        <v>642</v>
      </c>
      <c r="N613" s="33">
        <v>64</v>
      </c>
      <c r="O613" s="33">
        <v>593</v>
      </c>
      <c r="P613" s="1">
        <v>504.5</v>
      </c>
      <c r="Q613" s="1">
        <v>41</v>
      </c>
      <c r="R613" s="1">
        <v>612</v>
      </c>
    </row>
    <row r="614" spans="1:18">
      <c r="A614" s="33" t="s">
        <v>1320</v>
      </c>
      <c r="B614" s="1" t="s">
        <v>150</v>
      </c>
      <c r="C614" s="1" t="s">
        <v>1321</v>
      </c>
      <c r="D614" s="33">
        <v>105</v>
      </c>
      <c r="E614" s="33">
        <v>515</v>
      </c>
      <c r="F614" s="33">
        <v>85</v>
      </c>
      <c r="G614" s="33">
        <v>644</v>
      </c>
      <c r="H614" s="33">
        <v>105.5</v>
      </c>
      <c r="I614" s="33">
        <v>568</v>
      </c>
      <c r="J614" s="33">
        <v>62</v>
      </c>
      <c r="K614" s="33">
        <v>607</v>
      </c>
      <c r="L614" s="33">
        <v>79</v>
      </c>
      <c r="M614" s="33">
        <v>539</v>
      </c>
      <c r="N614" s="33">
        <v>68</v>
      </c>
      <c r="O614" s="33">
        <v>452</v>
      </c>
      <c r="P614" s="1">
        <v>504.5</v>
      </c>
      <c r="Q614" s="1">
        <v>42</v>
      </c>
      <c r="R614" s="1">
        <v>612</v>
      </c>
    </row>
    <row r="615" spans="1:18">
      <c r="A615" s="33" t="s">
        <v>1316</v>
      </c>
      <c r="B615" s="1" t="s">
        <v>296</v>
      </c>
      <c r="C615" s="1" t="s">
        <v>1317</v>
      </c>
      <c r="D615" s="33">
        <v>103</v>
      </c>
      <c r="E615" s="33">
        <v>606</v>
      </c>
      <c r="F615" s="33">
        <v>85</v>
      </c>
      <c r="G615" s="33">
        <v>644</v>
      </c>
      <c r="H615" s="33">
        <v>110.5</v>
      </c>
      <c r="I615" s="33">
        <v>465</v>
      </c>
      <c r="J615" s="33">
        <v>74</v>
      </c>
      <c r="K615" s="33">
        <v>345</v>
      </c>
      <c r="L615" s="33">
        <v>78</v>
      </c>
      <c r="M615" s="33">
        <v>577</v>
      </c>
      <c r="N615" s="33">
        <v>54</v>
      </c>
      <c r="O615" s="33">
        <v>817</v>
      </c>
      <c r="P615" s="1">
        <v>504.5</v>
      </c>
      <c r="Q615" s="1">
        <v>31</v>
      </c>
      <c r="R615" s="1">
        <v>612</v>
      </c>
    </row>
    <row r="616" spans="1:18">
      <c r="A616" s="33" t="s">
        <v>1322</v>
      </c>
      <c r="B616" s="1" t="s">
        <v>172</v>
      </c>
      <c r="C616" s="1" t="s">
        <v>1323</v>
      </c>
      <c r="D616" s="33">
        <v>120</v>
      </c>
      <c r="E616" s="33">
        <v>43</v>
      </c>
      <c r="F616" s="33">
        <v>80</v>
      </c>
      <c r="G616" s="33">
        <v>700</v>
      </c>
      <c r="H616" s="33">
        <v>85.5</v>
      </c>
      <c r="I616" s="33">
        <v>866</v>
      </c>
      <c r="J616" s="33">
        <v>73</v>
      </c>
      <c r="K616" s="33">
        <v>370</v>
      </c>
      <c r="L616" s="33">
        <v>80</v>
      </c>
      <c r="M616" s="33">
        <v>511</v>
      </c>
      <c r="N616" s="33">
        <v>66</v>
      </c>
      <c r="O616" s="33">
        <v>519</v>
      </c>
      <c r="P616" s="1">
        <v>504.5</v>
      </c>
      <c r="Q616" s="1">
        <v>34</v>
      </c>
      <c r="R616" s="1">
        <v>612</v>
      </c>
    </row>
    <row r="617" spans="1:18">
      <c r="A617" s="33" t="s">
        <v>1326</v>
      </c>
      <c r="B617" s="1" t="s">
        <v>172</v>
      </c>
      <c r="C617" s="1" t="s">
        <v>1327</v>
      </c>
      <c r="D617" s="33">
        <v>96</v>
      </c>
      <c r="E617" s="33">
        <v>814</v>
      </c>
      <c r="F617" s="33">
        <v>108</v>
      </c>
      <c r="G617" s="33">
        <v>297</v>
      </c>
      <c r="H617" s="33">
        <v>73</v>
      </c>
      <c r="I617" s="33">
        <v>921</v>
      </c>
      <c r="J617" s="33">
        <v>90</v>
      </c>
      <c r="K617" s="33">
        <v>63</v>
      </c>
      <c r="L617" s="33">
        <v>63</v>
      </c>
      <c r="M617" s="33">
        <v>888</v>
      </c>
      <c r="N617" s="33">
        <v>74</v>
      </c>
      <c r="O617" s="33">
        <v>247</v>
      </c>
      <c r="P617" s="1">
        <v>504</v>
      </c>
      <c r="Q617" s="1">
        <v>35</v>
      </c>
      <c r="R617" s="1">
        <v>616</v>
      </c>
    </row>
    <row r="618" spans="1:18">
      <c r="A618" s="33" t="s">
        <v>1324</v>
      </c>
      <c r="B618" s="1" t="s">
        <v>217</v>
      </c>
      <c r="C618" s="1" t="s">
        <v>1325</v>
      </c>
      <c r="D618" s="33">
        <v>101</v>
      </c>
      <c r="E618" s="33">
        <v>688</v>
      </c>
      <c r="F618" s="33">
        <v>91</v>
      </c>
      <c r="G618" s="33">
        <v>567</v>
      </c>
      <c r="H618" s="33">
        <v>96</v>
      </c>
      <c r="I618" s="33">
        <v>762</v>
      </c>
      <c r="J618" s="33">
        <v>77</v>
      </c>
      <c r="K618" s="33">
        <v>278</v>
      </c>
      <c r="L618" s="33">
        <v>79</v>
      </c>
      <c r="M618" s="33">
        <v>539</v>
      </c>
      <c r="N618" s="33">
        <v>60</v>
      </c>
      <c r="O618" s="33">
        <v>706</v>
      </c>
      <c r="P618" s="1">
        <v>504</v>
      </c>
      <c r="Q618" s="1">
        <v>28</v>
      </c>
      <c r="R618" s="1">
        <v>616</v>
      </c>
    </row>
    <row r="619" spans="1:18">
      <c r="A619" s="33" t="s">
        <v>1328</v>
      </c>
      <c r="B619" s="1" t="s">
        <v>84</v>
      </c>
      <c r="C619" s="1" t="s">
        <v>1329</v>
      </c>
      <c r="D619" s="33">
        <v>88</v>
      </c>
      <c r="E619" s="33">
        <v>918</v>
      </c>
      <c r="F619" s="33">
        <v>78</v>
      </c>
      <c r="G619" s="33">
        <v>730</v>
      </c>
      <c r="H619" s="33">
        <v>123</v>
      </c>
      <c r="I619" s="33">
        <v>132</v>
      </c>
      <c r="J619" s="33">
        <v>78</v>
      </c>
      <c r="K619" s="33">
        <v>256</v>
      </c>
      <c r="L619" s="33">
        <v>66</v>
      </c>
      <c r="M619" s="33">
        <v>849</v>
      </c>
      <c r="N619" s="33">
        <v>71</v>
      </c>
      <c r="O619" s="33">
        <v>342</v>
      </c>
      <c r="P619" s="1">
        <v>504</v>
      </c>
      <c r="Q619" s="1">
        <v>37</v>
      </c>
      <c r="R619" s="1">
        <v>616</v>
      </c>
    </row>
    <row r="620" spans="1:18">
      <c r="A620" s="33" t="s">
        <v>1330</v>
      </c>
      <c r="B620" s="1" t="s">
        <v>296</v>
      </c>
      <c r="C620" s="1" t="s">
        <v>1331</v>
      </c>
      <c r="D620" s="33">
        <v>97</v>
      </c>
      <c r="E620" s="33">
        <v>795</v>
      </c>
      <c r="F620" s="33">
        <v>92</v>
      </c>
      <c r="G620" s="33">
        <v>558</v>
      </c>
      <c r="H620" s="33">
        <v>110</v>
      </c>
      <c r="I620" s="33">
        <v>478</v>
      </c>
      <c r="J620" s="33">
        <v>61</v>
      </c>
      <c r="K620" s="33">
        <v>627</v>
      </c>
      <c r="L620" s="33">
        <v>81</v>
      </c>
      <c r="M620" s="33">
        <v>474</v>
      </c>
      <c r="N620" s="33">
        <v>62</v>
      </c>
      <c r="O620" s="33">
        <v>657</v>
      </c>
      <c r="P620" s="1">
        <v>503</v>
      </c>
      <c r="Q620" s="1">
        <v>32</v>
      </c>
      <c r="R620" s="1">
        <v>619</v>
      </c>
    </row>
    <row r="621" spans="1:18">
      <c r="A621" s="33" t="s">
        <v>1334</v>
      </c>
      <c r="B621" s="1" t="s">
        <v>217</v>
      </c>
      <c r="C621" s="1" t="s">
        <v>1335</v>
      </c>
      <c r="D621" s="33">
        <v>107</v>
      </c>
      <c r="E621" s="33">
        <v>429</v>
      </c>
      <c r="F621" s="33">
        <v>85</v>
      </c>
      <c r="G621" s="33">
        <v>644</v>
      </c>
      <c r="H621" s="33">
        <v>114</v>
      </c>
      <c r="I621" s="33">
        <v>356</v>
      </c>
      <c r="J621" s="33">
        <v>53</v>
      </c>
      <c r="K621" s="33">
        <v>786</v>
      </c>
      <c r="L621" s="33">
        <v>76</v>
      </c>
      <c r="M621" s="33">
        <v>642</v>
      </c>
      <c r="N621" s="33">
        <v>68</v>
      </c>
      <c r="O621" s="33">
        <v>452</v>
      </c>
      <c r="P621" s="1">
        <v>503</v>
      </c>
      <c r="Q621" s="1">
        <v>29</v>
      </c>
      <c r="R621" s="1">
        <v>619</v>
      </c>
    </row>
    <row r="622" spans="1:18">
      <c r="A622" s="33" t="s">
        <v>1332</v>
      </c>
      <c r="B622" s="1" t="s">
        <v>111</v>
      </c>
      <c r="C622" s="1" t="s">
        <v>1333</v>
      </c>
      <c r="D622" s="33">
        <v>102</v>
      </c>
      <c r="E622" s="33">
        <v>655</v>
      </c>
      <c r="F622" s="33">
        <v>70</v>
      </c>
      <c r="G622" s="33">
        <v>816</v>
      </c>
      <c r="H622" s="33">
        <v>113</v>
      </c>
      <c r="I622" s="33">
        <v>396</v>
      </c>
      <c r="J622" s="33">
        <v>74</v>
      </c>
      <c r="K622" s="33">
        <v>345</v>
      </c>
      <c r="L622" s="33">
        <v>72</v>
      </c>
      <c r="M622" s="33">
        <v>751</v>
      </c>
      <c r="N622" s="33">
        <v>72</v>
      </c>
      <c r="O622" s="33">
        <v>312</v>
      </c>
      <c r="P622" s="1">
        <v>503</v>
      </c>
      <c r="Q622" s="1">
        <v>32</v>
      </c>
      <c r="R622" s="1">
        <v>619</v>
      </c>
    </row>
    <row r="623" spans="1:18">
      <c r="A623" s="33" t="s">
        <v>1336</v>
      </c>
      <c r="B623" s="1" t="s">
        <v>122</v>
      </c>
      <c r="C623" s="1" t="s">
        <v>1337</v>
      </c>
      <c r="D623" s="33">
        <v>113</v>
      </c>
      <c r="E623" s="33">
        <v>196</v>
      </c>
      <c r="F623" s="33">
        <v>77</v>
      </c>
      <c r="G623" s="33">
        <v>742</v>
      </c>
      <c r="H623" s="33">
        <v>109.5</v>
      </c>
      <c r="I623" s="33">
        <v>490</v>
      </c>
      <c r="J623" s="33">
        <v>70</v>
      </c>
      <c r="K623" s="33">
        <v>429</v>
      </c>
      <c r="L623" s="33">
        <v>84</v>
      </c>
      <c r="M623" s="33">
        <v>379</v>
      </c>
      <c r="N623" s="33">
        <v>49</v>
      </c>
      <c r="O623" s="33">
        <v>883</v>
      </c>
      <c r="P623" s="1">
        <v>502.5</v>
      </c>
      <c r="Q623" s="1">
        <v>50</v>
      </c>
      <c r="R623" s="1">
        <v>622</v>
      </c>
    </row>
    <row r="624" spans="1:18">
      <c r="A624" s="33" t="s">
        <v>1338</v>
      </c>
      <c r="B624" s="1" t="s">
        <v>210</v>
      </c>
      <c r="C624" s="1" t="s">
        <v>1339</v>
      </c>
      <c r="D624" s="33">
        <v>113</v>
      </c>
      <c r="E624" s="33">
        <v>196</v>
      </c>
      <c r="F624" s="33">
        <v>69</v>
      </c>
      <c r="G624" s="33">
        <v>828</v>
      </c>
      <c r="H624" s="33">
        <v>123.5</v>
      </c>
      <c r="I624" s="33">
        <v>124</v>
      </c>
      <c r="J624" s="33">
        <v>56</v>
      </c>
      <c r="K624" s="33">
        <v>731</v>
      </c>
      <c r="L624" s="33">
        <v>76</v>
      </c>
      <c r="M624" s="33">
        <v>642</v>
      </c>
      <c r="N624" s="33">
        <v>65</v>
      </c>
      <c r="O624" s="33">
        <v>554</v>
      </c>
      <c r="P624" s="1">
        <v>502.5</v>
      </c>
      <c r="Q624" s="1">
        <v>39</v>
      </c>
      <c r="R624" s="1">
        <v>622</v>
      </c>
    </row>
    <row r="625" spans="1:18">
      <c r="A625" s="33" t="s">
        <v>1340</v>
      </c>
      <c r="B625" s="1" t="s">
        <v>111</v>
      </c>
      <c r="C625" s="1" t="s">
        <v>1341</v>
      </c>
      <c r="D625" s="33">
        <v>108</v>
      </c>
      <c r="E625" s="33">
        <v>391</v>
      </c>
      <c r="F625" s="33">
        <v>117</v>
      </c>
      <c r="G625" s="33">
        <v>174</v>
      </c>
      <c r="H625" s="33">
        <v>75</v>
      </c>
      <c r="I625" s="33">
        <v>916</v>
      </c>
      <c r="J625" s="33">
        <v>55</v>
      </c>
      <c r="K625" s="33">
        <v>748</v>
      </c>
      <c r="L625" s="33">
        <v>77</v>
      </c>
      <c r="M625" s="33">
        <v>608</v>
      </c>
      <c r="N625" s="33">
        <v>70</v>
      </c>
      <c r="O625" s="33">
        <v>380</v>
      </c>
      <c r="P625" s="1">
        <v>502</v>
      </c>
      <c r="Q625" s="1">
        <v>33</v>
      </c>
      <c r="R625" s="1">
        <v>624</v>
      </c>
    </row>
    <row r="626" spans="1:18">
      <c r="A626" s="33" t="s">
        <v>1342</v>
      </c>
      <c r="B626" s="1" t="s">
        <v>249</v>
      </c>
      <c r="C626" s="1" t="s">
        <v>1343</v>
      </c>
      <c r="D626" s="33">
        <v>111</v>
      </c>
      <c r="E626" s="33">
        <v>271</v>
      </c>
      <c r="F626" s="33">
        <v>91</v>
      </c>
      <c r="G626" s="33">
        <v>567</v>
      </c>
      <c r="H626" s="33">
        <v>120</v>
      </c>
      <c r="I626" s="33">
        <v>211</v>
      </c>
      <c r="J626" s="33">
        <v>57</v>
      </c>
      <c r="K626" s="33">
        <v>713</v>
      </c>
      <c r="L626" s="33">
        <v>58</v>
      </c>
      <c r="M626" s="33">
        <v>918</v>
      </c>
      <c r="N626" s="33">
        <v>65</v>
      </c>
      <c r="O626" s="33">
        <v>554</v>
      </c>
      <c r="P626" s="1">
        <v>502</v>
      </c>
      <c r="Q626" s="1">
        <v>29</v>
      </c>
      <c r="R626" s="1">
        <v>624</v>
      </c>
    </row>
    <row r="627" spans="1:18">
      <c r="A627" s="33" t="s">
        <v>1346</v>
      </c>
      <c r="B627" s="1" t="s">
        <v>92</v>
      </c>
      <c r="C627" s="1" t="s">
        <v>1347</v>
      </c>
      <c r="D627" s="33">
        <v>107</v>
      </c>
      <c r="E627" s="33">
        <v>429</v>
      </c>
      <c r="F627" s="33">
        <v>90</v>
      </c>
      <c r="G627" s="33">
        <v>579</v>
      </c>
      <c r="H627" s="33">
        <v>105</v>
      </c>
      <c r="I627" s="33">
        <v>578</v>
      </c>
      <c r="J627" s="33">
        <v>54</v>
      </c>
      <c r="K627" s="33">
        <v>766</v>
      </c>
      <c r="L627" s="33">
        <v>85</v>
      </c>
      <c r="M627" s="33">
        <v>339</v>
      </c>
      <c r="N627" s="33">
        <v>61</v>
      </c>
      <c r="O627" s="33">
        <v>686</v>
      </c>
      <c r="P627" s="1">
        <v>502</v>
      </c>
      <c r="Q627" s="1">
        <v>37</v>
      </c>
      <c r="R627" s="1">
        <v>624</v>
      </c>
    </row>
    <row r="628" spans="1:18">
      <c r="A628" s="33" t="s">
        <v>1344</v>
      </c>
      <c r="B628" s="1" t="s">
        <v>172</v>
      </c>
      <c r="C628" s="1" t="s">
        <v>1345</v>
      </c>
      <c r="D628" s="33">
        <v>96</v>
      </c>
      <c r="E628" s="33">
        <v>814</v>
      </c>
      <c r="F628" s="33">
        <v>89</v>
      </c>
      <c r="G628" s="33">
        <v>588</v>
      </c>
      <c r="H628" s="33">
        <v>118</v>
      </c>
      <c r="I628" s="33">
        <v>263</v>
      </c>
      <c r="J628" s="33">
        <v>54</v>
      </c>
      <c r="K628" s="33">
        <v>766</v>
      </c>
      <c r="L628" s="33">
        <v>75</v>
      </c>
      <c r="M628" s="33">
        <v>671</v>
      </c>
      <c r="N628" s="33">
        <v>70</v>
      </c>
      <c r="O628" s="33">
        <v>380</v>
      </c>
      <c r="P628" s="1">
        <v>502</v>
      </c>
      <c r="Q628" s="1">
        <v>36</v>
      </c>
      <c r="R628" s="1">
        <v>624</v>
      </c>
    </row>
    <row r="629" spans="1:18">
      <c r="A629" s="33" t="s">
        <v>1350</v>
      </c>
      <c r="B629" s="1" t="s">
        <v>172</v>
      </c>
      <c r="C629" s="1" t="s">
        <v>1351</v>
      </c>
      <c r="D629" s="33">
        <v>78</v>
      </c>
      <c r="E629" s="33">
        <v>941</v>
      </c>
      <c r="F629" s="33">
        <v>121</v>
      </c>
      <c r="G629" s="33">
        <v>131</v>
      </c>
      <c r="H629" s="33">
        <v>65.5</v>
      </c>
      <c r="I629" s="33">
        <v>934</v>
      </c>
      <c r="J629" s="33">
        <v>78</v>
      </c>
      <c r="K629" s="33">
        <v>256</v>
      </c>
      <c r="L629" s="33">
        <v>85</v>
      </c>
      <c r="M629" s="33">
        <v>339</v>
      </c>
      <c r="N629" s="33">
        <v>74</v>
      </c>
      <c r="O629" s="33">
        <v>247</v>
      </c>
      <c r="P629" s="1">
        <v>501.5</v>
      </c>
      <c r="Q629" s="1">
        <v>37</v>
      </c>
      <c r="R629" s="1">
        <v>628</v>
      </c>
    </row>
    <row r="630" spans="1:18">
      <c r="A630" s="33" t="s">
        <v>1348</v>
      </c>
      <c r="B630" s="1" t="s">
        <v>150</v>
      </c>
      <c r="C630" s="1" t="s">
        <v>1349</v>
      </c>
      <c r="D630" s="33">
        <v>81</v>
      </c>
      <c r="E630" s="33">
        <v>938</v>
      </c>
      <c r="F630" s="33">
        <v>97</v>
      </c>
      <c r="G630" s="33">
        <v>475</v>
      </c>
      <c r="H630" s="33">
        <v>103.5</v>
      </c>
      <c r="I630" s="33">
        <v>612</v>
      </c>
      <c r="J630" s="33">
        <v>69</v>
      </c>
      <c r="K630" s="33">
        <v>452</v>
      </c>
      <c r="L630" s="33">
        <v>92</v>
      </c>
      <c r="M630" s="33">
        <v>116</v>
      </c>
      <c r="N630" s="33">
        <v>59</v>
      </c>
      <c r="O630" s="33">
        <v>729</v>
      </c>
      <c r="P630" s="1">
        <v>501.5</v>
      </c>
      <c r="Q630" s="1">
        <v>43</v>
      </c>
      <c r="R630" s="1">
        <v>628</v>
      </c>
    </row>
    <row r="631" spans="1:18">
      <c r="A631" s="33" t="s">
        <v>1352</v>
      </c>
      <c r="B631" s="1" t="s">
        <v>172</v>
      </c>
      <c r="C631" s="1" t="s">
        <v>1353</v>
      </c>
      <c r="D631" s="33">
        <v>107</v>
      </c>
      <c r="E631" s="33">
        <v>429</v>
      </c>
      <c r="F631" s="33">
        <v>88</v>
      </c>
      <c r="G631" s="33">
        <v>602</v>
      </c>
      <c r="H631" s="33">
        <v>103.5</v>
      </c>
      <c r="I631" s="33">
        <v>612</v>
      </c>
      <c r="J631" s="33">
        <v>59</v>
      </c>
      <c r="K631" s="33">
        <v>672</v>
      </c>
      <c r="L631" s="33">
        <v>75</v>
      </c>
      <c r="M631" s="33">
        <v>671</v>
      </c>
      <c r="N631" s="33">
        <v>69</v>
      </c>
      <c r="O631" s="33">
        <v>420</v>
      </c>
      <c r="P631" s="1">
        <v>501.5</v>
      </c>
      <c r="Q631" s="1">
        <v>37</v>
      </c>
      <c r="R631" s="1">
        <v>628</v>
      </c>
    </row>
    <row r="632" spans="1:18">
      <c r="A632" s="33" t="s">
        <v>1356</v>
      </c>
      <c r="B632" s="1" t="s">
        <v>106</v>
      </c>
      <c r="C632" s="1" t="s">
        <v>1357</v>
      </c>
      <c r="D632" s="33">
        <v>99</v>
      </c>
      <c r="E632" s="33">
        <v>754</v>
      </c>
      <c r="F632" s="33">
        <v>104</v>
      </c>
      <c r="G632" s="33">
        <v>359</v>
      </c>
      <c r="H632" s="33">
        <v>76</v>
      </c>
      <c r="I632" s="33">
        <v>911</v>
      </c>
      <c r="J632" s="33">
        <v>81</v>
      </c>
      <c r="K632" s="33">
        <v>195</v>
      </c>
      <c r="L632" s="33">
        <v>73</v>
      </c>
      <c r="M632" s="33">
        <v>717</v>
      </c>
      <c r="N632" s="33">
        <v>68</v>
      </c>
      <c r="O632" s="33">
        <v>452</v>
      </c>
      <c r="P632" s="1">
        <v>501</v>
      </c>
      <c r="Q632" s="1">
        <v>29</v>
      </c>
      <c r="R632" s="1">
        <v>631</v>
      </c>
    </row>
    <row r="633" spans="1:18">
      <c r="A633" s="33" t="s">
        <v>1354</v>
      </c>
      <c r="B633" s="1" t="s">
        <v>249</v>
      </c>
      <c r="C633" s="1" t="s">
        <v>1355</v>
      </c>
      <c r="D633" s="33">
        <v>101</v>
      </c>
      <c r="E633" s="33">
        <v>688</v>
      </c>
      <c r="F633" s="33">
        <v>95</v>
      </c>
      <c r="G633" s="33">
        <v>502</v>
      </c>
      <c r="H633" s="33">
        <v>114</v>
      </c>
      <c r="I633" s="33">
        <v>356</v>
      </c>
      <c r="J633" s="33">
        <v>58</v>
      </c>
      <c r="K633" s="33">
        <v>698</v>
      </c>
      <c r="L633" s="33">
        <v>68</v>
      </c>
      <c r="M633" s="33">
        <v>824</v>
      </c>
      <c r="N633" s="33">
        <v>65</v>
      </c>
      <c r="O633" s="33">
        <v>554</v>
      </c>
      <c r="P633" s="1">
        <v>501</v>
      </c>
      <c r="Q633" s="1">
        <v>30</v>
      </c>
      <c r="R633" s="1">
        <v>631</v>
      </c>
    </row>
    <row r="634" spans="1:18">
      <c r="A634" s="33" t="s">
        <v>1358</v>
      </c>
      <c r="B634" s="1" t="s">
        <v>106</v>
      </c>
      <c r="C634" s="1" t="s">
        <v>1359</v>
      </c>
      <c r="D634" s="33">
        <v>95</v>
      </c>
      <c r="E634" s="33">
        <v>837</v>
      </c>
      <c r="F634" s="33">
        <v>113</v>
      </c>
      <c r="G634" s="33">
        <v>225</v>
      </c>
      <c r="H634" s="33">
        <v>85.5</v>
      </c>
      <c r="I634" s="33">
        <v>866</v>
      </c>
      <c r="J634" s="33">
        <v>59</v>
      </c>
      <c r="K634" s="33">
        <v>672</v>
      </c>
      <c r="L634" s="33">
        <v>88</v>
      </c>
      <c r="M634" s="33">
        <v>240</v>
      </c>
      <c r="N634" s="33">
        <v>60</v>
      </c>
      <c r="O634" s="33">
        <v>706</v>
      </c>
      <c r="P634" s="1">
        <v>500.5</v>
      </c>
      <c r="Q634" s="1">
        <v>30</v>
      </c>
      <c r="R634" s="1">
        <v>633</v>
      </c>
    </row>
    <row r="635" spans="1:18">
      <c r="A635" s="33" t="s">
        <v>1362</v>
      </c>
      <c r="B635" s="1" t="s">
        <v>92</v>
      </c>
      <c r="C635" s="1" t="s">
        <v>1363</v>
      </c>
      <c r="D635" s="33">
        <v>105</v>
      </c>
      <c r="E635" s="33">
        <v>515</v>
      </c>
      <c r="F635" s="33">
        <v>77</v>
      </c>
      <c r="G635" s="33">
        <v>742</v>
      </c>
      <c r="H635" s="33">
        <v>120.5</v>
      </c>
      <c r="I635" s="33">
        <v>192</v>
      </c>
      <c r="J635" s="33">
        <v>57</v>
      </c>
      <c r="K635" s="33">
        <v>713</v>
      </c>
      <c r="L635" s="33">
        <v>71</v>
      </c>
      <c r="M635" s="33">
        <v>773</v>
      </c>
      <c r="N635" s="33">
        <v>70</v>
      </c>
      <c r="O635" s="33">
        <v>380</v>
      </c>
      <c r="P635" s="1">
        <v>500.5</v>
      </c>
      <c r="Q635" s="1">
        <v>38</v>
      </c>
      <c r="R635" s="1">
        <v>633</v>
      </c>
    </row>
    <row r="636" spans="1:18">
      <c r="A636" s="33" t="s">
        <v>1360</v>
      </c>
      <c r="B636" s="1" t="s">
        <v>150</v>
      </c>
      <c r="C636" s="1" t="s">
        <v>1361</v>
      </c>
      <c r="D636" s="33">
        <v>103</v>
      </c>
      <c r="E636" s="33">
        <v>606</v>
      </c>
      <c r="F636" s="33">
        <v>60</v>
      </c>
      <c r="G636" s="33">
        <v>885</v>
      </c>
      <c r="H636" s="33">
        <v>113.5</v>
      </c>
      <c r="I636" s="33">
        <v>374</v>
      </c>
      <c r="J636" s="33">
        <v>66</v>
      </c>
      <c r="K636" s="33">
        <v>513</v>
      </c>
      <c r="L636" s="33">
        <v>81</v>
      </c>
      <c r="M636" s="33">
        <v>474</v>
      </c>
      <c r="N636" s="33">
        <v>77</v>
      </c>
      <c r="O636" s="33">
        <v>162</v>
      </c>
      <c r="P636" s="1">
        <v>500.5</v>
      </c>
      <c r="Q636" s="1">
        <v>44</v>
      </c>
      <c r="R636" s="1">
        <v>633</v>
      </c>
    </row>
    <row r="637" spans="1:18">
      <c r="A637" s="33" t="s">
        <v>1366</v>
      </c>
      <c r="B637" s="1" t="s">
        <v>217</v>
      </c>
      <c r="C637" s="1" t="s">
        <v>1367</v>
      </c>
      <c r="D637" s="33">
        <v>84</v>
      </c>
      <c r="E637" s="33">
        <v>933</v>
      </c>
      <c r="F637" s="33">
        <v>109</v>
      </c>
      <c r="G637" s="33">
        <v>279</v>
      </c>
      <c r="H637" s="33">
        <v>92</v>
      </c>
      <c r="I637" s="33">
        <v>809</v>
      </c>
      <c r="J637" s="33">
        <v>62</v>
      </c>
      <c r="K637" s="33">
        <v>607</v>
      </c>
      <c r="L637" s="33">
        <v>81</v>
      </c>
      <c r="M637" s="33">
        <v>474</v>
      </c>
      <c r="N637" s="33">
        <v>72</v>
      </c>
      <c r="O637" s="33">
        <v>312</v>
      </c>
      <c r="P637" s="1">
        <v>500</v>
      </c>
      <c r="Q637" s="1">
        <v>30</v>
      </c>
      <c r="R637" s="1">
        <v>636</v>
      </c>
    </row>
    <row r="638" spans="1:18">
      <c r="A638" s="33" t="s">
        <v>1370</v>
      </c>
      <c r="B638" s="1" t="s">
        <v>84</v>
      </c>
      <c r="C638" s="1" t="s">
        <v>1371</v>
      </c>
      <c r="D638" s="33">
        <v>100</v>
      </c>
      <c r="E638" s="33">
        <v>715</v>
      </c>
      <c r="F638" s="33">
        <v>89</v>
      </c>
      <c r="G638" s="33">
        <v>588</v>
      </c>
      <c r="H638" s="33">
        <v>109</v>
      </c>
      <c r="I638" s="33">
        <v>500</v>
      </c>
      <c r="J638" s="33">
        <v>63</v>
      </c>
      <c r="K638" s="33">
        <v>581</v>
      </c>
      <c r="L638" s="33">
        <v>75</v>
      </c>
      <c r="M638" s="33">
        <v>671</v>
      </c>
      <c r="N638" s="33">
        <v>64</v>
      </c>
      <c r="O638" s="33">
        <v>593</v>
      </c>
      <c r="P638" s="1">
        <v>500</v>
      </c>
      <c r="Q638" s="1">
        <v>38</v>
      </c>
      <c r="R638" s="1">
        <v>636</v>
      </c>
    </row>
    <row r="639" spans="1:18">
      <c r="A639" s="33" t="s">
        <v>1368</v>
      </c>
      <c r="B639" s="1" t="s">
        <v>122</v>
      </c>
      <c r="C639" s="1" t="s">
        <v>1369</v>
      </c>
      <c r="D639" s="33">
        <v>112</v>
      </c>
      <c r="E639" s="33">
        <v>226</v>
      </c>
      <c r="F639" s="33">
        <v>81</v>
      </c>
      <c r="G639" s="33">
        <v>689</v>
      </c>
      <c r="H639" s="33">
        <v>101</v>
      </c>
      <c r="I639" s="33">
        <v>661</v>
      </c>
      <c r="J639" s="33">
        <v>55</v>
      </c>
      <c r="K639" s="33">
        <v>748</v>
      </c>
      <c r="L639" s="33">
        <v>91</v>
      </c>
      <c r="M639" s="33">
        <v>151</v>
      </c>
      <c r="N639" s="33">
        <v>60</v>
      </c>
      <c r="O639" s="33">
        <v>706</v>
      </c>
      <c r="P639" s="1">
        <v>500</v>
      </c>
      <c r="Q639" s="1">
        <v>51</v>
      </c>
      <c r="R639" s="1">
        <v>636</v>
      </c>
    </row>
    <row r="640" spans="1:18">
      <c r="A640" s="33" t="s">
        <v>1372</v>
      </c>
      <c r="B640" s="1" t="s">
        <v>84</v>
      </c>
      <c r="C640" s="1" t="s">
        <v>1373</v>
      </c>
      <c r="D640" s="33">
        <v>111</v>
      </c>
      <c r="E640" s="33">
        <v>271</v>
      </c>
      <c r="F640" s="33">
        <v>81</v>
      </c>
      <c r="G640" s="33">
        <v>689</v>
      </c>
      <c r="H640" s="33">
        <v>132</v>
      </c>
      <c r="I640" s="33">
        <v>22</v>
      </c>
      <c r="J640" s="33">
        <v>55</v>
      </c>
      <c r="K640" s="33">
        <v>748</v>
      </c>
      <c r="L640" s="33">
        <v>70</v>
      </c>
      <c r="M640" s="33">
        <v>787</v>
      </c>
      <c r="N640" s="33">
        <v>51</v>
      </c>
      <c r="O640" s="33">
        <v>862</v>
      </c>
      <c r="P640" s="1">
        <v>500</v>
      </c>
      <c r="Q640" s="1">
        <v>38</v>
      </c>
      <c r="R640" s="1">
        <v>636</v>
      </c>
    </row>
    <row r="641" spans="1:18">
      <c r="A641" s="33" t="s">
        <v>1364</v>
      </c>
      <c r="B641" s="1" t="s">
        <v>249</v>
      </c>
      <c r="C641" s="1" t="s">
        <v>1365</v>
      </c>
      <c r="D641" s="33">
        <v>110</v>
      </c>
      <c r="E641" s="33">
        <v>310</v>
      </c>
      <c r="F641" s="33">
        <v>66</v>
      </c>
      <c r="G641" s="33">
        <v>848</v>
      </c>
      <c r="H641" s="33">
        <v>105</v>
      </c>
      <c r="I641" s="33">
        <v>578</v>
      </c>
      <c r="J641" s="33">
        <v>90</v>
      </c>
      <c r="K641" s="33">
        <v>63</v>
      </c>
      <c r="L641" s="33">
        <v>79</v>
      </c>
      <c r="M641" s="33">
        <v>539</v>
      </c>
      <c r="N641" s="33">
        <v>50</v>
      </c>
      <c r="O641" s="33">
        <v>873</v>
      </c>
      <c r="P641" s="1">
        <v>500</v>
      </c>
      <c r="Q641" s="1">
        <v>31</v>
      </c>
      <c r="R641" s="1">
        <v>636</v>
      </c>
    </row>
    <row r="642" spans="1:18">
      <c r="A642" s="33" t="s">
        <v>1382</v>
      </c>
      <c r="B642" s="1" t="s">
        <v>249</v>
      </c>
      <c r="C642" s="1" t="s">
        <v>1383</v>
      </c>
      <c r="D642" s="33">
        <v>100</v>
      </c>
      <c r="E642" s="33">
        <v>715</v>
      </c>
      <c r="F642" s="33">
        <v>106</v>
      </c>
      <c r="G642" s="33">
        <v>323</v>
      </c>
      <c r="H642" s="33">
        <v>82.5</v>
      </c>
      <c r="I642" s="33">
        <v>883</v>
      </c>
      <c r="J642" s="33">
        <v>79</v>
      </c>
      <c r="K642" s="33">
        <v>236</v>
      </c>
      <c r="L642" s="33">
        <v>56</v>
      </c>
      <c r="M642" s="33">
        <v>928</v>
      </c>
      <c r="N642" s="33">
        <v>76</v>
      </c>
      <c r="O642" s="33">
        <v>194</v>
      </c>
      <c r="P642" s="1">
        <v>499.5</v>
      </c>
      <c r="Q642" s="1">
        <v>32</v>
      </c>
      <c r="R642" s="1">
        <v>641</v>
      </c>
    </row>
    <row r="643" spans="1:18">
      <c r="A643" s="33" t="s">
        <v>1378</v>
      </c>
      <c r="B643" s="1" t="s">
        <v>172</v>
      </c>
      <c r="C643" s="1" t="s">
        <v>1379</v>
      </c>
      <c r="D643" s="33">
        <v>112</v>
      </c>
      <c r="E643" s="33">
        <v>226</v>
      </c>
      <c r="F643" s="33">
        <v>86</v>
      </c>
      <c r="G643" s="33">
        <v>627</v>
      </c>
      <c r="H643" s="33">
        <v>111.5</v>
      </c>
      <c r="I643" s="33">
        <v>427</v>
      </c>
      <c r="J643" s="33">
        <v>55</v>
      </c>
      <c r="K643" s="33">
        <v>748</v>
      </c>
      <c r="L643" s="33">
        <v>77</v>
      </c>
      <c r="M643" s="33">
        <v>608</v>
      </c>
      <c r="N643" s="33">
        <v>58</v>
      </c>
      <c r="O643" s="33">
        <v>754</v>
      </c>
      <c r="P643" s="1">
        <v>499.5</v>
      </c>
      <c r="Q643" s="1">
        <v>39</v>
      </c>
      <c r="R643" s="1">
        <v>641</v>
      </c>
    </row>
    <row r="644" spans="1:18">
      <c r="A644" s="33" t="s">
        <v>1376</v>
      </c>
      <c r="B644" s="1" t="s">
        <v>210</v>
      </c>
      <c r="C644" s="1" t="s">
        <v>1377</v>
      </c>
      <c r="D644" s="33">
        <v>111</v>
      </c>
      <c r="E644" s="33">
        <v>271</v>
      </c>
      <c r="F644" s="33">
        <v>82</v>
      </c>
      <c r="G644" s="33">
        <v>677</v>
      </c>
      <c r="H644" s="33">
        <v>120.5</v>
      </c>
      <c r="I644" s="33">
        <v>192</v>
      </c>
      <c r="J644" s="33">
        <v>61</v>
      </c>
      <c r="K644" s="33">
        <v>627</v>
      </c>
      <c r="L644" s="33">
        <v>73</v>
      </c>
      <c r="M644" s="33">
        <v>717</v>
      </c>
      <c r="N644" s="33">
        <v>52</v>
      </c>
      <c r="O644" s="33">
        <v>849</v>
      </c>
      <c r="P644" s="1">
        <v>499.5</v>
      </c>
      <c r="Q644" s="1">
        <v>40</v>
      </c>
      <c r="R644" s="1">
        <v>641</v>
      </c>
    </row>
    <row r="645" spans="1:18">
      <c r="A645" s="33" t="s">
        <v>1380</v>
      </c>
      <c r="B645" s="1" t="s">
        <v>172</v>
      </c>
      <c r="C645" s="1" t="s">
        <v>1381</v>
      </c>
      <c r="D645" s="33">
        <v>105</v>
      </c>
      <c r="E645" s="33">
        <v>515</v>
      </c>
      <c r="F645" s="33">
        <v>79</v>
      </c>
      <c r="G645" s="33">
        <v>714</v>
      </c>
      <c r="H645" s="33">
        <v>97.5</v>
      </c>
      <c r="I645" s="33">
        <v>737</v>
      </c>
      <c r="J645" s="33">
        <v>80</v>
      </c>
      <c r="K645" s="33">
        <v>211</v>
      </c>
      <c r="L645" s="33">
        <v>69</v>
      </c>
      <c r="M645" s="33">
        <v>810</v>
      </c>
      <c r="N645" s="33">
        <v>69</v>
      </c>
      <c r="O645" s="33">
        <v>420</v>
      </c>
      <c r="P645" s="1">
        <v>499.5</v>
      </c>
      <c r="Q645" s="1">
        <v>39</v>
      </c>
      <c r="R645" s="1">
        <v>641</v>
      </c>
    </row>
    <row r="646" spans="1:18">
      <c r="A646" s="33" t="s">
        <v>1374</v>
      </c>
      <c r="B646" s="1" t="s">
        <v>84</v>
      </c>
      <c r="C646" s="1" t="s">
        <v>1375</v>
      </c>
      <c r="D646" s="33">
        <v>108</v>
      </c>
      <c r="E646" s="33">
        <v>391</v>
      </c>
      <c r="F646" s="33">
        <v>77</v>
      </c>
      <c r="G646" s="33">
        <v>742</v>
      </c>
      <c r="H646" s="33">
        <v>108.5</v>
      </c>
      <c r="I646" s="33">
        <v>508</v>
      </c>
      <c r="J646" s="33">
        <v>59</v>
      </c>
      <c r="K646" s="33">
        <v>672</v>
      </c>
      <c r="L646" s="33">
        <v>82</v>
      </c>
      <c r="M646" s="33">
        <v>452</v>
      </c>
      <c r="N646" s="33">
        <v>65</v>
      </c>
      <c r="O646" s="33">
        <v>554</v>
      </c>
      <c r="P646" s="1">
        <v>499.5</v>
      </c>
      <c r="Q646" s="1">
        <v>40</v>
      </c>
      <c r="R646" s="1">
        <v>641</v>
      </c>
    </row>
    <row r="647" spans="1:18">
      <c r="A647" s="33" t="s">
        <v>1384</v>
      </c>
      <c r="B647" s="1" t="s">
        <v>249</v>
      </c>
      <c r="C647" s="1" t="s">
        <v>1385</v>
      </c>
      <c r="D647" s="33">
        <v>107</v>
      </c>
      <c r="E647" s="33">
        <v>429</v>
      </c>
      <c r="F647" s="33">
        <v>99</v>
      </c>
      <c r="G647" s="33">
        <v>437</v>
      </c>
      <c r="H647" s="33">
        <v>90</v>
      </c>
      <c r="I647" s="33">
        <v>829</v>
      </c>
      <c r="J647" s="33">
        <v>64</v>
      </c>
      <c r="K647" s="33">
        <v>559</v>
      </c>
      <c r="L647" s="33">
        <v>76</v>
      </c>
      <c r="M647" s="33">
        <v>642</v>
      </c>
      <c r="N647" s="33">
        <v>63</v>
      </c>
      <c r="O647" s="33">
        <v>625</v>
      </c>
      <c r="P647" s="1">
        <v>499</v>
      </c>
      <c r="Q647" s="1">
        <v>33</v>
      </c>
      <c r="R647" s="1">
        <v>646</v>
      </c>
    </row>
    <row r="648" spans="1:18">
      <c r="A648" s="33" t="s">
        <v>1386</v>
      </c>
      <c r="B648" s="1" t="s">
        <v>249</v>
      </c>
      <c r="C648" s="1" t="s">
        <v>1387</v>
      </c>
      <c r="D648" s="33">
        <v>112</v>
      </c>
      <c r="E648" s="33">
        <v>226</v>
      </c>
      <c r="F648" s="33">
        <v>83</v>
      </c>
      <c r="G648" s="33">
        <v>668</v>
      </c>
      <c r="H648" s="33">
        <v>109</v>
      </c>
      <c r="I648" s="33">
        <v>500</v>
      </c>
      <c r="J648" s="33">
        <v>63</v>
      </c>
      <c r="K648" s="33">
        <v>581</v>
      </c>
      <c r="L648" s="33">
        <v>70</v>
      </c>
      <c r="M648" s="33">
        <v>787</v>
      </c>
      <c r="N648" s="33">
        <v>62</v>
      </c>
      <c r="O648" s="33">
        <v>657</v>
      </c>
      <c r="P648" s="1">
        <v>499</v>
      </c>
      <c r="Q648" s="1">
        <v>33</v>
      </c>
      <c r="R648" s="1">
        <v>646</v>
      </c>
    </row>
    <row r="649" spans="1:18">
      <c r="A649" s="33" t="s">
        <v>1388</v>
      </c>
      <c r="B649" s="1" t="s">
        <v>217</v>
      </c>
      <c r="C649" s="1" t="s">
        <v>1389</v>
      </c>
      <c r="D649" s="33">
        <v>91</v>
      </c>
      <c r="E649" s="33">
        <v>890</v>
      </c>
      <c r="F649" s="33">
        <v>77</v>
      </c>
      <c r="G649" s="33">
        <v>742</v>
      </c>
      <c r="H649" s="33">
        <v>120</v>
      </c>
      <c r="I649" s="33">
        <v>211</v>
      </c>
      <c r="J649" s="33">
        <v>65</v>
      </c>
      <c r="K649" s="33">
        <v>539</v>
      </c>
      <c r="L649" s="33">
        <v>73</v>
      </c>
      <c r="M649" s="33">
        <v>717</v>
      </c>
      <c r="N649" s="33">
        <v>73</v>
      </c>
      <c r="O649" s="33">
        <v>275</v>
      </c>
      <c r="P649" s="1">
        <v>499</v>
      </c>
      <c r="Q649" s="1">
        <v>31</v>
      </c>
      <c r="R649" s="1">
        <v>646</v>
      </c>
    </row>
    <row r="650" spans="1:18">
      <c r="A650" s="33" t="s">
        <v>1392</v>
      </c>
      <c r="B650" s="1" t="s">
        <v>203</v>
      </c>
      <c r="C650" s="1" t="s">
        <v>1393</v>
      </c>
      <c r="D650" s="33">
        <v>107</v>
      </c>
      <c r="E650" s="33">
        <v>429</v>
      </c>
      <c r="F650" s="33">
        <v>81</v>
      </c>
      <c r="G650" s="33">
        <v>689</v>
      </c>
      <c r="H650" s="33">
        <v>112.5</v>
      </c>
      <c r="I650" s="33">
        <v>401</v>
      </c>
      <c r="J650" s="33">
        <v>55</v>
      </c>
      <c r="K650" s="33">
        <v>748</v>
      </c>
      <c r="L650" s="33">
        <v>83</v>
      </c>
      <c r="M650" s="33">
        <v>407</v>
      </c>
      <c r="N650" s="33">
        <v>60</v>
      </c>
      <c r="O650" s="33">
        <v>706</v>
      </c>
      <c r="P650" s="1">
        <v>498.5</v>
      </c>
      <c r="Q650" s="1">
        <v>32</v>
      </c>
      <c r="R650" s="1">
        <v>649</v>
      </c>
    </row>
    <row r="651" spans="1:18">
      <c r="A651" s="33" t="s">
        <v>1390</v>
      </c>
      <c r="B651" s="1" t="s">
        <v>172</v>
      </c>
      <c r="C651" s="1" t="s">
        <v>1391</v>
      </c>
      <c r="D651" s="33">
        <v>102</v>
      </c>
      <c r="E651" s="33">
        <v>655</v>
      </c>
      <c r="F651" s="33">
        <v>77</v>
      </c>
      <c r="G651" s="33">
        <v>742</v>
      </c>
      <c r="H651" s="33">
        <v>113.5</v>
      </c>
      <c r="I651" s="33">
        <v>374</v>
      </c>
      <c r="J651" s="33">
        <v>71</v>
      </c>
      <c r="K651" s="33">
        <v>411</v>
      </c>
      <c r="L651" s="33">
        <v>68</v>
      </c>
      <c r="M651" s="33">
        <v>824</v>
      </c>
      <c r="N651" s="33">
        <v>67</v>
      </c>
      <c r="O651" s="33">
        <v>489</v>
      </c>
      <c r="P651" s="1">
        <v>498.5</v>
      </c>
      <c r="Q651" s="1">
        <v>41</v>
      </c>
      <c r="R651" s="1">
        <v>649</v>
      </c>
    </row>
    <row r="652" spans="1:18">
      <c r="A652" s="33" t="s">
        <v>1394</v>
      </c>
      <c r="B652" s="1" t="s">
        <v>203</v>
      </c>
      <c r="C652" s="1" t="s">
        <v>1395</v>
      </c>
      <c r="D652" s="33">
        <v>115</v>
      </c>
      <c r="E652" s="33">
        <v>140</v>
      </c>
      <c r="F652" s="33">
        <v>79</v>
      </c>
      <c r="G652" s="33">
        <v>714</v>
      </c>
      <c r="H652" s="33">
        <v>110</v>
      </c>
      <c r="I652" s="33">
        <v>478</v>
      </c>
      <c r="J652" s="33">
        <v>58</v>
      </c>
      <c r="K652" s="33">
        <v>698</v>
      </c>
      <c r="L652" s="33">
        <v>80</v>
      </c>
      <c r="M652" s="33">
        <v>511</v>
      </c>
      <c r="N652" s="33">
        <v>56</v>
      </c>
      <c r="O652" s="33">
        <v>789</v>
      </c>
      <c r="P652" s="1">
        <v>498</v>
      </c>
      <c r="Q652" s="1">
        <v>33</v>
      </c>
      <c r="R652" s="1">
        <v>651</v>
      </c>
    </row>
    <row r="653" spans="1:18">
      <c r="A653" s="33" t="s">
        <v>1398</v>
      </c>
      <c r="B653" s="1" t="s">
        <v>97</v>
      </c>
      <c r="C653" s="1" t="s">
        <v>1399</v>
      </c>
      <c r="D653" s="33">
        <v>114</v>
      </c>
      <c r="E653" s="33">
        <v>170</v>
      </c>
      <c r="F653" s="33">
        <v>76</v>
      </c>
      <c r="G653" s="33">
        <v>755</v>
      </c>
      <c r="H653" s="33">
        <v>113</v>
      </c>
      <c r="I653" s="33">
        <v>396</v>
      </c>
      <c r="J653" s="33">
        <v>74</v>
      </c>
      <c r="K653" s="33">
        <v>345</v>
      </c>
      <c r="L653" s="33">
        <v>67</v>
      </c>
      <c r="M653" s="33">
        <v>837</v>
      </c>
      <c r="N653" s="33">
        <v>54</v>
      </c>
      <c r="O653" s="33">
        <v>817</v>
      </c>
      <c r="P653" s="1">
        <v>498</v>
      </c>
      <c r="Q653" s="1">
        <v>39</v>
      </c>
      <c r="R653" s="1">
        <v>651</v>
      </c>
    </row>
    <row r="654" spans="1:18">
      <c r="A654" s="33" t="s">
        <v>1396</v>
      </c>
      <c r="B654" s="1" t="s">
        <v>210</v>
      </c>
      <c r="C654" s="1" t="s">
        <v>1397</v>
      </c>
      <c r="D654" s="33">
        <v>111</v>
      </c>
      <c r="E654" s="33">
        <v>271</v>
      </c>
      <c r="F654" s="33">
        <v>75</v>
      </c>
      <c r="G654" s="33">
        <v>767</v>
      </c>
      <c r="H654" s="33">
        <v>120</v>
      </c>
      <c r="I654" s="33">
        <v>211</v>
      </c>
      <c r="J654" s="33">
        <v>56</v>
      </c>
      <c r="K654" s="33">
        <v>731</v>
      </c>
      <c r="L654" s="33">
        <v>78</v>
      </c>
      <c r="M654" s="33">
        <v>577</v>
      </c>
      <c r="N654" s="33">
        <v>58</v>
      </c>
      <c r="O654" s="33">
        <v>754</v>
      </c>
      <c r="P654" s="1">
        <v>498</v>
      </c>
      <c r="Q654" s="1">
        <v>41</v>
      </c>
      <c r="R654" s="1">
        <v>651</v>
      </c>
    </row>
    <row r="655" spans="1:18">
      <c r="A655" s="33" t="s">
        <v>1400</v>
      </c>
      <c r="B655" s="1" t="s">
        <v>217</v>
      </c>
      <c r="C655" s="1" t="s">
        <v>1401</v>
      </c>
      <c r="D655" s="33">
        <v>97</v>
      </c>
      <c r="E655" s="33">
        <v>795</v>
      </c>
      <c r="F655" s="33">
        <v>87</v>
      </c>
      <c r="G655" s="33">
        <v>615</v>
      </c>
      <c r="H655" s="33">
        <v>76.5</v>
      </c>
      <c r="I655" s="33">
        <v>907</v>
      </c>
      <c r="J655" s="33">
        <v>72</v>
      </c>
      <c r="K655" s="33">
        <v>392</v>
      </c>
      <c r="L655" s="33">
        <v>95</v>
      </c>
      <c r="M655" s="33">
        <v>60</v>
      </c>
      <c r="N655" s="33">
        <v>70</v>
      </c>
      <c r="O655" s="33">
        <v>380</v>
      </c>
      <c r="P655" s="1">
        <v>497.5</v>
      </c>
      <c r="Q655" s="1">
        <v>32</v>
      </c>
      <c r="R655" s="1">
        <v>654</v>
      </c>
    </row>
    <row r="656" spans="1:18">
      <c r="A656" s="33" t="s">
        <v>1402</v>
      </c>
      <c r="B656" s="1" t="s">
        <v>210</v>
      </c>
      <c r="C656" s="1" t="s">
        <v>1403</v>
      </c>
      <c r="D656" s="33">
        <v>103</v>
      </c>
      <c r="E656" s="33">
        <v>606</v>
      </c>
      <c r="F656" s="33">
        <v>86</v>
      </c>
      <c r="G656" s="33">
        <v>627</v>
      </c>
      <c r="H656" s="33">
        <v>115.5</v>
      </c>
      <c r="I656" s="33">
        <v>325</v>
      </c>
      <c r="J656" s="33">
        <v>64</v>
      </c>
      <c r="K656" s="33">
        <v>559</v>
      </c>
      <c r="L656" s="33">
        <v>74</v>
      </c>
      <c r="M656" s="33">
        <v>702</v>
      </c>
      <c r="N656" s="33">
        <v>55</v>
      </c>
      <c r="O656" s="33">
        <v>802</v>
      </c>
      <c r="P656" s="1">
        <v>497.5</v>
      </c>
      <c r="Q656" s="1">
        <v>42</v>
      </c>
      <c r="R656" s="1">
        <v>654</v>
      </c>
    </row>
    <row r="657" spans="1:18">
      <c r="A657" s="33" t="s">
        <v>1408</v>
      </c>
      <c r="B657" s="1" t="s">
        <v>217</v>
      </c>
      <c r="C657" s="1" t="s">
        <v>1409</v>
      </c>
      <c r="D657" s="33">
        <v>88</v>
      </c>
      <c r="E657" s="33">
        <v>918</v>
      </c>
      <c r="F657" s="33">
        <v>111</v>
      </c>
      <c r="G657" s="33">
        <v>248</v>
      </c>
      <c r="H657" s="33">
        <v>81</v>
      </c>
      <c r="I657" s="33">
        <v>889</v>
      </c>
      <c r="J657" s="33">
        <v>72</v>
      </c>
      <c r="K657" s="33">
        <v>392</v>
      </c>
      <c r="L657" s="33">
        <v>80</v>
      </c>
      <c r="M657" s="33">
        <v>511</v>
      </c>
      <c r="N657" s="33">
        <v>65</v>
      </c>
      <c r="O657" s="33">
        <v>554</v>
      </c>
      <c r="P657" s="1">
        <v>497</v>
      </c>
      <c r="Q657" s="1">
        <v>33</v>
      </c>
      <c r="R657" s="1">
        <v>656</v>
      </c>
    </row>
    <row r="658" spans="1:18">
      <c r="A658" s="33" t="s">
        <v>1406</v>
      </c>
      <c r="B658" s="1" t="s">
        <v>296</v>
      </c>
      <c r="C658" s="1" t="s">
        <v>1407</v>
      </c>
      <c r="D658" s="33">
        <v>100</v>
      </c>
      <c r="E658" s="33">
        <v>715</v>
      </c>
      <c r="F658" s="33">
        <v>99</v>
      </c>
      <c r="G658" s="33">
        <v>437</v>
      </c>
      <c r="H658" s="33">
        <v>100</v>
      </c>
      <c r="I658" s="33">
        <v>680</v>
      </c>
      <c r="J658" s="33">
        <v>73</v>
      </c>
      <c r="K658" s="33">
        <v>370</v>
      </c>
      <c r="L658" s="33">
        <v>77</v>
      </c>
      <c r="M658" s="33">
        <v>608</v>
      </c>
      <c r="N658" s="33">
        <v>48</v>
      </c>
      <c r="O658" s="33">
        <v>893</v>
      </c>
      <c r="P658" s="1">
        <v>497</v>
      </c>
      <c r="Q658" s="1">
        <v>33</v>
      </c>
      <c r="R658" s="1">
        <v>656</v>
      </c>
    </row>
    <row r="659" spans="1:18">
      <c r="A659" s="33" t="s">
        <v>1410</v>
      </c>
      <c r="B659" s="1" t="s">
        <v>133</v>
      </c>
      <c r="C659" s="1" t="s">
        <v>1411</v>
      </c>
      <c r="D659" s="33">
        <v>94</v>
      </c>
      <c r="E659" s="33">
        <v>856</v>
      </c>
      <c r="F659" s="33">
        <v>96</v>
      </c>
      <c r="G659" s="33">
        <v>484</v>
      </c>
      <c r="H659" s="33">
        <v>123</v>
      </c>
      <c r="I659" s="33">
        <v>132</v>
      </c>
      <c r="J659" s="33">
        <v>50</v>
      </c>
      <c r="K659" s="33">
        <v>826</v>
      </c>
      <c r="L659" s="33">
        <v>78</v>
      </c>
      <c r="M659" s="33">
        <v>577</v>
      </c>
      <c r="N659" s="33">
        <v>56</v>
      </c>
      <c r="O659" s="33">
        <v>789</v>
      </c>
      <c r="P659" s="1">
        <v>497</v>
      </c>
      <c r="Q659" s="1">
        <v>42</v>
      </c>
      <c r="R659" s="1">
        <v>656</v>
      </c>
    </row>
    <row r="660" spans="1:18">
      <c r="A660" s="33" t="s">
        <v>1404</v>
      </c>
      <c r="B660" s="1" t="s">
        <v>169</v>
      </c>
      <c r="C660" s="1" t="s">
        <v>1405</v>
      </c>
      <c r="D660" s="33">
        <v>102</v>
      </c>
      <c r="E660" s="33">
        <v>655</v>
      </c>
      <c r="F660" s="33">
        <v>73</v>
      </c>
      <c r="G660" s="33">
        <v>789</v>
      </c>
      <c r="H660" s="33">
        <v>119</v>
      </c>
      <c r="I660" s="33">
        <v>237</v>
      </c>
      <c r="J660" s="33">
        <v>62</v>
      </c>
      <c r="K660" s="33">
        <v>607</v>
      </c>
      <c r="L660" s="33">
        <v>77</v>
      </c>
      <c r="M660" s="33">
        <v>608</v>
      </c>
      <c r="N660" s="33">
        <v>64</v>
      </c>
      <c r="O660" s="33">
        <v>593</v>
      </c>
      <c r="P660" s="1">
        <v>497</v>
      </c>
      <c r="Q660" s="1">
        <v>38</v>
      </c>
      <c r="R660" s="1">
        <v>656</v>
      </c>
    </row>
    <row r="661" spans="1:18">
      <c r="A661" s="33" t="s">
        <v>1412</v>
      </c>
      <c r="B661" s="1" t="s">
        <v>97</v>
      </c>
      <c r="C661" s="1" t="s">
        <v>1413</v>
      </c>
      <c r="D661" s="33">
        <v>96</v>
      </c>
      <c r="E661" s="33">
        <v>814</v>
      </c>
      <c r="F661" s="33">
        <v>85</v>
      </c>
      <c r="G661" s="33">
        <v>644</v>
      </c>
      <c r="H661" s="33">
        <v>107.5</v>
      </c>
      <c r="I661" s="33">
        <v>532</v>
      </c>
      <c r="J661" s="33">
        <v>60</v>
      </c>
      <c r="K661" s="33">
        <v>647</v>
      </c>
      <c r="L661" s="33">
        <v>66</v>
      </c>
      <c r="M661" s="33">
        <v>849</v>
      </c>
      <c r="N661" s="33">
        <v>82</v>
      </c>
      <c r="O661" s="33">
        <v>46</v>
      </c>
      <c r="P661" s="1">
        <v>496.5</v>
      </c>
      <c r="Q661" s="1">
        <v>40</v>
      </c>
      <c r="R661" s="1">
        <v>660</v>
      </c>
    </row>
    <row r="662" spans="1:18">
      <c r="A662" s="33" t="s">
        <v>1414</v>
      </c>
      <c r="B662" s="1" t="s">
        <v>203</v>
      </c>
      <c r="C662" s="1" t="s">
        <v>1415</v>
      </c>
      <c r="D662" s="33">
        <v>117</v>
      </c>
      <c r="E662" s="33">
        <v>86</v>
      </c>
      <c r="F662" s="33">
        <v>104</v>
      </c>
      <c r="G662" s="33">
        <v>359</v>
      </c>
      <c r="H662" s="33">
        <v>114</v>
      </c>
      <c r="I662" s="33">
        <v>356</v>
      </c>
      <c r="J662" s="33">
        <v>64</v>
      </c>
      <c r="K662" s="33">
        <v>559</v>
      </c>
      <c r="L662" s="33">
        <v>66</v>
      </c>
      <c r="M662" s="33">
        <v>849</v>
      </c>
      <c r="N662" s="33">
        <v>31</v>
      </c>
      <c r="O662" s="33">
        <v>950</v>
      </c>
      <c r="P662" s="1">
        <v>496</v>
      </c>
      <c r="Q662" s="1">
        <v>34</v>
      </c>
      <c r="R662" s="1">
        <v>661</v>
      </c>
    </row>
    <row r="663" spans="1:18">
      <c r="A663" s="33" t="s">
        <v>1416</v>
      </c>
      <c r="B663" s="1" t="s">
        <v>169</v>
      </c>
      <c r="C663" s="1" t="s">
        <v>1417</v>
      </c>
      <c r="D663" s="33">
        <v>102</v>
      </c>
      <c r="E663" s="33">
        <v>655</v>
      </c>
      <c r="F663" s="33">
        <v>95</v>
      </c>
      <c r="G663" s="33">
        <v>502</v>
      </c>
      <c r="H663" s="33">
        <v>112</v>
      </c>
      <c r="I663" s="33">
        <v>413</v>
      </c>
      <c r="J663" s="33">
        <v>52</v>
      </c>
      <c r="K663" s="33">
        <v>798</v>
      </c>
      <c r="L663" s="33">
        <v>75</v>
      </c>
      <c r="M663" s="33">
        <v>671</v>
      </c>
      <c r="N663" s="33">
        <v>60</v>
      </c>
      <c r="O663" s="33">
        <v>706</v>
      </c>
      <c r="P663" s="1">
        <v>496</v>
      </c>
      <c r="Q663" s="1">
        <v>39</v>
      </c>
      <c r="R663" s="1">
        <v>661</v>
      </c>
    </row>
    <row r="664" spans="1:18">
      <c r="A664" s="33" t="s">
        <v>1420</v>
      </c>
      <c r="B664" s="1" t="s">
        <v>84</v>
      </c>
      <c r="C664" s="1" t="s">
        <v>1421</v>
      </c>
      <c r="D664" s="33">
        <v>96</v>
      </c>
      <c r="E664" s="33">
        <v>814</v>
      </c>
      <c r="F664" s="33">
        <v>86</v>
      </c>
      <c r="G664" s="33">
        <v>627</v>
      </c>
      <c r="H664" s="33">
        <v>130</v>
      </c>
      <c r="I664" s="33">
        <v>34</v>
      </c>
      <c r="J664" s="33">
        <v>59</v>
      </c>
      <c r="K664" s="33">
        <v>672</v>
      </c>
      <c r="L664" s="33">
        <v>73</v>
      </c>
      <c r="M664" s="33">
        <v>717</v>
      </c>
      <c r="N664" s="33">
        <v>52</v>
      </c>
      <c r="O664" s="33">
        <v>849</v>
      </c>
      <c r="P664" s="1">
        <v>496</v>
      </c>
      <c r="Q664" s="1">
        <v>41</v>
      </c>
      <c r="R664" s="1">
        <v>661</v>
      </c>
    </row>
    <row r="665" spans="1:18">
      <c r="A665" s="33" t="s">
        <v>1418</v>
      </c>
      <c r="B665" s="1" t="s">
        <v>296</v>
      </c>
      <c r="C665" s="1" t="s">
        <v>1419</v>
      </c>
      <c r="D665" s="33">
        <v>103</v>
      </c>
      <c r="E665" s="33">
        <v>606</v>
      </c>
      <c r="F665" s="33">
        <v>81</v>
      </c>
      <c r="G665" s="33">
        <v>689</v>
      </c>
      <c r="H665" s="33">
        <v>91</v>
      </c>
      <c r="I665" s="33">
        <v>817</v>
      </c>
      <c r="J665" s="33">
        <v>72</v>
      </c>
      <c r="K665" s="33">
        <v>392</v>
      </c>
      <c r="L665" s="33">
        <v>83</v>
      </c>
      <c r="M665" s="33">
        <v>407</v>
      </c>
      <c r="N665" s="33">
        <v>66</v>
      </c>
      <c r="O665" s="33">
        <v>519</v>
      </c>
      <c r="P665" s="1">
        <v>496</v>
      </c>
      <c r="Q665" s="1">
        <v>34</v>
      </c>
      <c r="R665" s="1">
        <v>661</v>
      </c>
    </row>
    <row r="666" spans="1:18">
      <c r="A666" s="33" t="s">
        <v>1422</v>
      </c>
      <c r="B666" s="1" t="s">
        <v>210</v>
      </c>
      <c r="C666" s="1" t="s">
        <v>1423</v>
      </c>
      <c r="D666" s="33">
        <v>106</v>
      </c>
      <c r="E666" s="33">
        <v>477</v>
      </c>
      <c r="F666" s="33">
        <v>95</v>
      </c>
      <c r="G666" s="33">
        <v>502</v>
      </c>
      <c r="H666" s="33">
        <v>118.5</v>
      </c>
      <c r="I666" s="33">
        <v>247</v>
      </c>
      <c r="J666" s="33">
        <v>50</v>
      </c>
      <c r="K666" s="33">
        <v>826</v>
      </c>
      <c r="L666" s="33">
        <v>86</v>
      </c>
      <c r="M666" s="33">
        <v>304</v>
      </c>
      <c r="N666" s="33">
        <v>40</v>
      </c>
      <c r="O666" s="33">
        <v>935</v>
      </c>
      <c r="P666" s="1">
        <v>495.5</v>
      </c>
      <c r="Q666" s="1">
        <v>43</v>
      </c>
      <c r="R666" s="1">
        <v>665</v>
      </c>
    </row>
    <row r="667" spans="1:18">
      <c r="A667" s="33" t="s">
        <v>1426</v>
      </c>
      <c r="B667" s="1" t="s">
        <v>203</v>
      </c>
      <c r="C667" s="1" t="s">
        <v>1427</v>
      </c>
      <c r="D667" s="33">
        <v>89</v>
      </c>
      <c r="E667" s="33">
        <v>909</v>
      </c>
      <c r="F667" s="33">
        <v>89</v>
      </c>
      <c r="G667" s="33">
        <v>588</v>
      </c>
      <c r="H667" s="33">
        <v>91.5</v>
      </c>
      <c r="I667" s="33">
        <v>816</v>
      </c>
      <c r="J667" s="33">
        <v>75</v>
      </c>
      <c r="K667" s="33">
        <v>324</v>
      </c>
      <c r="L667" s="33">
        <v>92</v>
      </c>
      <c r="M667" s="33">
        <v>116</v>
      </c>
      <c r="N667" s="33">
        <v>59</v>
      </c>
      <c r="O667" s="33">
        <v>729</v>
      </c>
      <c r="P667" s="1">
        <v>495.5</v>
      </c>
      <c r="Q667" s="1">
        <v>35</v>
      </c>
      <c r="R667" s="1">
        <v>665</v>
      </c>
    </row>
    <row r="668" spans="1:18">
      <c r="A668" s="33" t="s">
        <v>1428</v>
      </c>
      <c r="B668" s="1" t="s">
        <v>296</v>
      </c>
      <c r="C668" s="1" t="s">
        <v>1429</v>
      </c>
      <c r="D668" s="33">
        <v>109</v>
      </c>
      <c r="E668" s="33">
        <v>353</v>
      </c>
      <c r="F668" s="33">
        <v>82</v>
      </c>
      <c r="G668" s="33">
        <v>677</v>
      </c>
      <c r="H668" s="33">
        <v>126.5</v>
      </c>
      <c r="I668" s="33">
        <v>76</v>
      </c>
      <c r="J668" s="33">
        <v>63</v>
      </c>
      <c r="K668" s="33">
        <v>581</v>
      </c>
      <c r="L668" s="33">
        <v>62</v>
      </c>
      <c r="M668" s="33">
        <v>895</v>
      </c>
      <c r="N668" s="33">
        <v>53</v>
      </c>
      <c r="O668" s="33">
        <v>832</v>
      </c>
      <c r="P668" s="1">
        <v>495.5</v>
      </c>
      <c r="Q668" s="1">
        <v>35</v>
      </c>
      <c r="R668" s="1">
        <v>665</v>
      </c>
    </row>
    <row r="669" spans="1:18">
      <c r="A669" s="33" t="s">
        <v>1424</v>
      </c>
      <c r="B669" s="1" t="s">
        <v>111</v>
      </c>
      <c r="C669" s="1" t="s">
        <v>1425</v>
      </c>
      <c r="D669" s="33">
        <v>107</v>
      </c>
      <c r="E669" s="33">
        <v>429</v>
      </c>
      <c r="F669" s="33">
        <v>68</v>
      </c>
      <c r="G669" s="33">
        <v>836</v>
      </c>
      <c r="H669" s="33">
        <v>108.5</v>
      </c>
      <c r="I669" s="33">
        <v>508</v>
      </c>
      <c r="J669" s="33">
        <v>60</v>
      </c>
      <c r="K669" s="33">
        <v>647</v>
      </c>
      <c r="L669" s="33">
        <v>77</v>
      </c>
      <c r="M669" s="33">
        <v>608</v>
      </c>
      <c r="N669" s="33">
        <v>75</v>
      </c>
      <c r="O669" s="33">
        <v>219</v>
      </c>
      <c r="P669" s="1">
        <v>495.5</v>
      </c>
      <c r="Q669" s="1">
        <v>34</v>
      </c>
      <c r="R669" s="1">
        <v>665</v>
      </c>
    </row>
    <row r="670" spans="1:18">
      <c r="A670" s="33" t="s">
        <v>1430</v>
      </c>
      <c r="B670" s="1" t="s">
        <v>97</v>
      </c>
      <c r="C670" s="1" t="s">
        <v>1431</v>
      </c>
      <c r="D670" s="33">
        <v>90</v>
      </c>
      <c r="E670" s="33">
        <v>905</v>
      </c>
      <c r="F670" s="33">
        <v>89</v>
      </c>
      <c r="G670" s="33">
        <v>588</v>
      </c>
      <c r="H670" s="33">
        <v>84</v>
      </c>
      <c r="I670" s="33">
        <v>875</v>
      </c>
      <c r="J670" s="33">
        <v>72</v>
      </c>
      <c r="K670" s="33">
        <v>392</v>
      </c>
      <c r="L670" s="33">
        <v>81</v>
      </c>
      <c r="M670" s="33">
        <v>474</v>
      </c>
      <c r="N670" s="33">
        <v>79</v>
      </c>
      <c r="O670" s="33">
        <v>103</v>
      </c>
      <c r="P670" s="1">
        <v>495</v>
      </c>
      <c r="Q670" s="1">
        <v>41</v>
      </c>
      <c r="R670" s="1">
        <v>669</v>
      </c>
    </row>
    <row r="671" spans="1:18">
      <c r="A671" s="33" t="s">
        <v>1436</v>
      </c>
      <c r="B671" s="1" t="s">
        <v>210</v>
      </c>
      <c r="C671" s="1" t="s">
        <v>1437</v>
      </c>
      <c r="D671" s="33">
        <v>103</v>
      </c>
      <c r="E671" s="33">
        <v>606</v>
      </c>
      <c r="F671" s="33">
        <v>96</v>
      </c>
      <c r="G671" s="33">
        <v>484</v>
      </c>
      <c r="H671" s="33">
        <v>95</v>
      </c>
      <c r="I671" s="33">
        <v>775</v>
      </c>
      <c r="J671" s="33">
        <v>67</v>
      </c>
      <c r="K671" s="33">
        <v>497</v>
      </c>
      <c r="L671" s="33">
        <v>72</v>
      </c>
      <c r="M671" s="33">
        <v>751</v>
      </c>
      <c r="N671" s="33">
        <v>61</v>
      </c>
      <c r="O671" s="33">
        <v>686</v>
      </c>
      <c r="P671" s="1">
        <v>494</v>
      </c>
      <c r="Q671" s="1">
        <v>44</v>
      </c>
      <c r="R671" s="1">
        <v>670</v>
      </c>
    </row>
    <row r="672" spans="1:18">
      <c r="A672" s="33" t="s">
        <v>1434</v>
      </c>
      <c r="B672" s="1" t="s">
        <v>217</v>
      </c>
      <c r="C672" s="1" t="s">
        <v>1435</v>
      </c>
      <c r="D672" s="33">
        <v>102</v>
      </c>
      <c r="E672" s="33">
        <v>655</v>
      </c>
      <c r="F672" s="33">
        <v>83</v>
      </c>
      <c r="G672" s="33">
        <v>668</v>
      </c>
      <c r="H672" s="33">
        <v>107</v>
      </c>
      <c r="I672" s="33">
        <v>546</v>
      </c>
      <c r="J672" s="33">
        <v>74</v>
      </c>
      <c r="K672" s="33">
        <v>345</v>
      </c>
      <c r="L672" s="33">
        <v>66</v>
      </c>
      <c r="M672" s="33">
        <v>849</v>
      </c>
      <c r="N672" s="33">
        <v>62</v>
      </c>
      <c r="O672" s="33">
        <v>657</v>
      </c>
      <c r="P672" s="1">
        <v>494</v>
      </c>
      <c r="Q672" s="1">
        <v>34</v>
      </c>
      <c r="R672" s="1">
        <v>670</v>
      </c>
    </row>
    <row r="673" spans="1:18">
      <c r="A673" s="33" t="s">
        <v>1432</v>
      </c>
      <c r="B673" s="1" t="s">
        <v>217</v>
      </c>
      <c r="C673" s="1" t="s">
        <v>1433</v>
      </c>
      <c r="D673" s="33">
        <v>112</v>
      </c>
      <c r="E673" s="33">
        <v>226</v>
      </c>
      <c r="F673" s="33">
        <v>71</v>
      </c>
      <c r="G673" s="33">
        <v>809</v>
      </c>
      <c r="H673" s="33">
        <v>110</v>
      </c>
      <c r="I673" s="33">
        <v>478</v>
      </c>
      <c r="J673" s="33">
        <v>57</v>
      </c>
      <c r="K673" s="33">
        <v>713</v>
      </c>
      <c r="L673" s="33">
        <v>75</v>
      </c>
      <c r="M673" s="33">
        <v>671</v>
      </c>
      <c r="N673" s="33">
        <v>69</v>
      </c>
      <c r="O673" s="33">
        <v>420</v>
      </c>
      <c r="P673" s="1">
        <v>494</v>
      </c>
      <c r="Q673" s="1">
        <v>34</v>
      </c>
      <c r="R673" s="1">
        <v>670</v>
      </c>
    </row>
    <row r="674" spans="1:18">
      <c r="A674" s="33" t="s">
        <v>1440</v>
      </c>
      <c r="B674" s="1" t="s">
        <v>217</v>
      </c>
      <c r="C674" s="1" t="s">
        <v>1441</v>
      </c>
      <c r="D674" s="33">
        <v>86</v>
      </c>
      <c r="E674" s="33">
        <v>928</v>
      </c>
      <c r="F674" s="33">
        <v>102</v>
      </c>
      <c r="G674" s="33">
        <v>387</v>
      </c>
      <c r="H674" s="33">
        <v>103.5</v>
      </c>
      <c r="I674" s="33">
        <v>612</v>
      </c>
      <c r="J674" s="33">
        <v>62</v>
      </c>
      <c r="K674" s="33">
        <v>607</v>
      </c>
      <c r="L674" s="33">
        <v>76</v>
      </c>
      <c r="M674" s="33">
        <v>642</v>
      </c>
      <c r="N674" s="33">
        <v>64</v>
      </c>
      <c r="O674" s="33">
        <v>593</v>
      </c>
      <c r="P674" s="1">
        <v>493.5</v>
      </c>
      <c r="Q674" s="1">
        <v>36</v>
      </c>
      <c r="R674" s="1">
        <v>673</v>
      </c>
    </row>
    <row r="675" spans="1:18">
      <c r="A675" s="33" t="s">
        <v>1438</v>
      </c>
      <c r="B675" s="1" t="s">
        <v>217</v>
      </c>
      <c r="C675" s="1" t="s">
        <v>1439</v>
      </c>
      <c r="D675" s="33">
        <v>109</v>
      </c>
      <c r="E675" s="33">
        <v>353</v>
      </c>
      <c r="F675" s="33">
        <v>101</v>
      </c>
      <c r="G675" s="33">
        <v>404</v>
      </c>
      <c r="H675" s="33">
        <v>76.5</v>
      </c>
      <c r="I675" s="33">
        <v>907</v>
      </c>
      <c r="J675" s="33">
        <v>63</v>
      </c>
      <c r="K675" s="33">
        <v>581</v>
      </c>
      <c r="L675" s="33">
        <v>81</v>
      </c>
      <c r="M675" s="33">
        <v>474</v>
      </c>
      <c r="N675" s="33">
        <v>63</v>
      </c>
      <c r="O675" s="33">
        <v>625</v>
      </c>
      <c r="P675" s="1">
        <v>493.5</v>
      </c>
      <c r="Q675" s="1">
        <v>36</v>
      </c>
      <c r="R675" s="1">
        <v>673</v>
      </c>
    </row>
    <row r="676" spans="1:18">
      <c r="A676" s="33" t="s">
        <v>1442</v>
      </c>
      <c r="B676" s="1" t="s">
        <v>217</v>
      </c>
      <c r="C676" s="1" t="s">
        <v>1443</v>
      </c>
      <c r="D676" s="33">
        <v>98</v>
      </c>
      <c r="E676" s="33">
        <v>774</v>
      </c>
      <c r="F676" s="33">
        <v>93</v>
      </c>
      <c r="G676" s="33">
        <v>541</v>
      </c>
      <c r="H676" s="33">
        <v>112.5</v>
      </c>
      <c r="I676" s="33">
        <v>401</v>
      </c>
      <c r="J676" s="33">
        <v>66</v>
      </c>
      <c r="K676" s="33">
        <v>513</v>
      </c>
      <c r="L676" s="33">
        <v>71</v>
      </c>
      <c r="M676" s="33">
        <v>773</v>
      </c>
      <c r="N676" s="33">
        <v>53</v>
      </c>
      <c r="O676" s="33">
        <v>832</v>
      </c>
      <c r="P676" s="1">
        <v>493.5</v>
      </c>
      <c r="Q676" s="1">
        <v>36</v>
      </c>
      <c r="R676" s="1">
        <v>673</v>
      </c>
    </row>
    <row r="677" spans="1:18">
      <c r="A677" s="33" t="s">
        <v>1444</v>
      </c>
      <c r="B677" s="1" t="s">
        <v>133</v>
      </c>
      <c r="C677" s="1" t="s">
        <v>1445</v>
      </c>
      <c r="D677" s="33">
        <v>106</v>
      </c>
      <c r="E677" s="33">
        <v>477</v>
      </c>
      <c r="F677" s="33">
        <v>89</v>
      </c>
      <c r="G677" s="33">
        <v>588</v>
      </c>
      <c r="H677" s="33">
        <v>109.5</v>
      </c>
      <c r="I677" s="33">
        <v>490</v>
      </c>
      <c r="J677" s="33">
        <v>48</v>
      </c>
      <c r="K677" s="33">
        <v>854</v>
      </c>
      <c r="L677" s="33">
        <v>80</v>
      </c>
      <c r="M677" s="33">
        <v>511</v>
      </c>
      <c r="N677" s="33">
        <v>61</v>
      </c>
      <c r="O677" s="33">
        <v>686</v>
      </c>
      <c r="P677" s="1">
        <v>493.5</v>
      </c>
      <c r="Q677" s="1">
        <v>43</v>
      </c>
      <c r="R677" s="1">
        <v>673</v>
      </c>
    </row>
    <row r="678" spans="1:18">
      <c r="A678" s="33" t="s">
        <v>1450</v>
      </c>
      <c r="B678" s="1" t="s">
        <v>84</v>
      </c>
      <c r="C678" s="1" t="s">
        <v>1451</v>
      </c>
      <c r="D678" s="33">
        <v>66</v>
      </c>
      <c r="E678" s="33">
        <v>948</v>
      </c>
      <c r="F678" s="33">
        <v>99</v>
      </c>
      <c r="G678" s="33">
        <v>437</v>
      </c>
      <c r="H678" s="33">
        <v>116</v>
      </c>
      <c r="I678" s="33">
        <v>309</v>
      </c>
      <c r="J678" s="33">
        <v>89</v>
      </c>
      <c r="K678" s="33">
        <v>79</v>
      </c>
      <c r="L678" s="33">
        <v>74</v>
      </c>
      <c r="M678" s="33">
        <v>702</v>
      </c>
      <c r="N678" s="33">
        <v>49</v>
      </c>
      <c r="O678" s="33">
        <v>883</v>
      </c>
      <c r="P678" s="1">
        <v>493</v>
      </c>
      <c r="Q678" s="1">
        <v>42</v>
      </c>
      <c r="R678" s="1">
        <v>677</v>
      </c>
    </row>
    <row r="679" spans="1:18">
      <c r="A679" s="33" t="s">
        <v>1452</v>
      </c>
      <c r="B679" s="1" t="s">
        <v>240</v>
      </c>
      <c r="C679" s="1" t="s">
        <v>1453</v>
      </c>
      <c r="D679" s="33">
        <v>115</v>
      </c>
      <c r="E679" s="33">
        <v>140</v>
      </c>
      <c r="F679" s="33">
        <v>79</v>
      </c>
      <c r="G679" s="33">
        <v>714</v>
      </c>
      <c r="H679" s="33">
        <v>100</v>
      </c>
      <c r="I679" s="33">
        <v>680</v>
      </c>
      <c r="J679" s="33">
        <v>70</v>
      </c>
      <c r="K679" s="33">
        <v>429</v>
      </c>
      <c r="L679" s="33">
        <v>68</v>
      </c>
      <c r="M679" s="33">
        <v>824</v>
      </c>
      <c r="N679" s="33">
        <v>61</v>
      </c>
      <c r="O679" s="33">
        <v>686</v>
      </c>
      <c r="P679" s="1">
        <v>493</v>
      </c>
      <c r="Q679" s="1">
        <v>39</v>
      </c>
      <c r="R679" s="1">
        <v>677</v>
      </c>
    </row>
    <row r="680" spans="1:18">
      <c r="A680" s="33" t="s">
        <v>1448</v>
      </c>
      <c r="B680" s="1" t="s">
        <v>210</v>
      </c>
      <c r="C680" s="1" t="s">
        <v>1449</v>
      </c>
      <c r="D680" s="33">
        <v>103</v>
      </c>
      <c r="E680" s="33">
        <v>606</v>
      </c>
      <c r="F680" s="33">
        <v>73</v>
      </c>
      <c r="G680" s="33">
        <v>789</v>
      </c>
      <c r="H680" s="33">
        <v>120</v>
      </c>
      <c r="I680" s="33">
        <v>211</v>
      </c>
      <c r="J680" s="33">
        <v>69</v>
      </c>
      <c r="K680" s="33">
        <v>452</v>
      </c>
      <c r="L680" s="33">
        <v>80</v>
      </c>
      <c r="M680" s="33">
        <v>511</v>
      </c>
      <c r="N680" s="33">
        <v>48</v>
      </c>
      <c r="O680" s="33">
        <v>893</v>
      </c>
      <c r="P680" s="1">
        <v>493</v>
      </c>
      <c r="Q680" s="1">
        <v>45</v>
      </c>
      <c r="R680" s="1">
        <v>677</v>
      </c>
    </row>
    <row r="681" spans="1:18">
      <c r="A681" s="33" t="s">
        <v>1446</v>
      </c>
      <c r="B681" s="1" t="s">
        <v>133</v>
      </c>
      <c r="C681" s="1" t="s">
        <v>1447</v>
      </c>
      <c r="D681" s="33">
        <v>112</v>
      </c>
      <c r="E681" s="33">
        <v>226</v>
      </c>
      <c r="F681" s="33">
        <v>61</v>
      </c>
      <c r="G681" s="33">
        <v>874</v>
      </c>
      <c r="H681" s="33">
        <v>111</v>
      </c>
      <c r="I681" s="33">
        <v>445</v>
      </c>
      <c r="J681" s="33">
        <v>60</v>
      </c>
      <c r="K681" s="33">
        <v>647</v>
      </c>
      <c r="L681" s="33">
        <v>81</v>
      </c>
      <c r="M681" s="33">
        <v>474</v>
      </c>
      <c r="N681" s="33">
        <v>68</v>
      </c>
      <c r="O681" s="33">
        <v>452</v>
      </c>
      <c r="P681" s="1">
        <v>493</v>
      </c>
      <c r="Q681" s="1">
        <v>44</v>
      </c>
      <c r="R681" s="1">
        <v>677</v>
      </c>
    </row>
    <row r="682" spans="1:18">
      <c r="A682" s="33" t="s">
        <v>1458</v>
      </c>
      <c r="B682" s="1" t="s">
        <v>203</v>
      </c>
      <c r="C682" s="1" t="s">
        <v>1459</v>
      </c>
      <c r="D682" s="33">
        <v>103</v>
      </c>
      <c r="E682" s="33">
        <v>606</v>
      </c>
      <c r="F682" s="33">
        <v>83</v>
      </c>
      <c r="G682" s="33">
        <v>668</v>
      </c>
      <c r="H682" s="33">
        <v>107.5</v>
      </c>
      <c r="I682" s="33">
        <v>532</v>
      </c>
      <c r="J682" s="33">
        <v>50</v>
      </c>
      <c r="K682" s="33">
        <v>826</v>
      </c>
      <c r="L682" s="33">
        <v>76</v>
      </c>
      <c r="M682" s="33">
        <v>642</v>
      </c>
      <c r="N682" s="33">
        <v>73</v>
      </c>
      <c r="O682" s="33">
        <v>275</v>
      </c>
      <c r="P682" s="1">
        <v>492.5</v>
      </c>
      <c r="Q682" s="1">
        <v>36</v>
      </c>
      <c r="R682" s="1">
        <v>681</v>
      </c>
    </row>
    <row r="683" spans="1:18">
      <c r="A683" s="33" t="s">
        <v>1454</v>
      </c>
      <c r="B683" s="1" t="s">
        <v>84</v>
      </c>
      <c r="C683" s="1" t="s">
        <v>1455</v>
      </c>
      <c r="D683" s="33">
        <v>96</v>
      </c>
      <c r="E683" s="33">
        <v>814</v>
      </c>
      <c r="F683" s="33">
        <v>68</v>
      </c>
      <c r="G683" s="33">
        <v>836</v>
      </c>
      <c r="H683" s="33">
        <v>114.5</v>
      </c>
      <c r="I683" s="33">
        <v>340</v>
      </c>
      <c r="J683" s="33">
        <v>56</v>
      </c>
      <c r="K683" s="33">
        <v>731</v>
      </c>
      <c r="L683" s="33">
        <v>88</v>
      </c>
      <c r="M683" s="33">
        <v>240</v>
      </c>
      <c r="N683" s="33">
        <v>70</v>
      </c>
      <c r="O683" s="33">
        <v>380</v>
      </c>
      <c r="P683" s="1">
        <v>492.5</v>
      </c>
      <c r="Q683" s="1">
        <v>43</v>
      </c>
      <c r="R683" s="1">
        <v>681</v>
      </c>
    </row>
    <row r="684" spans="1:18">
      <c r="A684" s="33" t="s">
        <v>1456</v>
      </c>
      <c r="B684" s="1" t="s">
        <v>203</v>
      </c>
      <c r="C684" s="1" t="s">
        <v>1457</v>
      </c>
      <c r="D684" s="33">
        <v>112</v>
      </c>
      <c r="E684" s="33">
        <v>226</v>
      </c>
      <c r="F684" s="33">
        <v>64</v>
      </c>
      <c r="G684" s="33">
        <v>859</v>
      </c>
      <c r="H684" s="33">
        <v>94.5</v>
      </c>
      <c r="I684" s="33">
        <v>779</v>
      </c>
      <c r="J684" s="33">
        <v>79</v>
      </c>
      <c r="K684" s="33">
        <v>236</v>
      </c>
      <c r="L684" s="33">
        <v>72</v>
      </c>
      <c r="M684" s="33">
        <v>751</v>
      </c>
      <c r="N684" s="33">
        <v>71</v>
      </c>
      <c r="O684" s="33">
        <v>342</v>
      </c>
      <c r="P684" s="1">
        <v>492.5</v>
      </c>
      <c r="Q684" s="1">
        <v>36</v>
      </c>
      <c r="R684" s="1">
        <v>681</v>
      </c>
    </row>
    <row r="685" spans="1:18">
      <c r="A685" s="33" t="s">
        <v>1462</v>
      </c>
      <c r="B685" s="1" t="s">
        <v>84</v>
      </c>
      <c r="C685" s="1" t="s">
        <v>1463</v>
      </c>
      <c r="D685" s="33">
        <v>96</v>
      </c>
      <c r="E685" s="33">
        <v>814</v>
      </c>
      <c r="F685" s="33">
        <v>110</v>
      </c>
      <c r="G685" s="33">
        <v>265</v>
      </c>
      <c r="H685" s="33">
        <v>85</v>
      </c>
      <c r="I685" s="33">
        <v>870</v>
      </c>
      <c r="J685" s="33">
        <v>64</v>
      </c>
      <c r="K685" s="33">
        <v>559</v>
      </c>
      <c r="L685" s="33">
        <v>83</v>
      </c>
      <c r="M685" s="33">
        <v>407</v>
      </c>
      <c r="N685" s="33">
        <v>54</v>
      </c>
      <c r="O685" s="33">
        <v>817</v>
      </c>
      <c r="P685" s="1">
        <v>492</v>
      </c>
      <c r="Q685" s="1">
        <v>44</v>
      </c>
      <c r="R685" s="1">
        <v>684</v>
      </c>
    </row>
    <row r="686" spans="1:18">
      <c r="A686" s="33" t="s">
        <v>1466</v>
      </c>
      <c r="B686" s="1" t="s">
        <v>217</v>
      </c>
      <c r="C686" s="1" t="s">
        <v>1467</v>
      </c>
      <c r="D686" s="33">
        <v>123</v>
      </c>
      <c r="E686" s="33">
        <v>20</v>
      </c>
      <c r="F686" s="33">
        <v>92</v>
      </c>
      <c r="G686" s="33">
        <v>558</v>
      </c>
      <c r="H686" s="33">
        <v>115</v>
      </c>
      <c r="I686" s="33">
        <v>330</v>
      </c>
      <c r="J686" s="33">
        <v>36</v>
      </c>
      <c r="K686" s="33">
        <v>925</v>
      </c>
      <c r="L686" s="33">
        <v>69</v>
      </c>
      <c r="M686" s="33">
        <v>810</v>
      </c>
      <c r="N686" s="33">
        <v>57</v>
      </c>
      <c r="O686" s="33">
        <v>770</v>
      </c>
      <c r="P686" s="1">
        <v>492</v>
      </c>
      <c r="Q686" s="1">
        <v>39</v>
      </c>
      <c r="R686" s="1">
        <v>684</v>
      </c>
    </row>
    <row r="687" spans="1:18">
      <c r="A687" s="33" t="s">
        <v>1464</v>
      </c>
      <c r="B687" s="1" t="s">
        <v>92</v>
      </c>
      <c r="C687" s="1" t="s">
        <v>1465</v>
      </c>
      <c r="D687" s="33">
        <v>90</v>
      </c>
      <c r="E687" s="33">
        <v>905</v>
      </c>
      <c r="F687" s="33">
        <v>91</v>
      </c>
      <c r="G687" s="33">
        <v>567</v>
      </c>
      <c r="H687" s="33">
        <v>119</v>
      </c>
      <c r="I687" s="33">
        <v>237</v>
      </c>
      <c r="J687" s="33">
        <v>61</v>
      </c>
      <c r="K687" s="33">
        <v>627</v>
      </c>
      <c r="L687" s="33">
        <v>76</v>
      </c>
      <c r="M687" s="33">
        <v>642</v>
      </c>
      <c r="N687" s="33">
        <v>55</v>
      </c>
      <c r="O687" s="33">
        <v>802</v>
      </c>
      <c r="P687" s="1">
        <v>492</v>
      </c>
      <c r="Q687" s="1">
        <v>39</v>
      </c>
      <c r="R687" s="1">
        <v>684</v>
      </c>
    </row>
    <row r="688" spans="1:18">
      <c r="A688" s="33" t="s">
        <v>1460</v>
      </c>
      <c r="B688" s="1" t="s">
        <v>296</v>
      </c>
      <c r="C688" s="1" t="s">
        <v>1461</v>
      </c>
      <c r="D688" s="33">
        <v>103</v>
      </c>
      <c r="E688" s="33">
        <v>606</v>
      </c>
      <c r="F688" s="33">
        <v>81</v>
      </c>
      <c r="G688" s="33">
        <v>689</v>
      </c>
      <c r="H688" s="33">
        <v>99</v>
      </c>
      <c r="I688" s="33">
        <v>707</v>
      </c>
      <c r="J688" s="33">
        <v>69</v>
      </c>
      <c r="K688" s="33">
        <v>452</v>
      </c>
      <c r="L688" s="33">
        <v>67</v>
      </c>
      <c r="M688" s="33">
        <v>837</v>
      </c>
      <c r="N688" s="33">
        <v>73</v>
      </c>
      <c r="O688" s="33">
        <v>275</v>
      </c>
      <c r="P688" s="1">
        <v>492</v>
      </c>
      <c r="Q688" s="1">
        <v>36</v>
      </c>
      <c r="R688" s="1">
        <v>684</v>
      </c>
    </row>
    <row r="689" spans="1:18">
      <c r="A689" s="33" t="s">
        <v>1470</v>
      </c>
      <c r="B689" s="1" t="s">
        <v>249</v>
      </c>
      <c r="C689" s="1" t="s">
        <v>1471</v>
      </c>
      <c r="D689" s="33">
        <v>109</v>
      </c>
      <c r="E689" s="33">
        <v>353</v>
      </c>
      <c r="F689" s="33">
        <v>97</v>
      </c>
      <c r="G689" s="33">
        <v>475</v>
      </c>
      <c r="H689" s="33">
        <v>116.5</v>
      </c>
      <c r="I689" s="33">
        <v>298</v>
      </c>
      <c r="J689" s="33">
        <v>53</v>
      </c>
      <c r="K689" s="33">
        <v>786</v>
      </c>
      <c r="L689" s="33">
        <v>60</v>
      </c>
      <c r="M689" s="33">
        <v>908</v>
      </c>
      <c r="N689" s="33">
        <v>56</v>
      </c>
      <c r="O689" s="33">
        <v>789</v>
      </c>
      <c r="P689" s="1">
        <v>491.5</v>
      </c>
      <c r="Q689" s="1">
        <v>35</v>
      </c>
      <c r="R689" s="1">
        <v>688</v>
      </c>
    </row>
    <row r="690" spans="1:18">
      <c r="A690" s="33" t="s">
        <v>1468</v>
      </c>
      <c r="B690" s="1" t="s">
        <v>217</v>
      </c>
      <c r="C690" s="1" t="s">
        <v>1469</v>
      </c>
      <c r="D690" s="33">
        <v>103</v>
      </c>
      <c r="E690" s="33">
        <v>606</v>
      </c>
      <c r="F690" s="33">
        <v>89</v>
      </c>
      <c r="G690" s="33">
        <v>588</v>
      </c>
      <c r="H690" s="33">
        <v>96.5</v>
      </c>
      <c r="I690" s="33">
        <v>750</v>
      </c>
      <c r="J690" s="33">
        <v>53</v>
      </c>
      <c r="K690" s="33">
        <v>786</v>
      </c>
      <c r="L690" s="33">
        <v>92</v>
      </c>
      <c r="M690" s="33">
        <v>116</v>
      </c>
      <c r="N690" s="33">
        <v>58</v>
      </c>
      <c r="O690" s="33">
        <v>754</v>
      </c>
      <c r="P690" s="1">
        <v>491.5</v>
      </c>
      <c r="Q690" s="1">
        <v>40</v>
      </c>
      <c r="R690" s="1">
        <v>688</v>
      </c>
    </row>
    <row r="691" spans="1:18">
      <c r="A691" s="33" t="s">
        <v>1472</v>
      </c>
      <c r="B691" s="1" t="s">
        <v>249</v>
      </c>
      <c r="C691" s="1" t="s">
        <v>1473</v>
      </c>
      <c r="D691" s="33">
        <v>116</v>
      </c>
      <c r="E691" s="33">
        <v>117</v>
      </c>
      <c r="F691" s="33">
        <v>85</v>
      </c>
      <c r="G691" s="33">
        <v>644</v>
      </c>
      <c r="H691" s="33">
        <v>90</v>
      </c>
      <c r="I691" s="33">
        <v>829</v>
      </c>
      <c r="J691" s="33">
        <v>66</v>
      </c>
      <c r="K691" s="33">
        <v>513</v>
      </c>
      <c r="L691" s="33">
        <v>66</v>
      </c>
      <c r="M691" s="33">
        <v>849</v>
      </c>
      <c r="N691" s="33">
        <v>68</v>
      </c>
      <c r="O691" s="33">
        <v>452</v>
      </c>
      <c r="P691" s="1">
        <v>491</v>
      </c>
      <c r="Q691" s="1">
        <v>36</v>
      </c>
      <c r="R691" s="1">
        <v>690</v>
      </c>
    </row>
    <row r="692" spans="1:18">
      <c r="A692" s="33" t="s">
        <v>1474</v>
      </c>
      <c r="B692" s="1" t="s">
        <v>106</v>
      </c>
      <c r="C692" s="1" t="s">
        <v>1475</v>
      </c>
      <c r="D692" s="33">
        <v>113</v>
      </c>
      <c r="E692" s="33">
        <v>196</v>
      </c>
      <c r="F692" s="33">
        <v>68</v>
      </c>
      <c r="G692" s="33">
        <v>836</v>
      </c>
      <c r="H692" s="33">
        <v>121</v>
      </c>
      <c r="I692" s="33">
        <v>173</v>
      </c>
      <c r="J692" s="33">
        <v>62</v>
      </c>
      <c r="K692" s="33">
        <v>607</v>
      </c>
      <c r="L692" s="33">
        <v>80</v>
      </c>
      <c r="M692" s="33">
        <v>511</v>
      </c>
      <c r="N692" s="33">
        <v>47</v>
      </c>
      <c r="O692" s="33">
        <v>901</v>
      </c>
      <c r="P692" s="1">
        <v>491</v>
      </c>
      <c r="Q692" s="1">
        <v>31</v>
      </c>
      <c r="R692" s="1">
        <v>690</v>
      </c>
    </row>
    <row r="693" spans="1:18">
      <c r="A693" s="33" t="s">
        <v>1476</v>
      </c>
      <c r="B693" s="1" t="s">
        <v>217</v>
      </c>
      <c r="C693" s="1" t="s">
        <v>1477</v>
      </c>
      <c r="D693" s="33">
        <v>89</v>
      </c>
      <c r="E693" s="33">
        <v>909</v>
      </c>
      <c r="F693" s="33">
        <v>101</v>
      </c>
      <c r="G693" s="33">
        <v>404</v>
      </c>
      <c r="H693" s="33">
        <v>100</v>
      </c>
      <c r="I693" s="33">
        <v>680</v>
      </c>
      <c r="J693" s="33">
        <v>64</v>
      </c>
      <c r="K693" s="33">
        <v>559</v>
      </c>
      <c r="L693" s="33">
        <v>73</v>
      </c>
      <c r="M693" s="33">
        <v>717</v>
      </c>
      <c r="N693" s="33">
        <v>63</v>
      </c>
      <c r="O693" s="33">
        <v>625</v>
      </c>
      <c r="P693" s="1">
        <v>490</v>
      </c>
      <c r="Q693" s="1">
        <v>41</v>
      </c>
      <c r="R693" s="1">
        <v>692</v>
      </c>
    </row>
    <row r="694" spans="1:18">
      <c r="A694" s="33" t="s">
        <v>1482</v>
      </c>
      <c r="B694" s="1" t="s">
        <v>84</v>
      </c>
      <c r="C694" s="1" t="s">
        <v>1483</v>
      </c>
      <c r="D694" s="33">
        <v>108</v>
      </c>
      <c r="E694" s="33">
        <v>391</v>
      </c>
      <c r="F694" s="33">
        <v>98</v>
      </c>
      <c r="G694" s="33">
        <v>459</v>
      </c>
      <c r="H694" s="33">
        <v>41.5</v>
      </c>
      <c r="I694" s="33">
        <v>950</v>
      </c>
      <c r="J694" s="33">
        <v>74</v>
      </c>
      <c r="K694" s="33">
        <v>345</v>
      </c>
      <c r="L694" s="33">
        <v>91</v>
      </c>
      <c r="M694" s="33">
        <v>151</v>
      </c>
      <c r="N694" s="33">
        <v>77</v>
      </c>
      <c r="O694" s="33">
        <v>162</v>
      </c>
      <c r="P694" s="1">
        <v>489.5</v>
      </c>
      <c r="Q694" s="1">
        <v>45</v>
      </c>
      <c r="R694" s="1">
        <v>693</v>
      </c>
    </row>
    <row r="695" spans="1:18">
      <c r="A695" s="33" t="s">
        <v>1478</v>
      </c>
      <c r="B695" s="1" t="s">
        <v>92</v>
      </c>
      <c r="C695" s="1" t="s">
        <v>1479</v>
      </c>
      <c r="D695" s="33">
        <v>103</v>
      </c>
      <c r="E695" s="33">
        <v>606</v>
      </c>
      <c r="F695" s="33">
        <v>89</v>
      </c>
      <c r="G695" s="33">
        <v>588</v>
      </c>
      <c r="H695" s="33">
        <v>111.5</v>
      </c>
      <c r="I695" s="33">
        <v>427</v>
      </c>
      <c r="J695" s="33">
        <v>45</v>
      </c>
      <c r="K695" s="33">
        <v>878</v>
      </c>
      <c r="L695" s="33">
        <v>73</v>
      </c>
      <c r="M695" s="33">
        <v>717</v>
      </c>
      <c r="N695" s="33">
        <v>68</v>
      </c>
      <c r="O695" s="33">
        <v>452</v>
      </c>
      <c r="P695" s="1">
        <v>489.5</v>
      </c>
      <c r="Q695" s="1">
        <v>40</v>
      </c>
      <c r="R695" s="1">
        <v>693</v>
      </c>
    </row>
    <row r="696" spans="1:18">
      <c r="A696" s="33" t="s">
        <v>1480</v>
      </c>
      <c r="B696" s="1" t="s">
        <v>133</v>
      </c>
      <c r="C696" s="1" t="s">
        <v>1481</v>
      </c>
      <c r="D696" s="33">
        <v>107</v>
      </c>
      <c r="E696" s="33">
        <v>429</v>
      </c>
      <c r="F696" s="33">
        <v>73</v>
      </c>
      <c r="G696" s="33">
        <v>789</v>
      </c>
      <c r="H696" s="33">
        <v>122.5</v>
      </c>
      <c r="I696" s="33">
        <v>146</v>
      </c>
      <c r="J696" s="33">
        <v>51</v>
      </c>
      <c r="K696" s="33">
        <v>812</v>
      </c>
      <c r="L696" s="33">
        <v>72</v>
      </c>
      <c r="M696" s="33">
        <v>751</v>
      </c>
      <c r="N696" s="33">
        <v>64</v>
      </c>
      <c r="O696" s="33">
        <v>593</v>
      </c>
      <c r="P696" s="1">
        <v>489.5</v>
      </c>
      <c r="Q696" s="1">
        <v>45</v>
      </c>
      <c r="R696" s="1">
        <v>693</v>
      </c>
    </row>
    <row r="697" spans="1:18">
      <c r="A697" s="33" t="s">
        <v>1484</v>
      </c>
      <c r="B697" s="1" t="s">
        <v>111</v>
      </c>
      <c r="C697" s="1" t="s">
        <v>1485</v>
      </c>
      <c r="D697" s="33">
        <v>101</v>
      </c>
      <c r="E697" s="33">
        <v>688</v>
      </c>
      <c r="F697" s="33">
        <v>70</v>
      </c>
      <c r="G697" s="33">
        <v>816</v>
      </c>
      <c r="H697" s="33">
        <v>124.5</v>
      </c>
      <c r="I697" s="33">
        <v>103</v>
      </c>
      <c r="J697" s="33">
        <v>53</v>
      </c>
      <c r="K697" s="33">
        <v>786</v>
      </c>
      <c r="L697" s="33">
        <v>86</v>
      </c>
      <c r="M697" s="33">
        <v>304</v>
      </c>
      <c r="N697" s="33">
        <v>55</v>
      </c>
      <c r="O697" s="33">
        <v>802</v>
      </c>
      <c r="P697" s="1">
        <v>489.5</v>
      </c>
      <c r="Q697" s="1">
        <v>35</v>
      </c>
      <c r="R697" s="1">
        <v>693</v>
      </c>
    </row>
    <row r="698" spans="1:18">
      <c r="A698" s="33" t="s">
        <v>1486</v>
      </c>
      <c r="B698" s="1" t="s">
        <v>296</v>
      </c>
      <c r="C698" s="1" t="s">
        <v>1487</v>
      </c>
      <c r="D698" s="33">
        <v>95</v>
      </c>
      <c r="E698" s="33">
        <v>837</v>
      </c>
      <c r="F698" s="33">
        <v>105</v>
      </c>
      <c r="G698" s="33">
        <v>341</v>
      </c>
      <c r="H698" s="33">
        <v>97</v>
      </c>
      <c r="I698" s="33">
        <v>743</v>
      </c>
      <c r="J698" s="33">
        <v>82</v>
      </c>
      <c r="K698" s="33">
        <v>171</v>
      </c>
      <c r="L698" s="33">
        <v>68</v>
      </c>
      <c r="M698" s="33">
        <v>824</v>
      </c>
      <c r="N698" s="33">
        <v>42</v>
      </c>
      <c r="O698" s="33">
        <v>925</v>
      </c>
      <c r="P698" s="1">
        <v>489</v>
      </c>
      <c r="Q698" s="1">
        <v>37</v>
      </c>
      <c r="R698" s="1">
        <v>697</v>
      </c>
    </row>
    <row r="699" spans="1:18">
      <c r="A699" s="33" t="s">
        <v>1492</v>
      </c>
      <c r="B699" s="1" t="s">
        <v>106</v>
      </c>
      <c r="C699" s="1" t="s">
        <v>1493</v>
      </c>
      <c r="D699" s="33">
        <v>109</v>
      </c>
      <c r="E699" s="33">
        <v>353</v>
      </c>
      <c r="F699" s="33">
        <v>78</v>
      </c>
      <c r="G699" s="33">
        <v>730</v>
      </c>
      <c r="H699" s="33">
        <v>97</v>
      </c>
      <c r="I699" s="33">
        <v>743</v>
      </c>
      <c r="J699" s="33">
        <v>63</v>
      </c>
      <c r="K699" s="33">
        <v>581</v>
      </c>
      <c r="L699" s="33">
        <v>78</v>
      </c>
      <c r="M699" s="33">
        <v>577</v>
      </c>
      <c r="N699" s="33">
        <v>64</v>
      </c>
      <c r="O699" s="33">
        <v>593</v>
      </c>
      <c r="P699" s="1">
        <v>489</v>
      </c>
      <c r="Q699" s="1">
        <v>32</v>
      </c>
      <c r="R699" s="1">
        <v>697</v>
      </c>
    </row>
    <row r="700" spans="1:18">
      <c r="A700" s="33" t="s">
        <v>1490</v>
      </c>
      <c r="B700" s="1" t="s">
        <v>150</v>
      </c>
      <c r="C700" s="1" t="s">
        <v>1491</v>
      </c>
      <c r="D700" s="33">
        <v>100</v>
      </c>
      <c r="E700" s="33">
        <v>715</v>
      </c>
      <c r="F700" s="33">
        <v>76</v>
      </c>
      <c r="G700" s="33">
        <v>755</v>
      </c>
      <c r="H700" s="33">
        <v>128</v>
      </c>
      <c r="I700" s="33">
        <v>58</v>
      </c>
      <c r="J700" s="33">
        <v>39</v>
      </c>
      <c r="K700" s="33">
        <v>912</v>
      </c>
      <c r="L700" s="33">
        <v>75</v>
      </c>
      <c r="M700" s="33">
        <v>671</v>
      </c>
      <c r="N700" s="33">
        <v>71</v>
      </c>
      <c r="O700" s="33">
        <v>342</v>
      </c>
      <c r="P700" s="1">
        <v>489</v>
      </c>
      <c r="Q700" s="1">
        <v>45</v>
      </c>
      <c r="R700" s="1">
        <v>697</v>
      </c>
    </row>
    <row r="701" spans="1:18">
      <c r="A701" s="33" t="s">
        <v>1488</v>
      </c>
      <c r="B701" s="1" t="s">
        <v>106</v>
      </c>
      <c r="C701" s="1" t="s">
        <v>1489</v>
      </c>
      <c r="D701" s="33">
        <v>111</v>
      </c>
      <c r="E701" s="33">
        <v>271</v>
      </c>
      <c r="F701" s="33">
        <v>51</v>
      </c>
      <c r="G701" s="33">
        <v>922</v>
      </c>
      <c r="H701" s="33">
        <v>130</v>
      </c>
      <c r="I701" s="33">
        <v>34</v>
      </c>
      <c r="J701" s="33">
        <v>62</v>
      </c>
      <c r="K701" s="33">
        <v>607</v>
      </c>
      <c r="L701" s="33">
        <v>76</v>
      </c>
      <c r="M701" s="33">
        <v>642</v>
      </c>
      <c r="N701" s="33">
        <v>59</v>
      </c>
      <c r="O701" s="33">
        <v>729</v>
      </c>
      <c r="P701" s="1">
        <v>489</v>
      </c>
      <c r="Q701" s="1">
        <v>32</v>
      </c>
      <c r="R701" s="1">
        <v>697</v>
      </c>
    </row>
    <row r="702" spans="1:18">
      <c r="A702" s="33" t="s">
        <v>1494</v>
      </c>
      <c r="B702" s="1" t="s">
        <v>169</v>
      </c>
      <c r="C702" s="1" t="s">
        <v>1495</v>
      </c>
      <c r="D702" s="33">
        <v>109</v>
      </c>
      <c r="E702" s="33">
        <v>353</v>
      </c>
      <c r="F702" s="33">
        <v>71</v>
      </c>
      <c r="G702" s="33">
        <v>809</v>
      </c>
      <c r="H702" s="33">
        <v>111.5</v>
      </c>
      <c r="I702" s="33">
        <v>427</v>
      </c>
      <c r="J702" s="33">
        <v>62</v>
      </c>
      <c r="K702" s="33">
        <v>607</v>
      </c>
      <c r="L702" s="33">
        <v>77</v>
      </c>
      <c r="M702" s="33">
        <v>608</v>
      </c>
      <c r="N702" s="33">
        <v>58</v>
      </c>
      <c r="O702" s="33">
        <v>754</v>
      </c>
      <c r="P702" s="1">
        <v>488.5</v>
      </c>
      <c r="Q702" s="1">
        <v>40</v>
      </c>
      <c r="R702" s="1">
        <v>701</v>
      </c>
    </row>
    <row r="703" spans="1:18">
      <c r="A703" s="33" t="s">
        <v>1496</v>
      </c>
      <c r="B703" s="1" t="s">
        <v>106</v>
      </c>
      <c r="C703" s="1" t="s">
        <v>1497</v>
      </c>
      <c r="D703" s="33">
        <v>123</v>
      </c>
      <c r="E703" s="33">
        <v>20</v>
      </c>
      <c r="F703" s="33">
        <v>88</v>
      </c>
      <c r="G703" s="33">
        <v>602</v>
      </c>
      <c r="H703" s="33">
        <v>121</v>
      </c>
      <c r="I703" s="33">
        <v>173</v>
      </c>
      <c r="J703" s="33">
        <v>38</v>
      </c>
      <c r="K703" s="33">
        <v>917</v>
      </c>
      <c r="L703" s="33">
        <v>66</v>
      </c>
      <c r="M703" s="33">
        <v>849</v>
      </c>
      <c r="N703" s="33">
        <v>52</v>
      </c>
      <c r="O703" s="33">
        <v>849</v>
      </c>
      <c r="P703" s="1">
        <v>488</v>
      </c>
      <c r="Q703" s="1">
        <v>34</v>
      </c>
      <c r="R703" s="1">
        <v>702</v>
      </c>
    </row>
    <row r="704" spans="1:18">
      <c r="A704" s="33" t="s">
        <v>1498</v>
      </c>
      <c r="B704" s="1" t="s">
        <v>106</v>
      </c>
      <c r="C704" s="1" t="s">
        <v>1499</v>
      </c>
      <c r="D704" s="33">
        <v>124</v>
      </c>
      <c r="E704" s="33">
        <v>17</v>
      </c>
      <c r="F704" s="33">
        <v>61</v>
      </c>
      <c r="G704" s="33">
        <v>874</v>
      </c>
      <c r="H704" s="33">
        <v>118</v>
      </c>
      <c r="I704" s="33">
        <v>263</v>
      </c>
      <c r="J704" s="33">
        <v>57</v>
      </c>
      <c r="K704" s="33">
        <v>713</v>
      </c>
      <c r="L704" s="33">
        <v>77</v>
      </c>
      <c r="M704" s="33">
        <v>608</v>
      </c>
      <c r="N704" s="33">
        <v>51</v>
      </c>
      <c r="O704" s="33">
        <v>862</v>
      </c>
      <c r="P704" s="1">
        <v>488</v>
      </c>
      <c r="Q704" s="1">
        <v>34</v>
      </c>
      <c r="R704" s="1">
        <v>702</v>
      </c>
    </row>
    <row r="705" spans="1:18">
      <c r="A705" s="33" t="s">
        <v>1500</v>
      </c>
      <c r="B705" s="1" t="s">
        <v>249</v>
      </c>
      <c r="C705" s="1" t="s">
        <v>1501</v>
      </c>
      <c r="D705" s="33">
        <v>100</v>
      </c>
      <c r="E705" s="33">
        <v>715</v>
      </c>
      <c r="F705" s="33">
        <v>94</v>
      </c>
      <c r="G705" s="33">
        <v>524</v>
      </c>
      <c r="H705" s="33">
        <v>97.5</v>
      </c>
      <c r="I705" s="33">
        <v>737</v>
      </c>
      <c r="J705" s="33">
        <v>73</v>
      </c>
      <c r="K705" s="33">
        <v>370</v>
      </c>
      <c r="L705" s="33">
        <v>73</v>
      </c>
      <c r="M705" s="33">
        <v>717</v>
      </c>
      <c r="N705" s="33">
        <v>50</v>
      </c>
      <c r="O705" s="33">
        <v>873</v>
      </c>
      <c r="P705" s="1">
        <v>487.5</v>
      </c>
      <c r="Q705" s="1">
        <v>37</v>
      </c>
      <c r="R705" s="1">
        <v>704</v>
      </c>
    </row>
    <row r="706" spans="1:18">
      <c r="A706" s="33" t="s">
        <v>1504</v>
      </c>
      <c r="B706" s="1" t="s">
        <v>296</v>
      </c>
      <c r="C706" s="1" t="s">
        <v>1505</v>
      </c>
      <c r="D706" s="33">
        <v>111</v>
      </c>
      <c r="E706" s="33">
        <v>271</v>
      </c>
      <c r="F706" s="33">
        <v>92</v>
      </c>
      <c r="G706" s="33">
        <v>558</v>
      </c>
      <c r="H706" s="33">
        <v>104</v>
      </c>
      <c r="I706" s="33">
        <v>600</v>
      </c>
      <c r="J706" s="33">
        <v>60</v>
      </c>
      <c r="K706" s="33">
        <v>647</v>
      </c>
      <c r="L706" s="33">
        <v>75</v>
      </c>
      <c r="M706" s="33">
        <v>671</v>
      </c>
      <c r="N706" s="33">
        <v>45</v>
      </c>
      <c r="O706" s="33">
        <v>916</v>
      </c>
      <c r="P706" s="1">
        <v>487</v>
      </c>
      <c r="Q706" s="1">
        <v>38</v>
      </c>
      <c r="R706" s="1">
        <v>705</v>
      </c>
    </row>
    <row r="707" spans="1:18">
      <c r="A707" s="33" t="s">
        <v>1502</v>
      </c>
      <c r="B707" s="1" t="s">
        <v>217</v>
      </c>
      <c r="C707" s="1" t="s">
        <v>1503</v>
      </c>
      <c r="D707" s="33">
        <v>114</v>
      </c>
      <c r="E707" s="33">
        <v>170</v>
      </c>
      <c r="F707" s="33">
        <v>74</v>
      </c>
      <c r="G707" s="33">
        <v>779</v>
      </c>
      <c r="H707" s="33">
        <v>112</v>
      </c>
      <c r="I707" s="33">
        <v>413</v>
      </c>
      <c r="J707" s="33">
        <v>59</v>
      </c>
      <c r="K707" s="33">
        <v>672</v>
      </c>
      <c r="L707" s="33">
        <v>76</v>
      </c>
      <c r="M707" s="33">
        <v>642</v>
      </c>
      <c r="N707" s="33">
        <v>52</v>
      </c>
      <c r="O707" s="33">
        <v>849</v>
      </c>
      <c r="P707" s="1">
        <v>487</v>
      </c>
      <c r="Q707" s="1">
        <v>42</v>
      </c>
      <c r="R707" s="1">
        <v>705</v>
      </c>
    </row>
    <row r="708" spans="1:18">
      <c r="A708" s="33" t="s">
        <v>1506</v>
      </c>
      <c r="B708" s="1" t="s">
        <v>296</v>
      </c>
      <c r="C708" s="1" t="s">
        <v>1507</v>
      </c>
      <c r="D708" s="33">
        <v>103</v>
      </c>
      <c r="E708" s="33">
        <v>606</v>
      </c>
      <c r="F708" s="33">
        <v>62</v>
      </c>
      <c r="G708" s="33">
        <v>870</v>
      </c>
      <c r="H708" s="33">
        <v>113.5</v>
      </c>
      <c r="I708" s="33">
        <v>374</v>
      </c>
      <c r="J708" s="33">
        <v>66</v>
      </c>
      <c r="K708" s="33">
        <v>513</v>
      </c>
      <c r="L708" s="33">
        <v>86</v>
      </c>
      <c r="M708" s="33">
        <v>304</v>
      </c>
      <c r="N708" s="33">
        <v>56</v>
      </c>
      <c r="O708" s="33">
        <v>789</v>
      </c>
      <c r="P708" s="1">
        <v>486.5</v>
      </c>
      <c r="Q708" s="1">
        <v>39</v>
      </c>
      <c r="R708" s="1">
        <v>707</v>
      </c>
    </row>
    <row r="709" spans="1:18">
      <c r="A709" s="33" t="s">
        <v>1510</v>
      </c>
      <c r="B709" s="1" t="s">
        <v>122</v>
      </c>
      <c r="C709" s="1" t="s">
        <v>1511</v>
      </c>
      <c r="D709" s="33">
        <v>94</v>
      </c>
      <c r="E709" s="33">
        <v>856</v>
      </c>
      <c r="F709" s="33">
        <v>90</v>
      </c>
      <c r="G709" s="33">
        <v>579</v>
      </c>
      <c r="H709" s="33">
        <v>99</v>
      </c>
      <c r="I709" s="33">
        <v>707</v>
      </c>
      <c r="J709" s="33">
        <v>62</v>
      </c>
      <c r="K709" s="33">
        <v>607</v>
      </c>
      <c r="L709" s="33">
        <v>86</v>
      </c>
      <c r="M709" s="33">
        <v>304</v>
      </c>
      <c r="N709" s="33">
        <v>55</v>
      </c>
      <c r="O709" s="33">
        <v>802</v>
      </c>
      <c r="P709" s="1">
        <v>486</v>
      </c>
      <c r="Q709" s="1">
        <v>52</v>
      </c>
      <c r="R709" s="1">
        <v>708</v>
      </c>
    </row>
    <row r="710" spans="1:18">
      <c r="A710" s="33" t="s">
        <v>1508</v>
      </c>
      <c r="B710" s="1" t="s">
        <v>210</v>
      </c>
      <c r="C710" s="1" t="s">
        <v>1509</v>
      </c>
      <c r="D710" s="33">
        <v>105</v>
      </c>
      <c r="E710" s="33">
        <v>515</v>
      </c>
      <c r="F710" s="33">
        <v>63</v>
      </c>
      <c r="G710" s="33">
        <v>862</v>
      </c>
      <c r="H710" s="33">
        <v>105</v>
      </c>
      <c r="I710" s="33">
        <v>578</v>
      </c>
      <c r="J710" s="33">
        <v>61</v>
      </c>
      <c r="K710" s="33">
        <v>627</v>
      </c>
      <c r="L710" s="33">
        <v>89</v>
      </c>
      <c r="M710" s="33">
        <v>200</v>
      </c>
      <c r="N710" s="33">
        <v>63</v>
      </c>
      <c r="O710" s="33">
        <v>625</v>
      </c>
      <c r="P710" s="1">
        <v>486</v>
      </c>
      <c r="Q710" s="1">
        <v>46</v>
      </c>
      <c r="R710" s="1">
        <v>708</v>
      </c>
    </row>
    <row r="711" spans="1:18">
      <c r="A711" s="33" t="s">
        <v>1512</v>
      </c>
      <c r="B711" s="1" t="s">
        <v>84</v>
      </c>
      <c r="C711" s="1" t="s">
        <v>1513</v>
      </c>
      <c r="D711" s="33">
        <v>87</v>
      </c>
      <c r="E711" s="33">
        <v>922</v>
      </c>
      <c r="F711" s="33">
        <v>96</v>
      </c>
      <c r="G711" s="33">
        <v>484</v>
      </c>
      <c r="H711" s="33">
        <v>74.5</v>
      </c>
      <c r="I711" s="33">
        <v>917</v>
      </c>
      <c r="J711" s="33">
        <v>67</v>
      </c>
      <c r="K711" s="33">
        <v>497</v>
      </c>
      <c r="L711" s="33">
        <v>85</v>
      </c>
      <c r="M711" s="33">
        <v>339</v>
      </c>
      <c r="N711" s="33">
        <v>76</v>
      </c>
      <c r="O711" s="33">
        <v>194</v>
      </c>
      <c r="P711" s="1">
        <v>485.5</v>
      </c>
      <c r="Q711" s="1">
        <v>46</v>
      </c>
      <c r="R711" s="1">
        <v>710</v>
      </c>
    </row>
    <row r="712" spans="1:18">
      <c r="A712" s="33" t="s">
        <v>1516</v>
      </c>
      <c r="B712" s="1" t="s">
        <v>210</v>
      </c>
      <c r="C712" s="1" t="s">
        <v>1517</v>
      </c>
      <c r="D712" s="33">
        <v>105</v>
      </c>
      <c r="E712" s="33">
        <v>515</v>
      </c>
      <c r="F712" s="33">
        <v>107</v>
      </c>
      <c r="G712" s="33">
        <v>314</v>
      </c>
      <c r="H712" s="33">
        <v>77</v>
      </c>
      <c r="I712" s="33">
        <v>905</v>
      </c>
      <c r="J712" s="33">
        <v>67</v>
      </c>
      <c r="K712" s="33">
        <v>497</v>
      </c>
      <c r="L712" s="33">
        <v>70</v>
      </c>
      <c r="M712" s="33">
        <v>787</v>
      </c>
      <c r="N712" s="33">
        <v>59</v>
      </c>
      <c r="O712" s="33">
        <v>729</v>
      </c>
      <c r="P712" s="1">
        <v>485</v>
      </c>
      <c r="Q712" s="1">
        <v>47</v>
      </c>
      <c r="R712" s="1">
        <v>711</v>
      </c>
    </row>
    <row r="713" spans="1:18">
      <c r="A713" s="33" t="s">
        <v>1518</v>
      </c>
      <c r="B713" s="1" t="s">
        <v>203</v>
      </c>
      <c r="C713" s="1" t="s">
        <v>1519</v>
      </c>
      <c r="D713" s="33">
        <v>101</v>
      </c>
      <c r="E713" s="33">
        <v>688</v>
      </c>
      <c r="F713" s="33">
        <v>88</v>
      </c>
      <c r="G713" s="33">
        <v>602</v>
      </c>
      <c r="H713" s="33">
        <v>122</v>
      </c>
      <c r="I713" s="33">
        <v>154</v>
      </c>
      <c r="J713" s="33">
        <v>51</v>
      </c>
      <c r="K713" s="33">
        <v>812</v>
      </c>
      <c r="L713" s="33">
        <v>69</v>
      </c>
      <c r="M713" s="33">
        <v>810</v>
      </c>
      <c r="N713" s="33">
        <v>54</v>
      </c>
      <c r="O713" s="33">
        <v>817</v>
      </c>
      <c r="P713" s="1">
        <v>485</v>
      </c>
      <c r="Q713" s="1">
        <v>38</v>
      </c>
      <c r="R713" s="1">
        <v>711</v>
      </c>
    </row>
    <row r="714" spans="1:18">
      <c r="A714" s="33" t="s">
        <v>1520</v>
      </c>
      <c r="B714" s="1" t="s">
        <v>97</v>
      </c>
      <c r="C714" s="1" t="s">
        <v>1521</v>
      </c>
      <c r="D714" s="33">
        <v>105</v>
      </c>
      <c r="E714" s="33">
        <v>515</v>
      </c>
      <c r="F714" s="33">
        <v>84</v>
      </c>
      <c r="G714" s="33">
        <v>659</v>
      </c>
      <c r="H714" s="33">
        <v>105</v>
      </c>
      <c r="I714" s="33">
        <v>578</v>
      </c>
      <c r="J714" s="33">
        <v>41</v>
      </c>
      <c r="K714" s="33">
        <v>902</v>
      </c>
      <c r="L714" s="33">
        <v>78</v>
      </c>
      <c r="M714" s="33">
        <v>577</v>
      </c>
      <c r="N714" s="33">
        <v>72</v>
      </c>
      <c r="O714" s="33">
        <v>312</v>
      </c>
      <c r="P714" s="1">
        <v>485</v>
      </c>
      <c r="Q714" s="1">
        <v>42</v>
      </c>
      <c r="R714" s="1">
        <v>711</v>
      </c>
    </row>
    <row r="715" spans="1:18">
      <c r="A715" s="33" t="s">
        <v>1514</v>
      </c>
      <c r="B715" s="1" t="s">
        <v>210</v>
      </c>
      <c r="C715" s="1" t="s">
        <v>1515</v>
      </c>
      <c r="D715" s="33">
        <v>112</v>
      </c>
      <c r="E715" s="33">
        <v>226</v>
      </c>
      <c r="F715" s="33">
        <v>81</v>
      </c>
      <c r="G715" s="33">
        <v>689</v>
      </c>
      <c r="H715" s="33">
        <v>102</v>
      </c>
      <c r="I715" s="33">
        <v>642</v>
      </c>
      <c r="J715" s="33">
        <v>65</v>
      </c>
      <c r="K715" s="33">
        <v>539</v>
      </c>
      <c r="L715" s="33">
        <v>84</v>
      </c>
      <c r="M715" s="33">
        <v>379</v>
      </c>
      <c r="N715" s="33">
        <v>41</v>
      </c>
      <c r="O715" s="33">
        <v>931</v>
      </c>
      <c r="P715" s="1">
        <v>485</v>
      </c>
      <c r="Q715" s="1">
        <v>47</v>
      </c>
      <c r="R715" s="1">
        <v>711</v>
      </c>
    </row>
    <row r="716" spans="1:18">
      <c r="A716" s="33" t="s">
        <v>1526</v>
      </c>
      <c r="B716" s="1" t="s">
        <v>240</v>
      </c>
      <c r="C716" s="1" t="s">
        <v>1527</v>
      </c>
      <c r="D716" s="33">
        <v>100</v>
      </c>
      <c r="E716" s="33">
        <v>715</v>
      </c>
      <c r="F716" s="33">
        <v>98</v>
      </c>
      <c r="G716" s="33">
        <v>459</v>
      </c>
      <c r="H716" s="33">
        <v>92.5</v>
      </c>
      <c r="I716" s="33">
        <v>801</v>
      </c>
      <c r="J716" s="33">
        <v>45</v>
      </c>
      <c r="K716" s="33">
        <v>878</v>
      </c>
      <c r="L716" s="33">
        <v>84</v>
      </c>
      <c r="M716" s="33">
        <v>379</v>
      </c>
      <c r="N716" s="33">
        <v>65</v>
      </c>
      <c r="O716" s="33">
        <v>554</v>
      </c>
      <c r="P716" s="1">
        <v>484.5</v>
      </c>
      <c r="Q716" s="1">
        <v>40</v>
      </c>
      <c r="R716" s="1">
        <v>715</v>
      </c>
    </row>
    <row r="717" spans="1:18">
      <c r="A717" s="33" t="s">
        <v>1524</v>
      </c>
      <c r="B717" s="1" t="s">
        <v>84</v>
      </c>
      <c r="C717" s="1" t="s">
        <v>1525</v>
      </c>
      <c r="D717" s="33">
        <v>114</v>
      </c>
      <c r="E717" s="33">
        <v>170</v>
      </c>
      <c r="F717" s="33">
        <v>67</v>
      </c>
      <c r="G717" s="33">
        <v>840</v>
      </c>
      <c r="H717" s="33">
        <v>112.5</v>
      </c>
      <c r="I717" s="33">
        <v>401</v>
      </c>
      <c r="J717" s="33">
        <v>50</v>
      </c>
      <c r="K717" s="33">
        <v>826</v>
      </c>
      <c r="L717" s="33">
        <v>76</v>
      </c>
      <c r="M717" s="33">
        <v>642</v>
      </c>
      <c r="N717" s="33">
        <v>65</v>
      </c>
      <c r="O717" s="33">
        <v>554</v>
      </c>
      <c r="P717" s="1">
        <v>484.5</v>
      </c>
      <c r="Q717" s="1">
        <v>47</v>
      </c>
      <c r="R717" s="1">
        <v>715</v>
      </c>
    </row>
    <row r="718" spans="1:18">
      <c r="A718" s="33" t="s">
        <v>1522</v>
      </c>
      <c r="B718" s="1" t="s">
        <v>296</v>
      </c>
      <c r="C718" s="1" t="s">
        <v>1523</v>
      </c>
      <c r="D718" s="33">
        <v>107</v>
      </c>
      <c r="E718" s="33">
        <v>429</v>
      </c>
      <c r="F718" s="33">
        <v>61</v>
      </c>
      <c r="G718" s="33">
        <v>874</v>
      </c>
      <c r="H718" s="33">
        <v>113.5</v>
      </c>
      <c r="I718" s="33">
        <v>374</v>
      </c>
      <c r="J718" s="33">
        <v>63</v>
      </c>
      <c r="K718" s="33">
        <v>581</v>
      </c>
      <c r="L718" s="33">
        <v>76</v>
      </c>
      <c r="M718" s="33">
        <v>642</v>
      </c>
      <c r="N718" s="33">
        <v>64</v>
      </c>
      <c r="O718" s="33">
        <v>593</v>
      </c>
      <c r="P718" s="1">
        <v>484.5</v>
      </c>
      <c r="Q718" s="1">
        <v>40</v>
      </c>
      <c r="R718" s="1">
        <v>715</v>
      </c>
    </row>
    <row r="719" spans="1:18">
      <c r="A719" s="33" t="s">
        <v>1532</v>
      </c>
      <c r="B719" s="1" t="s">
        <v>133</v>
      </c>
      <c r="C719" s="1" t="s">
        <v>1533</v>
      </c>
      <c r="D719" s="33">
        <v>91</v>
      </c>
      <c r="E719" s="33">
        <v>890</v>
      </c>
      <c r="F719" s="33">
        <v>113</v>
      </c>
      <c r="G719" s="33">
        <v>225</v>
      </c>
      <c r="H719" s="33">
        <v>79</v>
      </c>
      <c r="I719" s="33">
        <v>900</v>
      </c>
      <c r="J719" s="33">
        <v>64</v>
      </c>
      <c r="K719" s="33">
        <v>559</v>
      </c>
      <c r="L719" s="33">
        <v>83</v>
      </c>
      <c r="M719" s="33">
        <v>407</v>
      </c>
      <c r="N719" s="33">
        <v>54</v>
      </c>
      <c r="O719" s="33">
        <v>817</v>
      </c>
      <c r="P719" s="1">
        <v>484</v>
      </c>
      <c r="Q719" s="1">
        <v>46</v>
      </c>
      <c r="R719" s="1">
        <v>718</v>
      </c>
    </row>
    <row r="720" spans="1:18">
      <c r="A720" s="33" t="s">
        <v>1530</v>
      </c>
      <c r="B720" s="1" t="s">
        <v>92</v>
      </c>
      <c r="C720" s="1" t="s">
        <v>1531</v>
      </c>
      <c r="D720" s="33">
        <v>85</v>
      </c>
      <c r="E720" s="33">
        <v>930</v>
      </c>
      <c r="F720" s="33">
        <v>103</v>
      </c>
      <c r="G720" s="33">
        <v>375</v>
      </c>
      <c r="H720" s="33">
        <v>81</v>
      </c>
      <c r="I720" s="33">
        <v>889</v>
      </c>
      <c r="J720" s="33">
        <v>66</v>
      </c>
      <c r="K720" s="33">
        <v>513</v>
      </c>
      <c r="L720" s="33">
        <v>79</v>
      </c>
      <c r="M720" s="33">
        <v>539</v>
      </c>
      <c r="N720" s="33">
        <v>70</v>
      </c>
      <c r="O720" s="33">
        <v>380</v>
      </c>
      <c r="P720" s="1">
        <v>484</v>
      </c>
      <c r="Q720" s="1">
        <v>41</v>
      </c>
      <c r="R720" s="1">
        <v>718</v>
      </c>
    </row>
    <row r="721" spans="1:18">
      <c r="A721" s="33" t="s">
        <v>1534</v>
      </c>
      <c r="B721" s="1" t="s">
        <v>172</v>
      </c>
      <c r="C721" s="1" t="s">
        <v>1535</v>
      </c>
      <c r="D721" s="33">
        <v>99</v>
      </c>
      <c r="E721" s="33">
        <v>754</v>
      </c>
      <c r="F721" s="33">
        <v>95</v>
      </c>
      <c r="G721" s="33">
        <v>502</v>
      </c>
      <c r="H721" s="33">
        <v>89</v>
      </c>
      <c r="I721" s="33">
        <v>841</v>
      </c>
      <c r="J721" s="33">
        <v>51</v>
      </c>
      <c r="K721" s="33">
        <v>812</v>
      </c>
      <c r="L721" s="33">
        <v>77</v>
      </c>
      <c r="M721" s="33">
        <v>608</v>
      </c>
      <c r="N721" s="33">
        <v>73</v>
      </c>
      <c r="O721" s="33">
        <v>275</v>
      </c>
      <c r="P721" s="1">
        <v>484</v>
      </c>
      <c r="Q721" s="1">
        <v>42</v>
      </c>
      <c r="R721" s="1">
        <v>718</v>
      </c>
    </row>
    <row r="722" spans="1:18">
      <c r="A722" s="33" t="s">
        <v>1528</v>
      </c>
      <c r="B722" s="1" t="s">
        <v>111</v>
      </c>
      <c r="C722" s="1" t="s">
        <v>1529</v>
      </c>
      <c r="D722" s="33">
        <v>99</v>
      </c>
      <c r="E722" s="33">
        <v>754</v>
      </c>
      <c r="F722" s="33">
        <v>77</v>
      </c>
      <c r="G722" s="33">
        <v>742</v>
      </c>
      <c r="H722" s="33">
        <v>98</v>
      </c>
      <c r="I722" s="33">
        <v>728</v>
      </c>
      <c r="J722" s="33">
        <v>66</v>
      </c>
      <c r="K722" s="33">
        <v>513</v>
      </c>
      <c r="L722" s="33">
        <v>81</v>
      </c>
      <c r="M722" s="33">
        <v>474</v>
      </c>
      <c r="N722" s="33">
        <v>63</v>
      </c>
      <c r="O722" s="33">
        <v>625</v>
      </c>
      <c r="P722" s="1">
        <v>484</v>
      </c>
      <c r="Q722" s="1">
        <v>36</v>
      </c>
      <c r="R722" s="1">
        <v>718</v>
      </c>
    </row>
    <row r="723" spans="1:18">
      <c r="A723" s="33" t="s">
        <v>1538</v>
      </c>
      <c r="B723" s="1" t="s">
        <v>106</v>
      </c>
      <c r="C723" s="1" t="s">
        <v>1539</v>
      </c>
      <c r="D723" s="33">
        <v>100</v>
      </c>
      <c r="E723" s="33">
        <v>715</v>
      </c>
      <c r="F723" s="33">
        <v>79</v>
      </c>
      <c r="G723" s="33">
        <v>714</v>
      </c>
      <c r="H723" s="33">
        <v>121.5</v>
      </c>
      <c r="I723" s="33">
        <v>160</v>
      </c>
      <c r="J723" s="33">
        <v>70</v>
      </c>
      <c r="K723" s="33">
        <v>429</v>
      </c>
      <c r="L723" s="33">
        <v>65</v>
      </c>
      <c r="M723" s="33">
        <v>866</v>
      </c>
      <c r="N723" s="33">
        <v>48</v>
      </c>
      <c r="O723" s="33">
        <v>893</v>
      </c>
      <c r="P723" s="1">
        <v>483.5</v>
      </c>
      <c r="Q723" s="1">
        <v>36</v>
      </c>
      <c r="R723" s="1">
        <v>722</v>
      </c>
    </row>
    <row r="724" spans="1:18">
      <c r="A724" s="33" t="s">
        <v>1536</v>
      </c>
      <c r="B724" s="1" t="s">
        <v>249</v>
      </c>
      <c r="C724" s="1" t="s">
        <v>1537</v>
      </c>
      <c r="D724" s="33">
        <v>121</v>
      </c>
      <c r="E724" s="33">
        <v>30</v>
      </c>
      <c r="F724" s="33">
        <v>75</v>
      </c>
      <c r="G724" s="33">
        <v>767</v>
      </c>
      <c r="H724" s="33">
        <v>99.5</v>
      </c>
      <c r="I724" s="33">
        <v>694</v>
      </c>
      <c r="J724" s="33">
        <v>54</v>
      </c>
      <c r="K724" s="33">
        <v>766</v>
      </c>
      <c r="L724" s="33">
        <v>70</v>
      </c>
      <c r="M724" s="33">
        <v>787</v>
      </c>
      <c r="N724" s="33">
        <v>64</v>
      </c>
      <c r="O724" s="33">
        <v>593</v>
      </c>
      <c r="P724" s="1">
        <v>483.5</v>
      </c>
      <c r="Q724" s="1">
        <v>38</v>
      </c>
      <c r="R724" s="1">
        <v>722</v>
      </c>
    </row>
    <row r="725" spans="1:18">
      <c r="A725" s="33" t="s">
        <v>1540</v>
      </c>
      <c r="B725" s="1" t="s">
        <v>203</v>
      </c>
      <c r="C725" s="1" t="s">
        <v>1541</v>
      </c>
      <c r="D725" s="33">
        <v>104</v>
      </c>
      <c r="E725" s="33">
        <v>573</v>
      </c>
      <c r="F725" s="33">
        <v>70</v>
      </c>
      <c r="G725" s="33">
        <v>816</v>
      </c>
      <c r="H725" s="33">
        <v>99</v>
      </c>
      <c r="I725" s="33">
        <v>707</v>
      </c>
      <c r="J725" s="33">
        <v>65</v>
      </c>
      <c r="K725" s="33">
        <v>539</v>
      </c>
      <c r="L725" s="33">
        <v>88</v>
      </c>
      <c r="M725" s="33">
        <v>240</v>
      </c>
      <c r="N725" s="33">
        <v>57</v>
      </c>
      <c r="O725" s="33">
        <v>770</v>
      </c>
      <c r="P725" s="1">
        <v>483</v>
      </c>
      <c r="Q725" s="1">
        <v>39</v>
      </c>
      <c r="R725" s="1">
        <v>724</v>
      </c>
    </row>
    <row r="726" spans="1:18">
      <c r="A726" s="33" t="s">
        <v>1546</v>
      </c>
      <c r="B726" s="1" t="s">
        <v>249</v>
      </c>
      <c r="C726" s="1" t="s">
        <v>1547</v>
      </c>
      <c r="D726" s="33">
        <v>105</v>
      </c>
      <c r="E726" s="33">
        <v>515</v>
      </c>
      <c r="F726" s="33">
        <v>102</v>
      </c>
      <c r="G726" s="33">
        <v>387</v>
      </c>
      <c r="H726" s="33">
        <v>73.5</v>
      </c>
      <c r="I726" s="33">
        <v>920</v>
      </c>
      <c r="J726" s="33">
        <v>92</v>
      </c>
      <c r="K726" s="33">
        <v>48</v>
      </c>
      <c r="L726" s="33">
        <v>66</v>
      </c>
      <c r="M726" s="33">
        <v>849</v>
      </c>
      <c r="N726" s="33">
        <v>44</v>
      </c>
      <c r="O726" s="33">
        <v>918</v>
      </c>
      <c r="P726" s="1">
        <v>482.5</v>
      </c>
      <c r="Q726" s="1">
        <v>39</v>
      </c>
      <c r="R726" s="1">
        <v>725</v>
      </c>
    </row>
    <row r="727" spans="1:18">
      <c r="A727" s="33" t="s">
        <v>1548</v>
      </c>
      <c r="B727" s="1" t="s">
        <v>217</v>
      </c>
      <c r="C727" s="1" t="s">
        <v>1549</v>
      </c>
      <c r="D727" s="33">
        <v>113</v>
      </c>
      <c r="E727" s="33">
        <v>196</v>
      </c>
      <c r="F727" s="33">
        <v>96</v>
      </c>
      <c r="G727" s="33">
        <v>484</v>
      </c>
      <c r="H727" s="33">
        <v>94.5</v>
      </c>
      <c r="I727" s="33">
        <v>779</v>
      </c>
      <c r="J727" s="33">
        <v>54</v>
      </c>
      <c r="K727" s="33">
        <v>766</v>
      </c>
      <c r="L727" s="33">
        <v>72</v>
      </c>
      <c r="M727" s="33">
        <v>751</v>
      </c>
      <c r="N727" s="33">
        <v>53</v>
      </c>
      <c r="O727" s="33">
        <v>832</v>
      </c>
      <c r="P727" s="1">
        <v>482.5</v>
      </c>
      <c r="Q727" s="1">
        <v>43</v>
      </c>
      <c r="R727" s="1">
        <v>725</v>
      </c>
    </row>
    <row r="728" spans="1:18">
      <c r="A728" s="33" t="s">
        <v>1544</v>
      </c>
      <c r="B728" s="1" t="s">
        <v>106</v>
      </c>
      <c r="C728" s="1" t="s">
        <v>1545</v>
      </c>
      <c r="D728" s="33">
        <v>109</v>
      </c>
      <c r="E728" s="33">
        <v>353</v>
      </c>
      <c r="F728" s="33">
        <v>85</v>
      </c>
      <c r="G728" s="33">
        <v>644</v>
      </c>
      <c r="H728" s="33">
        <v>88.5</v>
      </c>
      <c r="I728" s="33">
        <v>848</v>
      </c>
      <c r="J728" s="33">
        <v>63</v>
      </c>
      <c r="K728" s="33">
        <v>581</v>
      </c>
      <c r="L728" s="33">
        <v>78</v>
      </c>
      <c r="M728" s="33">
        <v>577</v>
      </c>
      <c r="N728" s="33">
        <v>59</v>
      </c>
      <c r="O728" s="33">
        <v>729</v>
      </c>
      <c r="P728" s="1">
        <v>482.5</v>
      </c>
      <c r="Q728" s="1">
        <v>37</v>
      </c>
      <c r="R728" s="1">
        <v>725</v>
      </c>
    </row>
    <row r="729" spans="1:18">
      <c r="A729" s="33" t="s">
        <v>1542</v>
      </c>
      <c r="B729" s="1" t="s">
        <v>111</v>
      </c>
      <c r="C729" s="1" t="s">
        <v>1543</v>
      </c>
      <c r="D729" s="33">
        <v>100</v>
      </c>
      <c r="E729" s="33">
        <v>715</v>
      </c>
      <c r="F729" s="33">
        <v>74</v>
      </c>
      <c r="G729" s="33">
        <v>779</v>
      </c>
      <c r="H729" s="33">
        <v>107.5</v>
      </c>
      <c r="I729" s="33">
        <v>532</v>
      </c>
      <c r="J729" s="33">
        <v>62</v>
      </c>
      <c r="K729" s="33">
        <v>607</v>
      </c>
      <c r="L729" s="33">
        <v>82</v>
      </c>
      <c r="M729" s="33">
        <v>452</v>
      </c>
      <c r="N729" s="33">
        <v>57</v>
      </c>
      <c r="O729" s="33">
        <v>770</v>
      </c>
      <c r="P729" s="1">
        <v>482.5</v>
      </c>
      <c r="Q729" s="1">
        <v>37</v>
      </c>
      <c r="R729" s="1">
        <v>725</v>
      </c>
    </row>
    <row r="730" spans="1:18">
      <c r="A730" s="33" t="s">
        <v>1550</v>
      </c>
      <c r="B730" s="1" t="s">
        <v>217</v>
      </c>
      <c r="C730" s="1" t="s">
        <v>1551</v>
      </c>
      <c r="D730" s="33">
        <v>100</v>
      </c>
      <c r="E730" s="33">
        <v>715</v>
      </c>
      <c r="F730" s="33">
        <v>96</v>
      </c>
      <c r="G730" s="33">
        <v>484</v>
      </c>
      <c r="H730" s="33">
        <v>96</v>
      </c>
      <c r="I730" s="33">
        <v>762</v>
      </c>
      <c r="J730" s="33">
        <v>55</v>
      </c>
      <c r="K730" s="33">
        <v>748</v>
      </c>
      <c r="L730" s="33">
        <v>68</v>
      </c>
      <c r="M730" s="33">
        <v>824</v>
      </c>
      <c r="N730" s="33">
        <v>67</v>
      </c>
      <c r="O730" s="33">
        <v>489</v>
      </c>
      <c r="P730" s="1">
        <v>482</v>
      </c>
      <c r="Q730" s="1">
        <v>44</v>
      </c>
      <c r="R730" s="1">
        <v>729</v>
      </c>
    </row>
    <row r="731" spans="1:18">
      <c r="A731" s="33" t="s">
        <v>1554</v>
      </c>
      <c r="B731" s="1" t="s">
        <v>111</v>
      </c>
      <c r="C731" s="1" t="s">
        <v>1555</v>
      </c>
      <c r="D731" s="33">
        <v>110</v>
      </c>
      <c r="E731" s="33">
        <v>310</v>
      </c>
      <c r="F731" s="33">
        <v>74</v>
      </c>
      <c r="G731" s="33">
        <v>779</v>
      </c>
      <c r="H731" s="33">
        <v>77</v>
      </c>
      <c r="I731" s="33">
        <v>905</v>
      </c>
      <c r="J731" s="33">
        <v>83</v>
      </c>
      <c r="K731" s="33">
        <v>153</v>
      </c>
      <c r="L731" s="33">
        <v>77</v>
      </c>
      <c r="M731" s="33">
        <v>608</v>
      </c>
      <c r="N731" s="33">
        <v>61</v>
      </c>
      <c r="O731" s="33">
        <v>686</v>
      </c>
      <c r="P731" s="1">
        <v>482</v>
      </c>
      <c r="Q731" s="1">
        <v>38</v>
      </c>
      <c r="R731" s="1">
        <v>729</v>
      </c>
    </row>
    <row r="732" spans="1:18">
      <c r="A732" s="33" t="s">
        <v>1552</v>
      </c>
      <c r="B732" s="1" t="s">
        <v>97</v>
      </c>
      <c r="C732" s="1" t="s">
        <v>1553</v>
      </c>
      <c r="D732" s="33">
        <v>112</v>
      </c>
      <c r="E732" s="33">
        <v>226</v>
      </c>
      <c r="F732" s="33">
        <v>71</v>
      </c>
      <c r="G732" s="33">
        <v>809</v>
      </c>
      <c r="H732" s="33">
        <v>94</v>
      </c>
      <c r="I732" s="33">
        <v>783</v>
      </c>
      <c r="J732" s="33">
        <v>55</v>
      </c>
      <c r="K732" s="33">
        <v>748</v>
      </c>
      <c r="L732" s="33">
        <v>82</v>
      </c>
      <c r="M732" s="33">
        <v>452</v>
      </c>
      <c r="N732" s="33">
        <v>68</v>
      </c>
      <c r="O732" s="33">
        <v>452</v>
      </c>
      <c r="P732" s="1">
        <v>482</v>
      </c>
      <c r="Q732" s="1">
        <v>43</v>
      </c>
      <c r="R732" s="1">
        <v>729</v>
      </c>
    </row>
    <row r="733" spans="1:18">
      <c r="A733" s="33" t="s">
        <v>1556</v>
      </c>
      <c r="B733" s="1" t="s">
        <v>111</v>
      </c>
      <c r="C733" s="1" t="s">
        <v>1557</v>
      </c>
      <c r="D733" s="33">
        <v>107</v>
      </c>
      <c r="E733" s="33">
        <v>429</v>
      </c>
      <c r="F733" s="33">
        <v>80</v>
      </c>
      <c r="G733" s="33">
        <v>700</v>
      </c>
      <c r="H733" s="33">
        <v>113.5</v>
      </c>
      <c r="I733" s="33">
        <v>374</v>
      </c>
      <c r="J733" s="33">
        <v>52</v>
      </c>
      <c r="K733" s="33">
        <v>798</v>
      </c>
      <c r="L733" s="33">
        <v>65</v>
      </c>
      <c r="M733" s="33">
        <v>866</v>
      </c>
      <c r="N733" s="33">
        <v>64</v>
      </c>
      <c r="O733" s="33">
        <v>593</v>
      </c>
      <c r="P733" s="1">
        <v>481.5</v>
      </c>
      <c r="Q733" s="1">
        <v>39</v>
      </c>
      <c r="R733" s="1">
        <v>732</v>
      </c>
    </row>
    <row r="734" spans="1:18">
      <c r="A734" s="33" t="s">
        <v>1560</v>
      </c>
      <c r="B734" s="1" t="s">
        <v>133</v>
      </c>
      <c r="C734" s="1" t="s">
        <v>1561</v>
      </c>
      <c r="D734" s="33">
        <v>102</v>
      </c>
      <c r="E734" s="33">
        <v>655</v>
      </c>
      <c r="F734" s="33">
        <v>77</v>
      </c>
      <c r="G734" s="33">
        <v>742</v>
      </c>
      <c r="H734" s="33">
        <v>110.5</v>
      </c>
      <c r="I734" s="33">
        <v>465</v>
      </c>
      <c r="J734" s="33">
        <v>42</v>
      </c>
      <c r="K734" s="33">
        <v>898</v>
      </c>
      <c r="L734" s="33">
        <v>82</v>
      </c>
      <c r="M734" s="33">
        <v>452</v>
      </c>
      <c r="N734" s="33">
        <v>68</v>
      </c>
      <c r="O734" s="33">
        <v>452</v>
      </c>
      <c r="P734" s="1">
        <v>481.5</v>
      </c>
      <c r="Q734" s="1">
        <v>47</v>
      </c>
      <c r="R734" s="1">
        <v>732</v>
      </c>
    </row>
    <row r="735" spans="1:18">
      <c r="A735" s="33" t="s">
        <v>1562</v>
      </c>
      <c r="B735" s="1" t="s">
        <v>217</v>
      </c>
      <c r="C735" s="1" t="s">
        <v>1563</v>
      </c>
      <c r="D735" s="33">
        <v>102</v>
      </c>
      <c r="E735" s="33">
        <v>655</v>
      </c>
      <c r="F735" s="33">
        <v>74</v>
      </c>
      <c r="G735" s="33">
        <v>779</v>
      </c>
      <c r="H735" s="33">
        <v>100.5</v>
      </c>
      <c r="I735" s="33">
        <v>675</v>
      </c>
      <c r="J735" s="33">
        <v>59</v>
      </c>
      <c r="K735" s="33">
        <v>672</v>
      </c>
      <c r="L735" s="33">
        <v>84</v>
      </c>
      <c r="M735" s="33">
        <v>379</v>
      </c>
      <c r="N735" s="33">
        <v>62</v>
      </c>
      <c r="O735" s="33">
        <v>657</v>
      </c>
      <c r="P735" s="1">
        <v>481.5</v>
      </c>
      <c r="Q735" s="1">
        <v>45</v>
      </c>
      <c r="R735" s="1">
        <v>732</v>
      </c>
    </row>
    <row r="736" spans="1:18">
      <c r="A736" s="33" t="s">
        <v>1558</v>
      </c>
      <c r="B736" s="1" t="s">
        <v>210</v>
      </c>
      <c r="C736" s="1" t="s">
        <v>1559</v>
      </c>
      <c r="D736" s="33">
        <v>103</v>
      </c>
      <c r="E736" s="33">
        <v>606</v>
      </c>
      <c r="F736" s="33">
        <v>69</v>
      </c>
      <c r="G736" s="33">
        <v>828</v>
      </c>
      <c r="H736" s="33">
        <v>109.5</v>
      </c>
      <c r="I736" s="33">
        <v>490</v>
      </c>
      <c r="J736" s="33">
        <v>70</v>
      </c>
      <c r="K736" s="33">
        <v>429</v>
      </c>
      <c r="L736" s="33">
        <v>66</v>
      </c>
      <c r="M736" s="33">
        <v>849</v>
      </c>
      <c r="N736" s="33">
        <v>64</v>
      </c>
      <c r="O736" s="33">
        <v>593</v>
      </c>
      <c r="P736" s="1">
        <v>481.5</v>
      </c>
      <c r="Q736" s="1">
        <v>49</v>
      </c>
      <c r="R736" s="1">
        <v>732</v>
      </c>
    </row>
    <row r="737" spans="1:18">
      <c r="A737" s="33" t="s">
        <v>1564</v>
      </c>
      <c r="B737" s="1" t="s">
        <v>106</v>
      </c>
      <c r="C737" s="1" t="s">
        <v>1565</v>
      </c>
      <c r="D737" s="33">
        <v>118</v>
      </c>
      <c r="E737" s="33">
        <v>69</v>
      </c>
      <c r="F737" s="33">
        <v>80</v>
      </c>
      <c r="G737" s="33">
        <v>700</v>
      </c>
      <c r="H737" s="33">
        <v>92</v>
      </c>
      <c r="I737" s="33">
        <v>809</v>
      </c>
      <c r="J737" s="33">
        <v>59</v>
      </c>
      <c r="K737" s="33">
        <v>672</v>
      </c>
      <c r="L737" s="33">
        <v>77</v>
      </c>
      <c r="M737" s="33">
        <v>608</v>
      </c>
      <c r="N737" s="33">
        <v>55</v>
      </c>
      <c r="O737" s="33">
        <v>802</v>
      </c>
      <c r="P737" s="1">
        <v>481</v>
      </c>
      <c r="Q737" s="1">
        <v>38</v>
      </c>
      <c r="R737" s="1">
        <v>736</v>
      </c>
    </row>
    <row r="738" spans="1:18">
      <c r="A738" s="33" t="s">
        <v>1566</v>
      </c>
      <c r="B738" s="1" t="s">
        <v>92</v>
      </c>
      <c r="C738" s="1" t="s">
        <v>1567</v>
      </c>
      <c r="D738" s="33">
        <v>90</v>
      </c>
      <c r="E738" s="33">
        <v>905</v>
      </c>
      <c r="F738" s="33">
        <v>72</v>
      </c>
      <c r="G738" s="33">
        <v>803</v>
      </c>
      <c r="H738" s="33">
        <v>118</v>
      </c>
      <c r="I738" s="33">
        <v>263</v>
      </c>
      <c r="J738" s="33">
        <v>63</v>
      </c>
      <c r="K738" s="33">
        <v>581</v>
      </c>
      <c r="L738" s="33">
        <v>72</v>
      </c>
      <c r="M738" s="33">
        <v>751</v>
      </c>
      <c r="N738" s="33">
        <v>66</v>
      </c>
      <c r="O738" s="33">
        <v>519</v>
      </c>
      <c r="P738" s="1">
        <v>481</v>
      </c>
      <c r="Q738" s="1">
        <v>42</v>
      </c>
      <c r="R738" s="1">
        <v>736</v>
      </c>
    </row>
    <row r="739" spans="1:18">
      <c r="A739" s="33" t="s">
        <v>1570</v>
      </c>
      <c r="B739" s="1" t="s">
        <v>296</v>
      </c>
      <c r="C739" s="1" t="s">
        <v>1571</v>
      </c>
      <c r="D739" s="33">
        <v>105</v>
      </c>
      <c r="E739" s="33">
        <v>515</v>
      </c>
      <c r="F739" s="33">
        <v>86</v>
      </c>
      <c r="G739" s="33">
        <v>627</v>
      </c>
      <c r="H739" s="33">
        <v>103.5</v>
      </c>
      <c r="I739" s="33">
        <v>612</v>
      </c>
      <c r="J739" s="33">
        <v>60</v>
      </c>
      <c r="K739" s="33">
        <v>647</v>
      </c>
      <c r="L739" s="33">
        <v>77</v>
      </c>
      <c r="M739" s="33">
        <v>608</v>
      </c>
      <c r="N739" s="33">
        <v>49</v>
      </c>
      <c r="O739" s="33">
        <v>883</v>
      </c>
      <c r="P739" s="1">
        <v>480.5</v>
      </c>
      <c r="Q739" s="1">
        <v>41</v>
      </c>
      <c r="R739" s="1">
        <v>738</v>
      </c>
    </row>
    <row r="740" spans="1:18">
      <c r="A740" s="33" t="s">
        <v>1568</v>
      </c>
      <c r="B740" s="1" t="s">
        <v>92</v>
      </c>
      <c r="C740" s="1" t="s">
        <v>1569</v>
      </c>
      <c r="D740" s="33">
        <v>100</v>
      </c>
      <c r="E740" s="33">
        <v>715</v>
      </c>
      <c r="F740" s="33">
        <v>74</v>
      </c>
      <c r="G740" s="33">
        <v>779</v>
      </c>
      <c r="H740" s="33">
        <v>102.5</v>
      </c>
      <c r="I740" s="33">
        <v>635</v>
      </c>
      <c r="J740" s="33">
        <v>59</v>
      </c>
      <c r="K740" s="33">
        <v>672</v>
      </c>
      <c r="L740" s="33">
        <v>85</v>
      </c>
      <c r="M740" s="33">
        <v>339</v>
      </c>
      <c r="N740" s="33">
        <v>60</v>
      </c>
      <c r="O740" s="33">
        <v>706</v>
      </c>
      <c r="P740" s="1">
        <v>480.5</v>
      </c>
      <c r="Q740" s="1">
        <v>43</v>
      </c>
      <c r="R740" s="1">
        <v>738</v>
      </c>
    </row>
    <row r="741" spans="1:18">
      <c r="A741" s="33" t="s">
        <v>1574</v>
      </c>
      <c r="B741" s="1" t="s">
        <v>249</v>
      </c>
      <c r="C741" s="1" t="s">
        <v>1575</v>
      </c>
      <c r="D741" s="33">
        <v>106</v>
      </c>
      <c r="E741" s="33">
        <v>477</v>
      </c>
      <c r="F741" s="33">
        <v>78</v>
      </c>
      <c r="G741" s="33">
        <v>730</v>
      </c>
      <c r="H741" s="33">
        <v>107.5</v>
      </c>
      <c r="I741" s="33">
        <v>532</v>
      </c>
      <c r="J741" s="33">
        <v>51</v>
      </c>
      <c r="K741" s="33">
        <v>812</v>
      </c>
      <c r="L741" s="33">
        <v>72</v>
      </c>
      <c r="M741" s="33">
        <v>751</v>
      </c>
      <c r="N741" s="33">
        <v>65</v>
      </c>
      <c r="O741" s="33">
        <v>554</v>
      </c>
      <c r="P741" s="1">
        <v>479.5</v>
      </c>
      <c r="Q741" s="1">
        <v>40</v>
      </c>
      <c r="R741" s="1">
        <v>740</v>
      </c>
    </row>
    <row r="742" spans="1:18">
      <c r="A742" s="33" t="s">
        <v>1572</v>
      </c>
      <c r="B742" s="1" t="s">
        <v>203</v>
      </c>
      <c r="C742" s="1" t="s">
        <v>1573</v>
      </c>
      <c r="D742" s="33">
        <v>95</v>
      </c>
      <c r="E742" s="33">
        <v>837</v>
      </c>
      <c r="F742" s="33">
        <v>76</v>
      </c>
      <c r="G742" s="33">
        <v>755</v>
      </c>
      <c r="H742" s="33">
        <v>87.5</v>
      </c>
      <c r="I742" s="33">
        <v>855</v>
      </c>
      <c r="J742" s="33">
        <v>75</v>
      </c>
      <c r="K742" s="33">
        <v>324</v>
      </c>
      <c r="L742" s="33">
        <v>84</v>
      </c>
      <c r="M742" s="33">
        <v>379</v>
      </c>
      <c r="N742" s="33">
        <v>62</v>
      </c>
      <c r="O742" s="33">
        <v>657</v>
      </c>
      <c r="P742" s="1">
        <v>479.5</v>
      </c>
      <c r="Q742" s="1">
        <v>40</v>
      </c>
      <c r="R742" s="1">
        <v>740</v>
      </c>
    </row>
    <row r="743" spans="1:18">
      <c r="A743" s="33" t="s">
        <v>1576</v>
      </c>
      <c r="B743" s="1" t="s">
        <v>249</v>
      </c>
      <c r="C743" s="1" t="s">
        <v>1577</v>
      </c>
      <c r="D743" s="33">
        <v>89</v>
      </c>
      <c r="E743" s="33">
        <v>909</v>
      </c>
      <c r="F743" s="33">
        <v>79</v>
      </c>
      <c r="G743" s="33">
        <v>714</v>
      </c>
      <c r="H743" s="33">
        <v>90</v>
      </c>
      <c r="I743" s="33">
        <v>829</v>
      </c>
      <c r="J743" s="33">
        <v>74</v>
      </c>
      <c r="K743" s="33">
        <v>345</v>
      </c>
      <c r="L743" s="33">
        <v>87</v>
      </c>
      <c r="M743" s="33">
        <v>268</v>
      </c>
      <c r="N743" s="33">
        <v>60</v>
      </c>
      <c r="O743" s="33">
        <v>706</v>
      </c>
      <c r="P743" s="1">
        <v>479</v>
      </c>
      <c r="Q743" s="1">
        <v>41</v>
      </c>
      <c r="R743" s="1">
        <v>742</v>
      </c>
    </row>
    <row r="744" spans="1:18">
      <c r="A744" s="33" t="s">
        <v>1578</v>
      </c>
      <c r="B744" s="1" t="s">
        <v>296</v>
      </c>
      <c r="C744" s="1" t="s">
        <v>1579</v>
      </c>
      <c r="D744" s="33">
        <v>95</v>
      </c>
      <c r="E744" s="33">
        <v>837</v>
      </c>
      <c r="F744" s="33">
        <v>74</v>
      </c>
      <c r="G744" s="33">
        <v>779</v>
      </c>
      <c r="H744" s="33">
        <v>107.5</v>
      </c>
      <c r="I744" s="33">
        <v>532</v>
      </c>
      <c r="J744" s="33">
        <v>42</v>
      </c>
      <c r="K744" s="33">
        <v>898</v>
      </c>
      <c r="L744" s="33">
        <v>83</v>
      </c>
      <c r="M744" s="33">
        <v>407</v>
      </c>
      <c r="N744" s="33">
        <v>77</v>
      </c>
      <c r="O744" s="33">
        <v>162</v>
      </c>
      <c r="P744" s="1">
        <v>478.5</v>
      </c>
      <c r="Q744" s="1">
        <v>42</v>
      </c>
      <c r="R744" s="1">
        <v>743</v>
      </c>
    </row>
    <row r="745" spans="1:18">
      <c r="A745" s="33" t="s">
        <v>1584</v>
      </c>
      <c r="B745" s="1" t="s">
        <v>106</v>
      </c>
      <c r="C745" s="1" t="s">
        <v>1585</v>
      </c>
      <c r="D745" s="33">
        <v>114</v>
      </c>
      <c r="E745" s="33">
        <v>170</v>
      </c>
      <c r="F745" s="33">
        <v>78</v>
      </c>
      <c r="G745" s="33">
        <v>730</v>
      </c>
      <c r="H745" s="33">
        <v>100</v>
      </c>
      <c r="I745" s="33">
        <v>680</v>
      </c>
      <c r="J745" s="33">
        <v>47</v>
      </c>
      <c r="K745" s="33">
        <v>863</v>
      </c>
      <c r="L745" s="33">
        <v>79</v>
      </c>
      <c r="M745" s="33">
        <v>539</v>
      </c>
      <c r="N745" s="33">
        <v>60</v>
      </c>
      <c r="O745" s="33">
        <v>706</v>
      </c>
      <c r="P745" s="1">
        <v>478</v>
      </c>
      <c r="Q745" s="1">
        <v>39</v>
      </c>
      <c r="R745" s="1">
        <v>744</v>
      </c>
    </row>
    <row r="746" spans="1:18">
      <c r="A746" s="33" t="s">
        <v>1580</v>
      </c>
      <c r="B746" s="1" t="s">
        <v>203</v>
      </c>
      <c r="C746" s="1" t="s">
        <v>1581</v>
      </c>
      <c r="D746" s="33">
        <v>108</v>
      </c>
      <c r="E746" s="33">
        <v>391</v>
      </c>
      <c r="F746" s="33">
        <v>78</v>
      </c>
      <c r="G746" s="33">
        <v>730</v>
      </c>
      <c r="H746" s="33">
        <v>92</v>
      </c>
      <c r="I746" s="33">
        <v>809</v>
      </c>
      <c r="J746" s="33">
        <v>66</v>
      </c>
      <c r="K746" s="33">
        <v>513</v>
      </c>
      <c r="L746" s="33">
        <v>77</v>
      </c>
      <c r="M746" s="33">
        <v>608</v>
      </c>
      <c r="N746" s="33">
        <v>57</v>
      </c>
      <c r="O746" s="33">
        <v>770</v>
      </c>
      <c r="P746" s="1">
        <v>478</v>
      </c>
      <c r="Q746" s="1">
        <v>41</v>
      </c>
      <c r="R746" s="1">
        <v>744</v>
      </c>
    </row>
    <row r="747" spans="1:18">
      <c r="A747" s="33" t="s">
        <v>1582</v>
      </c>
      <c r="B747" s="1" t="s">
        <v>97</v>
      </c>
      <c r="C747" s="1" t="s">
        <v>1583</v>
      </c>
      <c r="D747" s="33">
        <v>111</v>
      </c>
      <c r="E747" s="33">
        <v>271</v>
      </c>
      <c r="F747" s="33">
        <v>65</v>
      </c>
      <c r="G747" s="33">
        <v>854</v>
      </c>
      <c r="H747" s="33">
        <v>97</v>
      </c>
      <c r="I747" s="33">
        <v>743</v>
      </c>
      <c r="J747" s="33">
        <v>54</v>
      </c>
      <c r="K747" s="33">
        <v>766</v>
      </c>
      <c r="L747" s="33">
        <v>77</v>
      </c>
      <c r="M747" s="33">
        <v>608</v>
      </c>
      <c r="N747" s="33">
        <v>74</v>
      </c>
      <c r="O747" s="33">
        <v>247</v>
      </c>
      <c r="P747" s="1">
        <v>478</v>
      </c>
      <c r="Q747" s="1">
        <v>44</v>
      </c>
      <c r="R747" s="1">
        <v>744</v>
      </c>
    </row>
    <row r="748" spans="1:18">
      <c r="A748" s="33" t="s">
        <v>1586</v>
      </c>
      <c r="B748" s="1" t="s">
        <v>249</v>
      </c>
      <c r="C748" s="1" t="s">
        <v>1587</v>
      </c>
      <c r="D748" s="33">
        <v>98</v>
      </c>
      <c r="E748" s="33">
        <v>774</v>
      </c>
      <c r="F748" s="33">
        <v>82</v>
      </c>
      <c r="G748" s="33">
        <v>677</v>
      </c>
      <c r="H748" s="33">
        <v>97.5</v>
      </c>
      <c r="I748" s="33">
        <v>737</v>
      </c>
      <c r="J748" s="33">
        <v>56</v>
      </c>
      <c r="K748" s="33">
        <v>731</v>
      </c>
      <c r="L748" s="33">
        <v>79</v>
      </c>
      <c r="M748" s="33">
        <v>539</v>
      </c>
      <c r="N748" s="33">
        <v>65</v>
      </c>
      <c r="O748" s="33">
        <v>554</v>
      </c>
      <c r="P748" s="1">
        <v>477.5</v>
      </c>
      <c r="Q748" s="1">
        <v>42</v>
      </c>
      <c r="R748" s="1">
        <v>747</v>
      </c>
    </row>
    <row r="749" spans="1:18">
      <c r="A749" s="33" t="s">
        <v>1588</v>
      </c>
      <c r="B749" s="1" t="s">
        <v>240</v>
      </c>
      <c r="C749" s="1" t="s">
        <v>1589</v>
      </c>
      <c r="D749" s="33">
        <v>101</v>
      </c>
      <c r="E749" s="33">
        <v>688</v>
      </c>
      <c r="F749" s="33">
        <v>69</v>
      </c>
      <c r="G749" s="33">
        <v>828</v>
      </c>
      <c r="H749" s="33">
        <v>114.5</v>
      </c>
      <c r="I749" s="33">
        <v>340</v>
      </c>
      <c r="J749" s="33">
        <v>63</v>
      </c>
      <c r="K749" s="33">
        <v>581</v>
      </c>
      <c r="L749" s="33">
        <v>75</v>
      </c>
      <c r="M749" s="33">
        <v>671</v>
      </c>
      <c r="N749" s="33">
        <v>55</v>
      </c>
      <c r="O749" s="33">
        <v>802</v>
      </c>
      <c r="P749" s="1">
        <v>477.5</v>
      </c>
      <c r="Q749" s="1">
        <v>41</v>
      </c>
      <c r="R749" s="1">
        <v>747</v>
      </c>
    </row>
    <row r="750" spans="1:18">
      <c r="A750" s="33" t="s">
        <v>1590</v>
      </c>
      <c r="B750" s="1" t="s">
        <v>133</v>
      </c>
      <c r="C750" s="1" t="s">
        <v>1591</v>
      </c>
      <c r="D750" s="33">
        <v>108</v>
      </c>
      <c r="E750" s="33">
        <v>391</v>
      </c>
      <c r="F750" s="33">
        <v>95</v>
      </c>
      <c r="G750" s="33">
        <v>502</v>
      </c>
      <c r="H750" s="33">
        <v>81</v>
      </c>
      <c r="I750" s="33">
        <v>889</v>
      </c>
      <c r="J750" s="33">
        <v>50</v>
      </c>
      <c r="K750" s="33">
        <v>826</v>
      </c>
      <c r="L750" s="33">
        <v>76</v>
      </c>
      <c r="M750" s="33">
        <v>642</v>
      </c>
      <c r="N750" s="33">
        <v>67</v>
      </c>
      <c r="O750" s="33">
        <v>489</v>
      </c>
      <c r="P750" s="1">
        <v>477</v>
      </c>
      <c r="Q750" s="1">
        <v>48</v>
      </c>
      <c r="R750" s="1">
        <v>749</v>
      </c>
    </row>
    <row r="751" spans="1:18">
      <c r="A751" s="33" t="s">
        <v>1592</v>
      </c>
      <c r="B751" s="1" t="s">
        <v>106</v>
      </c>
      <c r="C751" s="1" t="s">
        <v>1593</v>
      </c>
      <c r="D751" s="33">
        <v>93</v>
      </c>
      <c r="E751" s="33">
        <v>868</v>
      </c>
      <c r="F751" s="33">
        <v>111</v>
      </c>
      <c r="G751" s="33">
        <v>248</v>
      </c>
      <c r="H751" s="33">
        <v>77.5</v>
      </c>
      <c r="I751" s="33">
        <v>902</v>
      </c>
      <c r="J751" s="33">
        <v>54</v>
      </c>
      <c r="K751" s="33">
        <v>766</v>
      </c>
      <c r="L751" s="33">
        <v>71</v>
      </c>
      <c r="M751" s="33">
        <v>773</v>
      </c>
      <c r="N751" s="33">
        <v>70</v>
      </c>
      <c r="O751" s="33">
        <v>380</v>
      </c>
      <c r="P751" s="1">
        <v>476.5</v>
      </c>
      <c r="Q751" s="1">
        <v>40</v>
      </c>
      <c r="R751" s="1">
        <v>750</v>
      </c>
    </row>
    <row r="752" spans="1:18">
      <c r="A752" s="33" t="s">
        <v>1594</v>
      </c>
      <c r="B752" s="1" t="s">
        <v>150</v>
      </c>
      <c r="C752" s="1" t="s">
        <v>1595</v>
      </c>
      <c r="D752" s="33">
        <v>110</v>
      </c>
      <c r="E752" s="33">
        <v>310</v>
      </c>
      <c r="F752" s="33">
        <v>95</v>
      </c>
      <c r="G752" s="33">
        <v>502</v>
      </c>
      <c r="H752" s="33">
        <v>89.5</v>
      </c>
      <c r="I752" s="33">
        <v>836</v>
      </c>
      <c r="J752" s="33">
        <v>42</v>
      </c>
      <c r="K752" s="33">
        <v>898</v>
      </c>
      <c r="L752" s="33">
        <v>79</v>
      </c>
      <c r="M752" s="33">
        <v>539</v>
      </c>
      <c r="N752" s="33">
        <v>61</v>
      </c>
      <c r="O752" s="33">
        <v>686</v>
      </c>
      <c r="P752" s="1">
        <v>476.5</v>
      </c>
      <c r="Q752" s="1">
        <v>46</v>
      </c>
      <c r="R752" s="1">
        <v>750</v>
      </c>
    </row>
    <row r="753" spans="1:18">
      <c r="A753" s="33" t="s">
        <v>1596</v>
      </c>
      <c r="B753" s="1" t="s">
        <v>240</v>
      </c>
      <c r="C753" s="1" t="s">
        <v>1597</v>
      </c>
      <c r="D753" s="33">
        <v>105</v>
      </c>
      <c r="E753" s="33">
        <v>515</v>
      </c>
      <c r="F753" s="33">
        <v>83</v>
      </c>
      <c r="G753" s="33">
        <v>668</v>
      </c>
      <c r="H753" s="33">
        <v>95.5</v>
      </c>
      <c r="I753" s="33">
        <v>769</v>
      </c>
      <c r="J753" s="33">
        <v>54</v>
      </c>
      <c r="K753" s="33">
        <v>766</v>
      </c>
      <c r="L753" s="33">
        <v>79</v>
      </c>
      <c r="M753" s="33">
        <v>539</v>
      </c>
      <c r="N753" s="33">
        <v>60</v>
      </c>
      <c r="O753" s="33">
        <v>706</v>
      </c>
      <c r="P753" s="1">
        <v>476.5</v>
      </c>
      <c r="Q753" s="1">
        <v>42</v>
      </c>
      <c r="R753" s="1">
        <v>750</v>
      </c>
    </row>
    <row r="754" spans="1:18">
      <c r="A754" s="33" t="s">
        <v>1598</v>
      </c>
      <c r="B754" s="1" t="s">
        <v>203</v>
      </c>
      <c r="C754" s="1" t="s">
        <v>1599</v>
      </c>
      <c r="D754" s="33">
        <v>95</v>
      </c>
      <c r="E754" s="33">
        <v>837</v>
      </c>
      <c r="F754" s="33">
        <v>75</v>
      </c>
      <c r="G754" s="33">
        <v>767</v>
      </c>
      <c r="H754" s="33">
        <v>103</v>
      </c>
      <c r="I754" s="33">
        <v>630</v>
      </c>
      <c r="J754" s="33">
        <v>72</v>
      </c>
      <c r="K754" s="33">
        <v>392</v>
      </c>
      <c r="L754" s="33">
        <v>75</v>
      </c>
      <c r="M754" s="33">
        <v>671</v>
      </c>
      <c r="N754" s="33">
        <v>56</v>
      </c>
      <c r="O754" s="33">
        <v>789</v>
      </c>
      <c r="P754" s="1">
        <v>476</v>
      </c>
      <c r="Q754" s="1">
        <v>42</v>
      </c>
      <c r="R754" s="1">
        <v>753</v>
      </c>
    </row>
    <row r="755" spans="1:18">
      <c r="A755" s="33" t="s">
        <v>1602</v>
      </c>
      <c r="B755" s="1" t="s">
        <v>169</v>
      </c>
      <c r="C755" s="1" t="s">
        <v>1603</v>
      </c>
      <c r="D755" s="33">
        <v>103</v>
      </c>
      <c r="E755" s="33">
        <v>606</v>
      </c>
      <c r="F755" s="33">
        <v>93</v>
      </c>
      <c r="G755" s="33">
        <v>541</v>
      </c>
      <c r="H755" s="33">
        <v>98.5</v>
      </c>
      <c r="I755" s="33">
        <v>719</v>
      </c>
      <c r="J755" s="33">
        <v>64</v>
      </c>
      <c r="K755" s="33">
        <v>559</v>
      </c>
      <c r="L755" s="33">
        <v>69</v>
      </c>
      <c r="M755" s="33">
        <v>810</v>
      </c>
      <c r="N755" s="33">
        <v>48</v>
      </c>
      <c r="O755" s="33">
        <v>893</v>
      </c>
      <c r="P755" s="1">
        <v>475.5</v>
      </c>
      <c r="Q755" s="1">
        <v>41</v>
      </c>
      <c r="R755" s="1">
        <v>754</v>
      </c>
    </row>
    <row r="756" spans="1:18">
      <c r="A756" s="33" t="s">
        <v>1600</v>
      </c>
      <c r="B756" s="1" t="s">
        <v>111</v>
      </c>
      <c r="C756" s="1" t="s">
        <v>1601</v>
      </c>
      <c r="D756" s="33">
        <v>86</v>
      </c>
      <c r="E756" s="33">
        <v>928</v>
      </c>
      <c r="F756" s="33">
        <v>90</v>
      </c>
      <c r="G756" s="33">
        <v>579</v>
      </c>
      <c r="H756" s="33">
        <v>72.5</v>
      </c>
      <c r="I756" s="33">
        <v>922</v>
      </c>
      <c r="J756" s="33">
        <v>85</v>
      </c>
      <c r="K756" s="33">
        <v>117</v>
      </c>
      <c r="L756" s="33">
        <v>78</v>
      </c>
      <c r="M756" s="33">
        <v>577</v>
      </c>
      <c r="N756" s="33">
        <v>64</v>
      </c>
      <c r="O756" s="33">
        <v>593</v>
      </c>
      <c r="P756" s="1">
        <v>475.5</v>
      </c>
      <c r="Q756" s="1">
        <v>40</v>
      </c>
      <c r="R756" s="1">
        <v>754</v>
      </c>
    </row>
    <row r="757" spans="1:18">
      <c r="A757" s="33" t="s">
        <v>1614</v>
      </c>
      <c r="B757" s="1" t="s">
        <v>217</v>
      </c>
      <c r="C757" s="1" t="s">
        <v>1615</v>
      </c>
      <c r="D757" s="33">
        <v>111</v>
      </c>
      <c r="E757" s="33">
        <v>271</v>
      </c>
      <c r="F757" s="33">
        <v>95</v>
      </c>
      <c r="G757" s="33">
        <v>502</v>
      </c>
      <c r="H757" s="33">
        <v>74</v>
      </c>
      <c r="I757" s="33">
        <v>918</v>
      </c>
      <c r="J757" s="33">
        <v>63</v>
      </c>
      <c r="K757" s="33">
        <v>581</v>
      </c>
      <c r="L757" s="33">
        <v>80</v>
      </c>
      <c r="M757" s="33">
        <v>511</v>
      </c>
      <c r="N757" s="33">
        <v>52</v>
      </c>
      <c r="O757" s="33">
        <v>849</v>
      </c>
      <c r="P757" s="1">
        <v>475</v>
      </c>
      <c r="Q757" s="1">
        <v>46</v>
      </c>
      <c r="R757" s="1">
        <v>756</v>
      </c>
    </row>
    <row r="758" spans="1:18">
      <c r="A758" s="33" t="s">
        <v>1612</v>
      </c>
      <c r="B758" s="1" t="s">
        <v>217</v>
      </c>
      <c r="C758" s="1" t="s">
        <v>1613</v>
      </c>
      <c r="D758" s="33">
        <v>93</v>
      </c>
      <c r="E758" s="33">
        <v>868</v>
      </c>
      <c r="F758" s="33">
        <v>90</v>
      </c>
      <c r="G758" s="33">
        <v>579</v>
      </c>
      <c r="H758" s="33">
        <v>93</v>
      </c>
      <c r="I758" s="33">
        <v>796</v>
      </c>
      <c r="J758" s="33">
        <v>43</v>
      </c>
      <c r="K758" s="33">
        <v>890</v>
      </c>
      <c r="L758" s="33">
        <v>85</v>
      </c>
      <c r="M758" s="33">
        <v>339</v>
      </c>
      <c r="N758" s="33">
        <v>71</v>
      </c>
      <c r="O758" s="33">
        <v>342</v>
      </c>
      <c r="P758" s="1">
        <v>475</v>
      </c>
      <c r="Q758" s="1">
        <v>46</v>
      </c>
      <c r="R758" s="1">
        <v>756</v>
      </c>
    </row>
    <row r="759" spans="1:18">
      <c r="A759" s="33" t="s">
        <v>1608</v>
      </c>
      <c r="B759" s="1" t="s">
        <v>172</v>
      </c>
      <c r="C759" s="1" t="s">
        <v>1609</v>
      </c>
      <c r="D759" s="33">
        <v>116</v>
      </c>
      <c r="E759" s="33">
        <v>117</v>
      </c>
      <c r="F759" s="33">
        <v>88</v>
      </c>
      <c r="G759" s="33">
        <v>602</v>
      </c>
      <c r="H759" s="33">
        <v>101</v>
      </c>
      <c r="I759" s="33">
        <v>661</v>
      </c>
      <c r="J759" s="33">
        <v>36</v>
      </c>
      <c r="K759" s="33">
        <v>925</v>
      </c>
      <c r="L759" s="33">
        <v>69</v>
      </c>
      <c r="M759" s="33">
        <v>810</v>
      </c>
      <c r="N759" s="33">
        <v>65</v>
      </c>
      <c r="O759" s="33">
        <v>554</v>
      </c>
      <c r="P759" s="1">
        <v>475</v>
      </c>
      <c r="Q759" s="1">
        <v>43</v>
      </c>
      <c r="R759" s="1">
        <v>756</v>
      </c>
    </row>
    <row r="760" spans="1:18">
      <c r="A760" s="33" t="s">
        <v>1604</v>
      </c>
      <c r="B760" s="1" t="s">
        <v>133</v>
      </c>
      <c r="C760" s="1" t="s">
        <v>1605</v>
      </c>
      <c r="D760" s="33">
        <v>106</v>
      </c>
      <c r="E760" s="33">
        <v>477</v>
      </c>
      <c r="F760" s="33">
        <v>75</v>
      </c>
      <c r="G760" s="33">
        <v>767</v>
      </c>
      <c r="H760" s="33">
        <v>116</v>
      </c>
      <c r="I760" s="33">
        <v>309</v>
      </c>
      <c r="J760" s="33">
        <v>43</v>
      </c>
      <c r="K760" s="33">
        <v>890</v>
      </c>
      <c r="L760" s="33">
        <v>77</v>
      </c>
      <c r="M760" s="33">
        <v>608</v>
      </c>
      <c r="N760" s="33">
        <v>58</v>
      </c>
      <c r="O760" s="33">
        <v>754</v>
      </c>
      <c r="P760" s="1">
        <v>475</v>
      </c>
      <c r="Q760" s="1">
        <v>49</v>
      </c>
      <c r="R760" s="1">
        <v>756</v>
      </c>
    </row>
    <row r="761" spans="1:18">
      <c r="A761" s="33" t="s">
        <v>1610</v>
      </c>
      <c r="B761" s="1" t="s">
        <v>172</v>
      </c>
      <c r="C761" s="1" t="s">
        <v>1611</v>
      </c>
      <c r="D761" s="33">
        <v>111</v>
      </c>
      <c r="E761" s="33">
        <v>271</v>
      </c>
      <c r="F761" s="33">
        <v>73</v>
      </c>
      <c r="G761" s="33">
        <v>789</v>
      </c>
      <c r="H761" s="33">
        <v>107</v>
      </c>
      <c r="I761" s="33">
        <v>546</v>
      </c>
      <c r="J761" s="33">
        <v>59</v>
      </c>
      <c r="K761" s="33">
        <v>672</v>
      </c>
      <c r="L761" s="33">
        <v>65</v>
      </c>
      <c r="M761" s="33">
        <v>866</v>
      </c>
      <c r="N761" s="33">
        <v>60</v>
      </c>
      <c r="O761" s="33">
        <v>706</v>
      </c>
      <c r="P761" s="1">
        <v>475</v>
      </c>
      <c r="Q761" s="1">
        <v>43</v>
      </c>
      <c r="R761" s="1">
        <v>756</v>
      </c>
    </row>
    <row r="762" spans="1:18">
      <c r="A762" s="33" t="s">
        <v>1606</v>
      </c>
      <c r="B762" s="1" t="s">
        <v>92</v>
      </c>
      <c r="C762" s="1" t="s">
        <v>1607</v>
      </c>
      <c r="D762" s="33">
        <v>104</v>
      </c>
      <c r="E762" s="33">
        <v>573</v>
      </c>
      <c r="F762" s="33">
        <v>56</v>
      </c>
      <c r="G762" s="33">
        <v>905</v>
      </c>
      <c r="H762" s="33">
        <v>112</v>
      </c>
      <c r="I762" s="33">
        <v>413</v>
      </c>
      <c r="J762" s="33">
        <v>58</v>
      </c>
      <c r="K762" s="33">
        <v>698</v>
      </c>
      <c r="L762" s="33">
        <v>83</v>
      </c>
      <c r="M762" s="33">
        <v>407</v>
      </c>
      <c r="N762" s="33">
        <v>62</v>
      </c>
      <c r="O762" s="33">
        <v>657</v>
      </c>
      <c r="P762" s="1">
        <v>475</v>
      </c>
      <c r="Q762" s="1">
        <v>44</v>
      </c>
      <c r="R762" s="1">
        <v>756</v>
      </c>
    </row>
    <row r="763" spans="1:18">
      <c r="A763" s="33" t="s">
        <v>1616</v>
      </c>
      <c r="B763" s="1" t="s">
        <v>240</v>
      </c>
      <c r="C763" s="1" t="s">
        <v>1617</v>
      </c>
      <c r="D763" s="33">
        <v>105</v>
      </c>
      <c r="E763" s="33">
        <v>515</v>
      </c>
      <c r="F763" s="33">
        <v>87</v>
      </c>
      <c r="G763" s="33">
        <v>615</v>
      </c>
      <c r="H763" s="33">
        <v>104.5</v>
      </c>
      <c r="I763" s="33">
        <v>593</v>
      </c>
      <c r="J763" s="33">
        <v>57</v>
      </c>
      <c r="K763" s="33">
        <v>713</v>
      </c>
      <c r="L763" s="33">
        <v>53</v>
      </c>
      <c r="M763" s="33">
        <v>939</v>
      </c>
      <c r="N763" s="33">
        <v>68</v>
      </c>
      <c r="O763" s="33">
        <v>452</v>
      </c>
      <c r="P763" s="1">
        <v>474.5</v>
      </c>
      <c r="Q763" s="1">
        <v>43</v>
      </c>
      <c r="R763" s="1">
        <v>762</v>
      </c>
    </row>
    <row r="764" spans="1:18">
      <c r="A764" s="33" t="s">
        <v>1618</v>
      </c>
      <c r="B764" s="1" t="s">
        <v>203</v>
      </c>
      <c r="C764" s="1" t="s">
        <v>1619</v>
      </c>
      <c r="D764" s="33">
        <v>96</v>
      </c>
      <c r="E764" s="33">
        <v>814</v>
      </c>
      <c r="F764" s="33">
        <v>79</v>
      </c>
      <c r="G764" s="33">
        <v>714</v>
      </c>
      <c r="H764" s="33">
        <v>98.5</v>
      </c>
      <c r="I764" s="33">
        <v>719</v>
      </c>
      <c r="J764" s="33">
        <v>72</v>
      </c>
      <c r="K764" s="33">
        <v>392</v>
      </c>
      <c r="L764" s="33">
        <v>77</v>
      </c>
      <c r="M764" s="33">
        <v>608</v>
      </c>
      <c r="N764" s="33">
        <v>52</v>
      </c>
      <c r="O764" s="33">
        <v>849</v>
      </c>
      <c r="P764" s="1">
        <v>474.5</v>
      </c>
      <c r="Q764" s="1">
        <v>43</v>
      </c>
      <c r="R764" s="1">
        <v>762</v>
      </c>
    </row>
    <row r="765" spans="1:18">
      <c r="A765" s="33" t="s">
        <v>1624</v>
      </c>
      <c r="B765" s="1" t="s">
        <v>240</v>
      </c>
      <c r="C765" s="1" t="s">
        <v>1625</v>
      </c>
      <c r="D765" s="33">
        <v>108</v>
      </c>
      <c r="E765" s="33">
        <v>391</v>
      </c>
      <c r="F765" s="33">
        <v>75</v>
      </c>
      <c r="G765" s="33">
        <v>767</v>
      </c>
      <c r="H765" s="33">
        <v>89</v>
      </c>
      <c r="I765" s="33">
        <v>841</v>
      </c>
      <c r="J765" s="33">
        <v>70</v>
      </c>
      <c r="K765" s="33">
        <v>429</v>
      </c>
      <c r="L765" s="33">
        <v>72</v>
      </c>
      <c r="M765" s="33">
        <v>751</v>
      </c>
      <c r="N765" s="33">
        <v>60</v>
      </c>
      <c r="O765" s="33">
        <v>706</v>
      </c>
      <c r="P765" s="1">
        <v>474</v>
      </c>
      <c r="Q765" s="1">
        <v>44</v>
      </c>
      <c r="R765" s="1">
        <v>764</v>
      </c>
    </row>
    <row r="766" spans="1:18">
      <c r="A766" s="33" t="s">
        <v>1620</v>
      </c>
      <c r="B766" s="1" t="s">
        <v>296</v>
      </c>
      <c r="C766" s="1" t="s">
        <v>1621</v>
      </c>
      <c r="D766" s="33">
        <v>94</v>
      </c>
      <c r="E766" s="33">
        <v>856</v>
      </c>
      <c r="F766" s="33">
        <v>73</v>
      </c>
      <c r="G766" s="33">
        <v>789</v>
      </c>
      <c r="H766" s="33">
        <v>108</v>
      </c>
      <c r="I766" s="33">
        <v>519</v>
      </c>
      <c r="J766" s="33">
        <v>61</v>
      </c>
      <c r="K766" s="33">
        <v>627</v>
      </c>
      <c r="L766" s="33">
        <v>83</v>
      </c>
      <c r="M766" s="33">
        <v>407</v>
      </c>
      <c r="N766" s="33">
        <v>55</v>
      </c>
      <c r="O766" s="33">
        <v>802</v>
      </c>
      <c r="P766" s="1">
        <v>474</v>
      </c>
      <c r="Q766" s="1">
        <v>43</v>
      </c>
      <c r="R766" s="1">
        <v>764</v>
      </c>
    </row>
    <row r="767" spans="1:18">
      <c r="A767" s="33" t="s">
        <v>1622</v>
      </c>
      <c r="B767" s="1" t="s">
        <v>210</v>
      </c>
      <c r="C767" s="1" t="s">
        <v>1623</v>
      </c>
      <c r="D767" s="33">
        <v>111</v>
      </c>
      <c r="E767" s="33">
        <v>271</v>
      </c>
      <c r="F767" s="33">
        <v>64</v>
      </c>
      <c r="G767" s="33">
        <v>859</v>
      </c>
      <c r="H767" s="33">
        <v>116</v>
      </c>
      <c r="I767" s="33">
        <v>309</v>
      </c>
      <c r="J767" s="33">
        <v>69</v>
      </c>
      <c r="K767" s="33">
        <v>452</v>
      </c>
      <c r="L767" s="33">
        <v>57</v>
      </c>
      <c r="M767" s="33">
        <v>921</v>
      </c>
      <c r="N767" s="33">
        <v>57</v>
      </c>
      <c r="O767" s="33">
        <v>770</v>
      </c>
      <c r="P767" s="1">
        <v>474</v>
      </c>
      <c r="Q767" s="1">
        <v>50</v>
      </c>
      <c r="R767" s="1">
        <v>764</v>
      </c>
    </row>
    <row r="768" spans="1:18">
      <c r="A768" s="33" t="s">
        <v>1626</v>
      </c>
      <c r="B768" s="1" t="s">
        <v>111</v>
      </c>
      <c r="C768" s="1" t="s">
        <v>1627</v>
      </c>
      <c r="D768" s="33">
        <v>93</v>
      </c>
      <c r="E768" s="33">
        <v>868</v>
      </c>
      <c r="F768" s="33">
        <v>88</v>
      </c>
      <c r="G768" s="33">
        <v>602</v>
      </c>
      <c r="H768" s="33">
        <v>83.5</v>
      </c>
      <c r="I768" s="33">
        <v>877</v>
      </c>
      <c r="J768" s="33">
        <v>59</v>
      </c>
      <c r="K768" s="33">
        <v>672</v>
      </c>
      <c r="L768" s="33">
        <v>84</v>
      </c>
      <c r="M768" s="33">
        <v>379</v>
      </c>
      <c r="N768" s="33">
        <v>66</v>
      </c>
      <c r="O768" s="33">
        <v>519</v>
      </c>
      <c r="P768" s="1">
        <v>473.5</v>
      </c>
      <c r="Q768" s="1">
        <v>41</v>
      </c>
      <c r="R768" s="1">
        <v>767</v>
      </c>
    </row>
    <row r="769" spans="1:18">
      <c r="A769" s="33" t="s">
        <v>1628</v>
      </c>
      <c r="B769" s="1" t="s">
        <v>111</v>
      </c>
      <c r="C769" s="1" t="s">
        <v>1629</v>
      </c>
      <c r="D769" s="33">
        <v>108</v>
      </c>
      <c r="E769" s="33">
        <v>391</v>
      </c>
      <c r="F769" s="33">
        <v>82</v>
      </c>
      <c r="G769" s="33">
        <v>677</v>
      </c>
      <c r="H769" s="33">
        <v>96.5</v>
      </c>
      <c r="I769" s="33">
        <v>750</v>
      </c>
      <c r="J769" s="33">
        <v>60</v>
      </c>
      <c r="K769" s="33">
        <v>647</v>
      </c>
      <c r="L769" s="33">
        <v>65</v>
      </c>
      <c r="M769" s="33">
        <v>866</v>
      </c>
      <c r="N769" s="33">
        <v>62</v>
      </c>
      <c r="O769" s="33">
        <v>657</v>
      </c>
      <c r="P769" s="1">
        <v>473.5</v>
      </c>
      <c r="Q769" s="1">
        <v>41</v>
      </c>
      <c r="R769" s="1">
        <v>767</v>
      </c>
    </row>
    <row r="770" spans="1:18">
      <c r="A770" s="33" t="s">
        <v>1630</v>
      </c>
      <c r="B770" s="1" t="s">
        <v>240</v>
      </c>
      <c r="C770" s="1" t="s">
        <v>1631</v>
      </c>
      <c r="D770" s="33">
        <v>105</v>
      </c>
      <c r="E770" s="33">
        <v>515</v>
      </c>
      <c r="F770" s="33">
        <v>53</v>
      </c>
      <c r="G770" s="33">
        <v>917</v>
      </c>
      <c r="H770" s="33">
        <v>111.5</v>
      </c>
      <c r="I770" s="33">
        <v>427</v>
      </c>
      <c r="J770" s="33">
        <v>57</v>
      </c>
      <c r="K770" s="33">
        <v>713</v>
      </c>
      <c r="L770" s="33">
        <v>75</v>
      </c>
      <c r="M770" s="33">
        <v>671</v>
      </c>
      <c r="N770" s="33">
        <v>72</v>
      </c>
      <c r="O770" s="33">
        <v>312</v>
      </c>
      <c r="P770" s="1">
        <v>473.5</v>
      </c>
      <c r="Q770" s="1">
        <v>45</v>
      </c>
      <c r="R770" s="1">
        <v>767</v>
      </c>
    </row>
    <row r="771" spans="1:18">
      <c r="A771" s="33" t="s">
        <v>1632</v>
      </c>
      <c r="B771" s="1" t="s">
        <v>217</v>
      </c>
      <c r="C771" s="1" t="s">
        <v>1633</v>
      </c>
      <c r="D771" s="33">
        <v>107</v>
      </c>
      <c r="E771" s="33">
        <v>429</v>
      </c>
      <c r="F771" s="33">
        <v>102</v>
      </c>
      <c r="G771" s="33">
        <v>387</v>
      </c>
      <c r="H771" s="33">
        <v>98</v>
      </c>
      <c r="I771" s="33">
        <v>728</v>
      </c>
      <c r="J771" s="33">
        <v>24</v>
      </c>
      <c r="K771" s="33">
        <v>949</v>
      </c>
      <c r="L771" s="33">
        <v>77</v>
      </c>
      <c r="M771" s="33">
        <v>608</v>
      </c>
      <c r="N771" s="33">
        <v>65</v>
      </c>
      <c r="O771" s="33">
        <v>554</v>
      </c>
      <c r="P771" s="1">
        <v>473</v>
      </c>
      <c r="Q771" s="1">
        <v>48</v>
      </c>
      <c r="R771" s="1">
        <v>770</v>
      </c>
    </row>
    <row r="772" spans="1:18">
      <c r="A772" s="33" t="s">
        <v>1638</v>
      </c>
      <c r="B772" s="1" t="s">
        <v>150</v>
      </c>
      <c r="C772" s="1" t="s">
        <v>1639</v>
      </c>
      <c r="D772" s="33">
        <v>78</v>
      </c>
      <c r="E772" s="33">
        <v>941</v>
      </c>
      <c r="F772" s="33">
        <v>99</v>
      </c>
      <c r="G772" s="33">
        <v>437</v>
      </c>
      <c r="H772" s="33">
        <v>87</v>
      </c>
      <c r="I772" s="33">
        <v>861</v>
      </c>
      <c r="J772" s="33">
        <v>57</v>
      </c>
      <c r="K772" s="33">
        <v>713</v>
      </c>
      <c r="L772" s="33">
        <v>79</v>
      </c>
      <c r="M772" s="33">
        <v>539</v>
      </c>
      <c r="N772" s="33">
        <v>72</v>
      </c>
      <c r="O772" s="33">
        <v>312</v>
      </c>
      <c r="P772" s="1">
        <v>472</v>
      </c>
      <c r="Q772" s="1">
        <v>47</v>
      </c>
      <c r="R772" s="1">
        <v>771</v>
      </c>
    </row>
    <row r="773" spans="1:18">
      <c r="A773" s="33" t="s">
        <v>1636</v>
      </c>
      <c r="B773" s="1" t="s">
        <v>97</v>
      </c>
      <c r="C773" s="1" t="s">
        <v>1637</v>
      </c>
      <c r="D773" s="33">
        <v>105</v>
      </c>
      <c r="E773" s="33">
        <v>515</v>
      </c>
      <c r="F773" s="33">
        <v>79</v>
      </c>
      <c r="G773" s="33">
        <v>714</v>
      </c>
      <c r="H773" s="33">
        <v>109</v>
      </c>
      <c r="I773" s="33">
        <v>500</v>
      </c>
      <c r="J773" s="33">
        <v>52</v>
      </c>
      <c r="K773" s="33">
        <v>798</v>
      </c>
      <c r="L773" s="33">
        <v>65</v>
      </c>
      <c r="M773" s="33">
        <v>866</v>
      </c>
      <c r="N773" s="33">
        <v>62</v>
      </c>
      <c r="O773" s="33">
        <v>657</v>
      </c>
      <c r="P773" s="1">
        <v>472</v>
      </c>
      <c r="Q773" s="1">
        <v>45</v>
      </c>
      <c r="R773" s="1">
        <v>771</v>
      </c>
    </row>
    <row r="774" spans="1:18">
      <c r="A774" s="33" t="s">
        <v>1634</v>
      </c>
      <c r="B774" s="1" t="s">
        <v>133</v>
      </c>
      <c r="C774" s="1" t="s">
        <v>1635</v>
      </c>
      <c r="D774" s="33">
        <v>97</v>
      </c>
      <c r="E774" s="33">
        <v>795</v>
      </c>
      <c r="F774" s="33">
        <v>72</v>
      </c>
      <c r="G774" s="33">
        <v>803</v>
      </c>
      <c r="H774" s="33">
        <v>104</v>
      </c>
      <c r="I774" s="33">
        <v>600</v>
      </c>
      <c r="J774" s="33">
        <v>54</v>
      </c>
      <c r="K774" s="33">
        <v>766</v>
      </c>
      <c r="L774" s="33">
        <v>80</v>
      </c>
      <c r="M774" s="33">
        <v>511</v>
      </c>
      <c r="N774" s="33">
        <v>65</v>
      </c>
      <c r="O774" s="33">
        <v>554</v>
      </c>
      <c r="P774" s="1">
        <v>472</v>
      </c>
      <c r="Q774" s="1">
        <v>50</v>
      </c>
      <c r="R774" s="1">
        <v>771</v>
      </c>
    </row>
    <row r="775" spans="1:18">
      <c r="A775" s="33" t="s">
        <v>1640</v>
      </c>
      <c r="B775" s="1" t="s">
        <v>150</v>
      </c>
      <c r="C775" s="1" t="s">
        <v>1641</v>
      </c>
      <c r="D775" s="33">
        <v>97</v>
      </c>
      <c r="E775" s="33">
        <v>795</v>
      </c>
      <c r="F775" s="33">
        <v>111</v>
      </c>
      <c r="G775" s="33">
        <v>248</v>
      </c>
      <c r="H775" s="33">
        <v>87.5</v>
      </c>
      <c r="I775" s="33">
        <v>855</v>
      </c>
      <c r="J775" s="33">
        <v>55</v>
      </c>
      <c r="K775" s="33">
        <v>748</v>
      </c>
      <c r="L775" s="33">
        <v>67</v>
      </c>
      <c r="M775" s="33">
        <v>837</v>
      </c>
      <c r="N775" s="33">
        <v>54</v>
      </c>
      <c r="O775" s="33">
        <v>817</v>
      </c>
      <c r="P775" s="1">
        <v>471.5</v>
      </c>
      <c r="Q775" s="1">
        <v>48</v>
      </c>
      <c r="R775" s="1">
        <v>774</v>
      </c>
    </row>
    <row r="776" spans="1:18">
      <c r="A776" s="33" t="s">
        <v>1642</v>
      </c>
      <c r="B776" s="1" t="s">
        <v>249</v>
      </c>
      <c r="C776" s="1" t="s">
        <v>1643</v>
      </c>
      <c r="D776" s="33">
        <v>103</v>
      </c>
      <c r="E776" s="33">
        <v>606</v>
      </c>
      <c r="F776" s="33">
        <v>86</v>
      </c>
      <c r="G776" s="33">
        <v>627</v>
      </c>
      <c r="H776" s="33">
        <v>93.5</v>
      </c>
      <c r="I776" s="33">
        <v>790</v>
      </c>
      <c r="J776" s="33">
        <v>65</v>
      </c>
      <c r="K776" s="33">
        <v>539</v>
      </c>
      <c r="L776" s="33">
        <v>66</v>
      </c>
      <c r="M776" s="33">
        <v>849</v>
      </c>
      <c r="N776" s="33">
        <v>58</v>
      </c>
      <c r="O776" s="33">
        <v>754</v>
      </c>
      <c r="P776" s="1">
        <v>471.5</v>
      </c>
      <c r="Q776" s="1">
        <v>43</v>
      </c>
      <c r="R776" s="1">
        <v>774</v>
      </c>
    </row>
    <row r="777" spans="1:18">
      <c r="A777" s="33" t="s">
        <v>1644</v>
      </c>
      <c r="B777" s="1" t="s">
        <v>111</v>
      </c>
      <c r="C777" s="1" t="s">
        <v>1645</v>
      </c>
      <c r="D777" s="33">
        <v>94</v>
      </c>
      <c r="E777" s="33">
        <v>856</v>
      </c>
      <c r="F777" s="33">
        <v>82</v>
      </c>
      <c r="G777" s="33">
        <v>677</v>
      </c>
      <c r="H777" s="33">
        <v>113.5</v>
      </c>
      <c r="I777" s="33">
        <v>374</v>
      </c>
      <c r="J777" s="33">
        <v>43</v>
      </c>
      <c r="K777" s="33">
        <v>890</v>
      </c>
      <c r="L777" s="33">
        <v>84</v>
      </c>
      <c r="M777" s="33">
        <v>379</v>
      </c>
      <c r="N777" s="33">
        <v>55</v>
      </c>
      <c r="O777" s="33">
        <v>802</v>
      </c>
      <c r="P777" s="1">
        <v>471.5</v>
      </c>
      <c r="Q777" s="1">
        <v>43</v>
      </c>
      <c r="R777" s="1">
        <v>774</v>
      </c>
    </row>
    <row r="778" spans="1:18">
      <c r="A778" s="33" t="s">
        <v>1646</v>
      </c>
      <c r="B778" s="1" t="s">
        <v>106</v>
      </c>
      <c r="C778" s="1" t="s">
        <v>1647</v>
      </c>
      <c r="D778" s="33">
        <v>103</v>
      </c>
      <c r="E778" s="33">
        <v>606</v>
      </c>
      <c r="F778" s="33">
        <v>53</v>
      </c>
      <c r="G778" s="33">
        <v>917</v>
      </c>
      <c r="H778" s="33">
        <v>118</v>
      </c>
      <c r="I778" s="33">
        <v>263</v>
      </c>
      <c r="J778" s="33">
        <v>70</v>
      </c>
      <c r="K778" s="33">
        <v>429</v>
      </c>
      <c r="L778" s="33">
        <v>69</v>
      </c>
      <c r="M778" s="33">
        <v>810</v>
      </c>
      <c r="N778" s="33">
        <v>58</v>
      </c>
      <c r="O778" s="33">
        <v>754</v>
      </c>
      <c r="P778" s="1">
        <v>471</v>
      </c>
      <c r="Q778" s="1">
        <v>41</v>
      </c>
      <c r="R778" s="1">
        <v>777</v>
      </c>
    </row>
    <row r="779" spans="1:18">
      <c r="A779" s="33" t="s">
        <v>1650</v>
      </c>
      <c r="B779" s="1" t="s">
        <v>240</v>
      </c>
      <c r="C779" s="1" t="s">
        <v>1651</v>
      </c>
      <c r="D779" s="33">
        <v>107</v>
      </c>
      <c r="E779" s="33">
        <v>429</v>
      </c>
      <c r="F779" s="33">
        <v>78</v>
      </c>
      <c r="G779" s="33">
        <v>730</v>
      </c>
      <c r="H779" s="33">
        <v>113.5</v>
      </c>
      <c r="I779" s="33">
        <v>374</v>
      </c>
      <c r="J779" s="33">
        <v>40</v>
      </c>
      <c r="K779" s="33">
        <v>909</v>
      </c>
      <c r="L779" s="33">
        <v>70</v>
      </c>
      <c r="M779" s="33">
        <v>787</v>
      </c>
      <c r="N779" s="33">
        <v>62</v>
      </c>
      <c r="O779" s="33">
        <v>657</v>
      </c>
      <c r="P779" s="1">
        <v>470.5</v>
      </c>
      <c r="Q779" s="1">
        <v>46</v>
      </c>
      <c r="R779" s="1">
        <v>778</v>
      </c>
    </row>
    <row r="780" spans="1:18">
      <c r="A780" s="33" t="s">
        <v>1648</v>
      </c>
      <c r="B780" s="1" t="s">
        <v>169</v>
      </c>
      <c r="C780" s="1" t="s">
        <v>1649</v>
      </c>
      <c r="D780" s="33">
        <v>105</v>
      </c>
      <c r="E780" s="33">
        <v>515</v>
      </c>
      <c r="F780" s="33">
        <v>58</v>
      </c>
      <c r="G780" s="33">
        <v>894</v>
      </c>
      <c r="H780" s="33">
        <v>90.5</v>
      </c>
      <c r="I780" s="33">
        <v>822</v>
      </c>
      <c r="J780" s="33">
        <v>59</v>
      </c>
      <c r="K780" s="33">
        <v>672</v>
      </c>
      <c r="L780" s="33">
        <v>83</v>
      </c>
      <c r="M780" s="33">
        <v>407</v>
      </c>
      <c r="N780" s="33">
        <v>75</v>
      </c>
      <c r="O780" s="33">
        <v>219</v>
      </c>
      <c r="P780" s="1">
        <v>470.5</v>
      </c>
      <c r="Q780" s="1">
        <v>42</v>
      </c>
      <c r="R780" s="1">
        <v>778</v>
      </c>
    </row>
    <row r="781" spans="1:18">
      <c r="A781" s="33" t="s">
        <v>1652</v>
      </c>
      <c r="B781" s="1" t="s">
        <v>217</v>
      </c>
      <c r="C781" s="1" t="s">
        <v>1653</v>
      </c>
      <c r="D781" s="33">
        <v>111</v>
      </c>
      <c r="E781" s="33">
        <v>271</v>
      </c>
      <c r="F781" s="33">
        <v>59</v>
      </c>
      <c r="G781" s="33">
        <v>891</v>
      </c>
      <c r="H781" s="33">
        <v>121</v>
      </c>
      <c r="I781" s="33">
        <v>173</v>
      </c>
      <c r="J781" s="33">
        <v>63</v>
      </c>
      <c r="K781" s="33">
        <v>581</v>
      </c>
      <c r="L781" s="33">
        <v>54</v>
      </c>
      <c r="M781" s="33">
        <v>934</v>
      </c>
      <c r="N781" s="33">
        <v>62</v>
      </c>
      <c r="O781" s="33">
        <v>657</v>
      </c>
      <c r="P781" s="1">
        <v>470</v>
      </c>
      <c r="Q781" s="1">
        <v>49</v>
      </c>
      <c r="R781" s="1">
        <v>780</v>
      </c>
    </row>
    <row r="782" spans="1:18">
      <c r="A782" s="33" t="s">
        <v>1654</v>
      </c>
      <c r="B782" s="1" t="s">
        <v>106</v>
      </c>
      <c r="C782" s="1" t="s">
        <v>1655</v>
      </c>
      <c r="D782" s="33">
        <v>94</v>
      </c>
      <c r="E782" s="33">
        <v>856</v>
      </c>
      <c r="F782" s="33">
        <v>80</v>
      </c>
      <c r="G782" s="33">
        <v>700</v>
      </c>
      <c r="H782" s="33">
        <v>113.5</v>
      </c>
      <c r="I782" s="33">
        <v>374</v>
      </c>
      <c r="J782" s="33">
        <v>43</v>
      </c>
      <c r="K782" s="33">
        <v>890</v>
      </c>
      <c r="L782" s="33">
        <v>68</v>
      </c>
      <c r="M782" s="33">
        <v>824</v>
      </c>
      <c r="N782" s="33">
        <v>71</v>
      </c>
      <c r="O782" s="33">
        <v>342</v>
      </c>
      <c r="P782" s="1">
        <v>469.5</v>
      </c>
      <c r="Q782" s="1">
        <v>42</v>
      </c>
      <c r="R782" s="1">
        <v>781</v>
      </c>
    </row>
    <row r="783" spans="1:18">
      <c r="A783" s="33" t="s">
        <v>1656</v>
      </c>
      <c r="B783" s="1" t="s">
        <v>240</v>
      </c>
      <c r="C783" s="1" t="s">
        <v>1657</v>
      </c>
      <c r="D783" s="33">
        <v>112</v>
      </c>
      <c r="E783" s="33">
        <v>226</v>
      </c>
      <c r="F783" s="33">
        <v>67</v>
      </c>
      <c r="G783" s="33">
        <v>840</v>
      </c>
      <c r="H783" s="33">
        <v>130.5</v>
      </c>
      <c r="I783" s="33">
        <v>31</v>
      </c>
      <c r="J783" s="33">
        <v>44</v>
      </c>
      <c r="K783" s="33">
        <v>885</v>
      </c>
      <c r="L783" s="33">
        <v>56</v>
      </c>
      <c r="M783" s="33">
        <v>928</v>
      </c>
      <c r="N783" s="33">
        <v>60</v>
      </c>
      <c r="O783" s="33">
        <v>706</v>
      </c>
      <c r="P783" s="1">
        <v>469.5</v>
      </c>
      <c r="Q783" s="1">
        <v>47</v>
      </c>
      <c r="R783" s="1">
        <v>781</v>
      </c>
    </row>
    <row r="784" spans="1:18">
      <c r="A784" s="33" t="s">
        <v>1660</v>
      </c>
      <c r="B784" s="1" t="s">
        <v>240</v>
      </c>
      <c r="C784" s="1" t="s">
        <v>1661</v>
      </c>
      <c r="D784" s="33">
        <v>99</v>
      </c>
      <c r="E784" s="33">
        <v>754</v>
      </c>
      <c r="F784" s="33">
        <v>60</v>
      </c>
      <c r="G784" s="33">
        <v>885</v>
      </c>
      <c r="H784" s="33">
        <v>108</v>
      </c>
      <c r="I784" s="33">
        <v>519</v>
      </c>
      <c r="J784" s="33">
        <v>70</v>
      </c>
      <c r="K784" s="33">
        <v>429</v>
      </c>
      <c r="L784" s="33">
        <v>70</v>
      </c>
      <c r="M784" s="33">
        <v>787</v>
      </c>
      <c r="N784" s="33">
        <v>61</v>
      </c>
      <c r="O784" s="33">
        <v>686</v>
      </c>
      <c r="P784" s="1">
        <v>468</v>
      </c>
      <c r="Q784" s="1">
        <v>48</v>
      </c>
      <c r="R784" s="1">
        <v>783</v>
      </c>
    </row>
    <row r="785" spans="1:18">
      <c r="A785" s="33" t="s">
        <v>1658</v>
      </c>
      <c r="B785" s="1" t="s">
        <v>106</v>
      </c>
      <c r="C785" s="1" t="s">
        <v>1659</v>
      </c>
      <c r="D785" s="33">
        <v>106</v>
      </c>
      <c r="E785" s="33">
        <v>477</v>
      </c>
      <c r="F785" s="33">
        <v>59</v>
      </c>
      <c r="G785" s="33">
        <v>891</v>
      </c>
      <c r="H785" s="33">
        <v>106</v>
      </c>
      <c r="I785" s="33">
        <v>558</v>
      </c>
      <c r="J785" s="33">
        <v>68</v>
      </c>
      <c r="K785" s="33">
        <v>474</v>
      </c>
      <c r="L785" s="33">
        <v>76</v>
      </c>
      <c r="M785" s="33">
        <v>642</v>
      </c>
      <c r="N785" s="33">
        <v>53</v>
      </c>
      <c r="O785" s="33">
        <v>832</v>
      </c>
      <c r="P785" s="1">
        <v>468</v>
      </c>
      <c r="Q785" s="1">
        <v>43</v>
      </c>
      <c r="R785" s="1">
        <v>783</v>
      </c>
    </row>
    <row r="786" spans="1:18">
      <c r="A786" s="33" t="s">
        <v>1662</v>
      </c>
      <c r="B786" s="1" t="s">
        <v>240</v>
      </c>
      <c r="C786" s="1" t="s">
        <v>1663</v>
      </c>
      <c r="D786" s="33">
        <v>98</v>
      </c>
      <c r="E786" s="33">
        <v>774</v>
      </c>
      <c r="F786" s="33">
        <v>77</v>
      </c>
      <c r="G786" s="33">
        <v>742</v>
      </c>
      <c r="H786" s="33">
        <v>68.5</v>
      </c>
      <c r="I786" s="33">
        <v>930</v>
      </c>
      <c r="J786" s="33">
        <v>81</v>
      </c>
      <c r="K786" s="33">
        <v>195</v>
      </c>
      <c r="L786" s="33">
        <v>73</v>
      </c>
      <c r="M786" s="33">
        <v>717</v>
      </c>
      <c r="N786" s="33">
        <v>70</v>
      </c>
      <c r="O786" s="33">
        <v>380</v>
      </c>
      <c r="P786" s="1">
        <v>467.5</v>
      </c>
      <c r="Q786" s="1">
        <v>49</v>
      </c>
      <c r="R786" s="1">
        <v>785</v>
      </c>
    </row>
    <row r="787" spans="1:18">
      <c r="A787" s="33" t="s">
        <v>1664</v>
      </c>
      <c r="B787" s="1" t="s">
        <v>217</v>
      </c>
      <c r="C787" s="1" t="s">
        <v>1665</v>
      </c>
      <c r="D787" s="33">
        <v>100</v>
      </c>
      <c r="E787" s="33">
        <v>715</v>
      </c>
      <c r="F787" s="33">
        <v>71</v>
      </c>
      <c r="G787" s="33">
        <v>809</v>
      </c>
      <c r="H787" s="33">
        <v>115</v>
      </c>
      <c r="I787" s="33">
        <v>330</v>
      </c>
      <c r="J787" s="33">
        <v>56</v>
      </c>
      <c r="K787" s="33">
        <v>731</v>
      </c>
      <c r="L787" s="33">
        <v>69</v>
      </c>
      <c r="M787" s="33">
        <v>810</v>
      </c>
      <c r="N787" s="33">
        <v>56</v>
      </c>
      <c r="O787" s="33">
        <v>789</v>
      </c>
      <c r="P787" s="1">
        <v>467</v>
      </c>
      <c r="Q787" s="1">
        <v>50</v>
      </c>
      <c r="R787" s="1">
        <v>786</v>
      </c>
    </row>
    <row r="788" spans="1:18">
      <c r="A788" s="33" t="s">
        <v>1668</v>
      </c>
      <c r="B788" s="1" t="s">
        <v>106</v>
      </c>
      <c r="C788" s="1" t="s">
        <v>1669</v>
      </c>
      <c r="D788" s="33">
        <v>98</v>
      </c>
      <c r="E788" s="33">
        <v>774</v>
      </c>
      <c r="F788" s="33">
        <v>99</v>
      </c>
      <c r="G788" s="33">
        <v>437</v>
      </c>
      <c r="H788" s="33">
        <v>92.5</v>
      </c>
      <c r="I788" s="33">
        <v>801</v>
      </c>
      <c r="J788" s="33">
        <v>60</v>
      </c>
      <c r="K788" s="33">
        <v>647</v>
      </c>
      <c r="L788" s="33">
        <v>64</v>
      </c>
      <c r="M788" s="33">
        <v>881</v>
      </c>
      <c r="N788" s="33">
        <v>53</v>
      </c>
      <c r="O788" s="33">
        <v>832</v>
      </c>
      <c r="P788" s="1">
        <v>466.5</v>
      </c>
      <c r="Q788" s="1">
        <v>44</v>
      </c>
      <c r="R788" s="1">
        <v>787</v>
      </c>
    </row>
    <row r="789" spans="1:18">
      <c r="A789" s="33" t="s">
        <v>1674</v>
      </c>
      <c r="B789" s="1" t="s">
        <v>169</v>
      </c>
      <c r="C789" s="1" t="s">
        <v>1675</v>
      </c>
      <c r="D789" s="33">
        <v>100</v>
      </c>
      <c r="E789" s="33">
        <v>715</v>
      </c>
      <c r="F789" s="33">
        <v>85</v>
      </c>
      <c r="G789" s="33">
        <v>644</v>
      </c>
      <c r="H789" s="33">
        <v>103.5</v>
      </c>
      <c r="I789" s="33">
        <v>612</v>
      </c>
      <c r="J789" s="33">
        <v>56</v>
      </c>
      <c r="K789" s="33">
        <v>731</v>
      </c>
      <c r="L789" s="33">
        <v>66</v>
      </c>
      <c r="M789" s="33">
        <v>849</v>
      </c>
      <c r="N789" s="33">
        <v>56</v>
      </c>
      <c r="O789" s="33">
        <v>789</v>
      </c>
      <c r="P789" s="1">
        <v>466.5</v>
      </c>
      <c r="Q789" s="1">
        <v>43</v>
      </c>
      <c r="R789" s="1">
        <v>787</v>
      </c>
    </row>
    <row r="790" spans="1:18">
      <c r="A790" s="33" t="s">
        <v>1676</v>
      </c>
      <c r="B790" s="1" t="s">
        <v>296</v>
      </c>
      <c r="C790" s="1" t="s">
        <v>1677</v>
      </c>
      <c r="D790" s="33">
        <v>93</v>
      </c>
      <c r="E790" s="33">
        <v>868</v>
      </c>
      <c r="F790" s="33">
        <v>79</v>
      </c>
      <c r="G790" s="33">
        <v>714</v>
      </c>
      <c r="H790" s="33">
        <v>98.5</v>
      </c>
      <c r="I790" s="33">
        <v>719</v>
      </c>
      <c r="J790" s="33">
        <v>57</v>
      </c>
      <c r="K790" s="33">
        <v>713</v>
      </c>
      <c r="L790" s="33">
        <v>92</v>
      </c>
      <c r="M790" s="33">
        <v>116</v>
      </c>
      <c r="N790" s="33">
        <v>47</v>
      </c>
      <c r="O790" s="33">
        <v>901</v>
      </c>
      <c r="P790" s="1">
        <v>466.5</v>
      </c>
      <c r="Q790" s="1">
        <v>44</v>
      </c>
      <c r="R790" s="1">
        <v>787</v>
      </c>
    </row>
    <row r="791" spans="1:18">
      <c r="A791" s="33" t="s">
        <v>1670</v>
      </c>
      <c r="B791" s="1" t="s">
        <v>169</v>
      </c>
      <c r="C791" s="1" t="s">
        <v>1671</v>
      </c>
      <c r="D791" s="33">
        <v>119</v>
      </c>
      <c r="E791" s="33">
        <v>51</v>
      </c>
      <c r="F791" s="33">
        <v>78</v>
      </c>
      <c r="G791" s="33">
        <v>730</v>
      </c>
      <c r="H791" s="33">
        <v>114.5</v>
      </c>
      <c r="I791" s="33">
        <v>340</v>
      </c>
      <c r="J791" s="33">
        <v>54</v>
      </c>
      <c r="K791" s="33">
        <v>766</v>
      </c>
      <c r="L791" s="33">
        <v>54</v>
      </c>
      <c r="M791" s="33">
        <v>934</v>
      </c>
      <c r="N791" s="33">
        <v>47</v>
      </c>
      <c r="O791" s="33">
        <v>901</v>
      </c>
      <c r="P791" s="1">
        <v>466.5</v>
      </c>
      <c r="Q791" s="1">
        <v>43</v>
      </c>
      <c r="R791" s="1">
        <v>787</v>
      </c>
    </row>
    <row r="792" spans="1:18">
      <c r="A792" s="33" t="s">
        <v>1672</v>
      </c>
      <c r="B792" s="1" t="s">
        <v>169</v>
      </c>
      <c r="C792" s="1" t="s">
        <v>1673</v>
      </c>
      <c r="D792" s="33">
        <v>109</v>
      </c>
      <c r="E792" s="33">
        <v>353</v>
      </c>
      <c r="F792" s="33">
        <v>71</v>
      </c>
      <c r="G792" s="33">
        <v>809</v>
      </c>
      <c r="H792" s="33">
        <v>107.5</v>
      </c>
      <c r="I792" s="33">
        <v>532</v>
      </c>
      <c r="J792" s="33">
        <v>44</v>
      </c>
      <c r="K792" s="33">
        <v>885</v>
      </c>
      <c r="L792" s="33">
        <v>84</v>
      </c>
      <c r="M792" s="33">
        <v>379</v>
      </c>
      <c r="N792" s="33">
        <v>51</v>
      </c>
      <c r="O792" s="33">
        <v>862</v>
      </c>
      <c r="P792" s="1">
        <v>466.5</v>
      </c>
      <c r="Q792" s="1">
        <v>43</v>
      </c>
      <c r="R792" s="1">
        <v>787</v>
      </c>
    </row>
    <row r="793" spans="1:18">
      <c r="A793" s="33" t="s">
        <v>1666</v>
      </c>
      <c r="B793" s="1" t="s">
        <v>172</v>
      </c>
      <c r="C793" s="1" t="s">
        <v>1667</v>
      </c>
      <c r="D793" s="33">
        <v>102</v>
      </c>
      <c r="E793" s="33">
        <v>655</v>
      </c>
      <c r="F793" s="33">
        <v>69</v>
      </c>
      <c r="G793" s="33">
        <v>828</v>
      </c>
      <c r="H793" s="33">
        <v>86.5</v>
      </c>
      <c r="I793" s="33">
        <v>863</v>
      </c>
      <c r="J793" s="33">
        <v>59</v>
      </c>
      <c r="K793" s="33">
        <v>672</v>
      </c>
      <c r="L793" s="33">
        <v>81</v>
      </c>
      <c r="M793" s="33">
        <v>474</v>
      </c>
      <c r="N793" s="33">
        <v>69</v>
      </c>
      <c r="O793" s="33">
        <v>420</v>
      </c>
      <c r="P793" s="1">
        <v>466.5</v>
      </c>
      <c r="Q793" s="1">
        <v>45</v>
      </c>
      <c r="R793" s="1">
        <v>787</v>
      </c>
    </row>
    <row r="794" spans="1:18">
      <c r="A794" s="33" t="s">
        <v>1680</v>
      </c>
      <c r="B794" s="1" t="s">
        <v>296</v>
      </c>
      <c r="C794" s="1" t="s">
        <v>1681</v>
      </c>
      <c r="D794" s="33">
        <v>96</v>
      </c>
      <c r="E794" s="33">
        <v>814</v>
      </c>
      <c r="F794" s="33">
        <v>66</v>
      </c>
      <c r="G794" s="33">
        <v>848</v>
      </c>
      <c r="H794" s="33">
        <v>107.5</v>
      </c>
      <c r="I794" s="33">
        <v>532</v>
      </c>
      <c r="J794" s="33">
        <v>73</v>
      </c>
      <c r="K794" s="33">
        <v>370</v>
      </c>
      <c r="L794" s="33">
        <v>75</v>
      </c>
      <c r="M794" s="33">
        <v>671</v>
      </c>
      <c r="N794" s="33">
        <v>49</v>
      </c>
      <c r="O794" s="33">
        <v>883</v>
      </c>
      <c r="P794" s="1">
        <v>466.5</v>
      </c>
      <c r="Q794" s="1">
        <v>44</v>
      </c>
      <c r="R794" s="1">
        <v>787</v>
      </c>
    </row>
    <row r="795" spans="1:18">
      <c r="A795" s="33" t="s">
        <v>1678</v>
      </c>
      <c r="B795" s="1" t="s">
        <v>296</v>
      </c>
      <c r="C795" s="1" t="s">
        <v>1679</v>
      </c>
      <c r="D795" s="33">
        <v>117</v>
      </c>
      <c r="E795" s="33">
        <v>86</v>
      </c>
      <c r="F795" s="33">
        <v>61</v>
      </c>
      <c r="G795" s="33">
        <v>874</v>
      </c>
      <c r="H795" s="33">
        <v>99.5</v>
      </c>
      <c r="I795" s="33">
        <v>694</v>
      </c>
      <c r="J795" s="33">
        <v>54</v>
      </c>
      <c r="K795" s="33">
        <v>766</v>
      </c>
      <c r="L795" s="33">
        <v>68</v>
      </c>
      <c r="M795" s="33">
        <v>824</v>
      </c>
      <c r="N795" s="33">
        <v>67</v>
      </c>
      <c r="O795" s="33">
        <v>489</v>
      </c>
      <c r="P795" s="1">
        <v>466.5</v>
      </c>
      <c r="Q795" s="1">
        <v>44</v>
      </c>
      <c r="R795" s="1">
        <v>787</v>
      </c>
    </row>
    <row r="796" spans="1:18">
      <c r="A796" s="33" t="s">
        <v>1682</v>
      </c>
      <c r="B796" s="1" t="s">
        <v>169</v>
      </c>
      <c r="C796" s="1" t="s">
        <v>1683</v>
      </c>
      <c r="D796" s="33">
        <v>107</v>
      </c>
      <c r="E796" s="33">
        <v>429</v>
      </c>
      <c r="F796" s="33">
        <v>78</v>
      </c>
      <c r="G796" s="33">
        <v>730</v>
      </c>
      <c r="H796" s="33">
        <v>99</v>
      </c>
      <c r="I796" s="33">
        <v>707</v>
      </c>
      <c r="J796" s="33">
        <v>49</v>
      </c>
      <c r="K796" s="33">
        <v>842</v>
      </c>
      <c r="L796" s="33">
        <v>73</v>
      </c>
      <c r="M796" s="33">
        <v>717</v>
      </c>
      <c r="N796" s="33">
        <v>60</v>
      </c>
      <c r="O796" s="33">
        <v>706</v>
      </c>
      <c r="P796" s="1">
        <v>466</v>
      </c>
      <c r="Q796" s="1">
        <v>46</v>
      </c>
      <c r="R796" s="1">
        <v>795</v>
      </c>
    </row>
    <row r="797" spans="1:18">
      <c r="A797" s="33" t="s">
        <v>1684</v>
      </c>
      <c r="B797" s="1" t="s">
        <v>240</v>
      </c>
      <c r="C797" s="1" t="s">
        <v>1685</v>
      </c>
      <c r="D797" s="33">
        <v>115</v>
      </c>
      <c r="E797" s="33">
        <v>140</v>
      </c>
      <c r="F797" s="33">
        <v>66</v>
      </c>
      <c r="G797" s="33">
        <v>848</v>
      </c>
      <c r="H797" s="33">
        <v>122</v>
      </c>
      <c r="I797" s="33">
        <v>154</v>
      </c>
      <c r="J797" s="33">
        <v>52</v>
      </c>
      <c r="K797" s="33">
        <v>798</v>
      </c>
      <c r="L797" s="33">
        <v>51</v>
      </c>
      <c r="M797" s="33">
        <v>946</v>
      </c>
      <c r="N797" s="33">
        <v>60</v>
      </c>
      <c r="O797" s="33">
        <v>706</v>
      </c>
      <c r="P797" s="1">
        <v>466</v>
      </c>
      <c r="Q797" s="1">
        <v>50</v>
      </c>
      <c r="R797" s="1">
        <v>795</v>
      </c>
    </row>
    <row r="798" spans="1:18">
      <c r="A798" s="33" t="s">
        <v>1688</v>
      </c>
      <c r="B798" s="1" t="s">
        <v>106</v>
      </c>
      <c r="C798" s="1" t="s">
        <v>1689</v>
      </c>
      <c r="D798" s="33">
        <v>81</v>
      </c>
      <c r="E798" s="33">
        <v>938</v>
      </c>
      <c r="F798" s="33">
        <v>98</v>
      </c>
      <c r="G798" s="33">
        <v>459</v>
      </c>
      <c r="H798" s="33">
        <v>108.5</v>
      </c>
      <c r="I798" s="33">
        <v>508</v>
      </c>
      <c r="J798" s="33">
        <v>62</v>
      </c>
      <c r="K798" s="33">
        <v>607</v>
      </c>
      <c r="L798" s="33">
        <v>61</v>
      </c>
      <c r="M798" s="33">
        <v>901</v>
      </c>
      <c r="N798" s="33">
        <v>55</v>
      </c>
      <c r="O798" s="33">
        <v>802</v>
      </c>
      <c r="P798" s="1">
        <v>465.5</v>
      </c>
      <c r="Q798" s="1">
        <v>45</v>
      </c>
      <c r="R798" s="1">
        <v>797</v>
      </c>
    </row>
    <row r="799" spans="1:18">
      <c r="A799" s="33" t="s">
        <v>1686</v>
      </c>
      <c r="B799" s="1" t="s">
        <v>203</v>
      </c>
      <c r="C799" s="1" t="s">
        <v>1687</v>
      </c>
      <c r="D799" s="33">
        <v>91</v>
      </c>
      <c r="E799" s="33">
        <v>890</v>
      </c>
      <c r="F799" s="33">
        <v>73</v>
      </c>
      <c r="G799" s="33">
        <v>789</v>
      </c>
      <c r="H799" s="33">
        <v>111.5</v>
      </c>
      <c r="I799" s="33">
        <v>427</v>
      </c>
      <c r="J799" s="33">
        <v>66</v>
      </c>
      <c r="K799" s="33">
        <v>513</v>
      </c>
      <c r="L799" s="33">
        <v>74</v>
      </c>
      <c r="M799" s="33">
        <v>702</v>
      </c>
      <c r="N799" s="33">
        <v>50</v>
      </c>
      <c r="O799" s="33">
        <v>873</v>
      </c>
      <c r="P799" s="1">
        <v>465.5</v>
      </c>
      <c r="Q799" s="1">
        <v>44</v>
      </c>
      <c r="R799" s="1">
        <v>797</v>
      </c>
    </row>
    <row r="800" spans="1:18">
      <c r="A800" s="33" t="s">
        <v>1690</v>
      </c>
      <c r="B800" s="1" t="s">
        <v>133</v>
      </c>
      <c r="C800" s="1" t="s">
        <v>1691</v>
      </c>
      <c r="D800" s="33">
        <v>90</v>
      </c>
      <c r="E800" s="33">
        <v>905</v>
      </c>
      <c r="F800" s="33">
        <v>109</v>
      </c>
      <c r="G800" s="33">
        <v>279</v>
      </c>
      <c r="H800" s="33">
        <v>81</v>
      </c>
      <c r="I800" s="33">
        <v>889</v>
      </c>
      <c r="J800" s="33">
        <v>49</v>
      </c>
      <c r="K800" s="33">
        <v>842</v>
      </c>
      <c r="L800" s="33">
        <v>89</v>
      </c>
      <c r="M800" s="33">
        <v>200</v>
      </c>
      <c r="N800" s="33">
        <v>47</v>
      </c>
      <c r="O800" s="33">
        <v>901</v>
      </c>
      <c r="P800" s="1">
        <v>465</v>
      </c>
      <c r="Q800" s="1">
        <v>51</v>
      </c>
      <c r="R800" s="1">
        <v>799</v>
      </c>
    </row>
    <row r="801" spans="1:18">
      <c r="A801" s="33" t="s">
        <v>1694</v>
      </c>
      <c r="B801" s="1" t="s">
        <v>210</v>
      </c>
      <c r="C801" s="1" t="s">
        <v>1695</v>
      </c>
      <c r="D801" s="33">
        <v>94</v>
      </c>
      <c r="E801" s="33">
        <v>856</v>
      </c>
      <c r="F801" s="33">
        <v>63</v>
      </c>
      <c r="G801" s="33">
        <v>862</v>
      </c>
      <c r="H801" s="33">
        <v>108.5</v>
      </c>
      <c r="I801" s="33">
        <v>508</v>
      </c>
      <c r="J801" s="33">
        <v>69</v>
      </c>
      <c r="K801" s="33">
        <v>452</v>
      </c>
      <c r="L801" s="33">
        <v>75</v>
      </c>
      <c r="M801" s="33">
        <v>671</v>
      </c>
      <c r="N801" s="33">
        <v>55</v>
      </c>
      <c r="O801" s="33">
        <v>802</v>
      </c>
      <c r="P801" s="1">
        <v>464.5</v>
      </c>
      <c r="Q801" s="1">
        <v>51</v>
      </c>
      <c r="R801" s="1">
        <v>800</v>
      </c>
    </row>
    <row r="802" spans="1:18">
      <c r="A802" s="33" t="s">
        <v>1692</v>
      </c>
      <c r="B802" s="1" t="s">
        <v>203</v>
      </c>
      <c r="C802" s="1" t="s">
        <v>1693</v>
      </c>
      <c r="D802" s="33">
        <v>96</v>
      </c>
      <c r="E802" s="33">
        <v>814</v>
      </c>
      <c r="F802" s="33">
        <v>58</v>
      </c>
      <c r="G802" s="33">
        <v>894</v>
      </c>
      <c r="H802" s="33">
        <v>118.5</v>
      </c>
      <c r="I802" s="33">
        <v>247</v>
      </c>
      <c r="J802" s="33">
        <v>61</v>
      </c>
      <c r="K802" s="33">
        <v>627</v>
      </c>
      <c r="L802" s="33">
        <v>77</v>
      </c>
      <c r="M802" s="33">
        <v>608</v>
      </c>
      <c r="N802" s="33">
        <v>54</v>
      </c>
      <c r="O802" s="33">
        <v>817</v>
      </c>
      <c r="P802" s="1">
        <v>464.5</v>
      </c>
      <c r="Q802" s="1">
        <v>45</v>
      </c>
      <c r="R802" s="1">
        <v>800</v>
      </c>
    </row>
    <row r="803" spans="1:18">
      <c r="A803" s="33" t="s">
        <v>1698</v>
      </c>
      <c r="B803" s="1" t="s">
        <v>249</v>
      </c>
      <c r="C803" s="1" t="s">
        <v>1699</v>
      </c>
      <c r="D803" s="33">
        <v>100</v>
      </c>
      <c r="E803" s="33">
        <v>715</v>
      </c>
      <c r="F803" s="33">
        <v>95</v>
      </c>
      <c r="G803" s="33">
        <v>502</v>
      </c>
      <c r="H803" s="33">
        <v>89</v>
      </c>
      <c r="I803" s="33">
        <v>841</v>
      </c>
      <c r="J803" s="33">
        <v>41</v>
      </c>
      <c r="K803" s="33">
        <v>902</v>
      </c>
      <c r="L803" s="33">
        <v>76</v>
      </c>
      <c r="M803" s="33">
        <v>642</v>
      </c>
      <c r="N803" s="33">
        <v>63</v>
      </c>
      <c r="O803" s="33">
        <v>625</v>
      </c>
      <c r="P803" s="1">
        <v>464</v>
      </c>
      <c r="Q803" s="1">
        <v>44</v>
      </c>
      <c r="R803" s="1">
        <v>802</v>
      </c>
    </row>
    <row r="804" spans="1:18">
      <c r="A804" s="33" t="s">
        <v>1696</v>
      </c>
      <c r="B804" s="1" t="s">
        <v>111</v>
      </c>
      <c r="C804" s="1" t="s">
        <v>1697</v>
      </c>
      <c r="D804" s="33">
        <v>102</v>
      </c>
      <c r="E804" s="33">
        <v>655</v>
      </c>
      <c r="F804" s="33">
        <v>73</v>
      </c>
      <c r="G804" s="33">
        <v>789</v>
      </c>
      <c r="H804" s="33">
        <v>131</v>
      </c>
      <c r="I804" s="33">
        <v>27</v>
      </c>
      <c r="J804" s="33">
        <v>41</v>
      </c>
      <c r="K804" s="33">
        <v>902</v>
      </c>
      <c r="L804" s="33">
        <v>69</v>
      </c>
      <c r="M804" s="33">
        <v>810</v>
      </c>
      <c r="N804" s="33">
        <v>48</v>
      </c>
      <c r="O804" s="33">
        <v>893</v>
      </c>
      <c r="P804" s="1">
        <v>464</v>
      </c>
      <c r="Q804" s="1">
        <v>44</v>
      </c>
      <c r="R804" s="1">
        <v>802</v>
      </c>
    </row>
    <row r="805" spans="1:18">
      <c r="A805" s="33" t="s">
        <v>1700</v>
      </c>
      <c r="B805" s="1" t="s">
        <v>172</v>
      </c>
      <c r="C805" s="1" t="s">
        <v>1701</v>
      </c>
      <c r="D805" s="33">
        <v>103</v>
      </c>
      <c r="E805" s="33">
        <v>606</v>
      </c>
      <c r="F805" s="33">
        <v>100</v>
      </c>
      <c r="G805" s="33">
        <v>422</v>
      </c>
      <c r="H805" s="33">
        <v>85.5</v>
      </c>
      <c r="I805" s="33">
        <v>866</v>
      </c>
      <c r="J805" s="33">
        <v>49</v>
      </c>
      <c r="K805" s="33">
        <v>842</v>
      </c>
      <c r="L805" s="33">
        <v>57</v>
      </c>
      <c r="M805" s="33">
        <v>921</v>
      </c>
      <c r="N805" s="33">
        <v>69</v>
      </c>
      <c r="O805" s="33">
        <v>420</v>
      </c>
      <c r="P805" s="1">
        <v>463.5</v>
      </c>
      <c r="Q805" s="1">
        <v>46</v>
      </c>
      <c r="R805" s="1">
        <v>804</v>
      </c>
    </row>
    <row r="806" spans="1:18">
      <c r="A806" s="33" t="s">
        <v>1702</v>
      </c>
      <c r="B806" s="1" t="s">
        <v>217</v>
      </c>
      <c r="C806" s="1" t="s">
        <v>1703</v>
      </c>
      <c r="D806" s="33">
        <v>89</v>
      </c>
      <c r="E806" s="33">
        <v>909</v>
      </c>
      <c r="F806" s="33">
        <v>79</v>
      </c>
      <c r="G806" s="33">
        <v>714</v>
      </c>
      <c r="H806" s="33">
        <v>89.5</v>
      </c>
      <c r="I806" s="33">
        <v>836</v>
      </c>
      <c r="J806" s="33">
        <v>70</v>
      </c>
      <c r="K806" s="33">
        <v>429</v>
      </c>
      <c r="L806" s="33">
        <v>79</v>
      </c>
      <c r="M806" s="33">
        <v>539</v>
      </c>
      <c r="N806" s="33">
        <v>57</v>
      </c>
      <c r="O806" s="33">
        <v>770</v>
      </c>
      <c r="P806" s="1">
        <v>463.5</v>
      </c>
      <c r="Q806" s="1">
        <v>51</v>
      </c>
      <c r="R806" s="1">
        <v>804</v>
      </c>
    </row>
    <row r="807" spans="1:18">
      <c r="A807" s="33" t="s">
        <v>1704</v>
      </c>
      <c r="B807" s="1" t="s">
        <v>172</v>
      </c>
      <c r="C807" s="1" t="s">
        <v>1705</v>
      </c>
      <c r="D807" s="33">
        <v>110</v>
      </c>
      <c r="E807" s="33">
        <v>310</v>
      </c>
      <c r="F807" s="33">
        <v>76</v>
      </c>
      <c r="G807" s="33">
        <v>755</v>
      </c>
      <c r="H807" s="33">
        <v>109.5</v>
      </c>
      <c r="I807" s="33">
        <v>490</v>
      </c>
      <c r="J807" s="33">
        <v>47</v>
      </c>
      <c r="K807" s="33">
        <v>863</v>
      </c>
      <c r="L807" s="33">
        <v>72</v>
      </c>
      <c r="M807" s="33">
        <v>751</v>
      </c>
      <c r="N807" s="33">
        <v>49</v>
      </c>
      <c r="O807" s="33">
        <v>883</v>
      </c>
      <c r="P807" s="1">
        <v>463.5</v>
      </c>
      <c r="Q807" s="1">
        <v>46</v>
      </c>
      <c r="R807" s="1">
        <v>804</v>
      </c>
    </row>
    <row r="808" spans="1:18">
      <c r="A808" s="33" t="s">
        <v>1706</v>
      </c>
      <c r="B808" s="1" t="s">
        <v>150</v>
      </c>
      <c r="C808" s="1" t="s">
        <v>1707</v>
      </c>
      <c r="D808" s="33">
        <v>91</v>
      </c>
      <c r="E808" s="33">
        <v>890</v>
      </c>
      <c r="F808" s="33">
        <v>70</v>
      </c>
      <c r="G808" s="33">
        <v>816</v>
      </c>
      <c r="H808" s="33">
        <v>112.5</v>
      </c>
      <c r="I808" s="33">
        <v>401</v>
      </c>
      <c r="J808" s="33">
        <v>52</v>
      </c>
      <c r="K808" s="33">
        <v>798</v>
      </c>
      <c r="L808" s="33">
        <v>65</v>
      </c>
      <c r="M808" s="33">
        <v>866</v>
      </c>
      <c r="N808" s="33">
        <v>73</v>
      </c>
      <c r="O808" s="33">
        <v>275</v>
      </c>
      <c r="P808" s="1">
        <v>463.5</v>
      </c>
      <c r="Q808" s="1">
        <v>49</v>
      </c>
      <c r="R808" s="1">
        <v>804</v>
      </c>
    </row>
    <row r="809" spans="1:18">
      <c r="A809" s="33" t="s">
        <v>1708</v>
      </c>
      <c r="B809" s="1" t="s">
        <v>97</v>
      </c>
      <c r="C809" s="1" t="s">
        <v>1709</v>
      </c>
      <c r="D809" s="33">
        <v>92</v>
      </c>
      <c r="E809" s="33">
        <v>882</v>
      </c>
      <c r="F809" s="33">
        <v>83</v>
      </c>
      <c r="G809" s="33">
        <v>668</v>
      </c>
      <c r="H809" s="33">
        <v>81</v>
      </c>
      <c r="I809" s="33">
        <v>889</v>
      </c>
      <c r="J809" s="33">
        <v>58</v>
      </c>
      <c r="K809" s="33">
        <v>698</v>
      </c>
      <c r="L809" s="33">
        <v>87</v>
      </c>
      <c r="M809" s="33">
        <v>268</v>
      </c>
      <c r="N809" s="33">
        <v>62</v>
      </c>
      <c r="O809" s="33">
        <v>657</v>
      </c>
      <c r="P809" s="1">
        <v>463</v>
      </c>
      <c r="Q809" s="1">
        <v>46</v>
      </c>
      <c r="R809" s="1">
        <v>808</v>
      </c>
    </row>
    <row r="810" spans="1:18">
      <c r="A810" s="33" t="s">
        <v>1710</v>
      </c>
      <c r="B810" s="1" t="s">
        <v>296</v>
      </c>
      <c r="C810" s="1" t="s">
        <v>1711</v>
      </c>
      <c r="D810" s="33">
        <v>95</v>
      </c>
      <c r="E810" s="33">
        <v>837</v>
      </c>
      <c r="F810" s="33">
        <v>78</v>
      </c>
      <c r="G810" s="33">
        <v>730</v>
      </c>
      <c r="H810" s="33">
        <v>99</v>
      </c>
      <c r="I810" s="33">
        <v>707</v>
      </c>
      <c r="J810" s="33">
        <v>58</v>
      </c>
      <c r="K810" s="33">
        <v>698</v>
      </c>
      <c r="L810" s="33">
        <v>81</v>
      </c>
      <c r="M810" s="33">
        <v>474</v>
      </c>
      <c r="N810" s="33">
        <v>52</v>
      </c>
      <c r="O810" s="33">
        <v>849</v>
      </c>
      <c r="P810" s="1">
        <v>463</v>
      </c>
      <c r="Q810" s="1">
        <v>47</v>
      </c>
      <c r="R810" s="1">
        <v>808</v>
      </c>
    </row>
    <row r="811" spans="1:18">
      <c r="A811" s="33" t="s">
        <v>1716</v>
      </c>
      <c r="B811" s="1" t="s">
        <v>106</v>
      </c>
      <c r="C811" s="1" t="s">
        <v>1717</v>
      </c>
      <c r="D811" s="33">
        <v>99</v>
      </c>
      <c r="E811" s="33">
        <v>754</v>
      </c>
      <c r="F811" s="33">
        <v>99</v>
      </c>
      <c r="G811" s="33">
        <v>437</v>
      </c>
      <c r="H811" s="33">
        <v>103.5</v>
      </c>
      <c r="I811" s="33">
        <v>612</v>
      </c>
      <c r="J811" s="33">
        <v>43</v>
      </c>
      <c r="K811" s="33">
        <v>890</v>
      </c>
      <c r="L811" s="33">
        <v>65</v>
      </c>
      <c r="M811" s="33">
        <v>866</v>
      </c>
      <c r="N811" s="33">
        <v>53</v>
      </c>
      <c r="O811" s="33">
        <v>832</v>
      </c>
      <c r="P811" s="1">
        <v>462.5</v>
      </c>
      <c r="Q811" s="1">
        <v>46</v>
      </c>
      <c r="R811" s="1">
        <v>810</v>
      </c>
    </row>
    <row r="812" spans="1:18">
      <c r="A812" s="33" t="s">
        <v>1712</v>
      </c>
      <c r="B812" s="1" t="s">
        <v>84</v>
      </c>
      <c r="C812" s="1" t="s">
        <v>1713</v>
      </c>
      <c r="D812" s="33">
        <v>100</v>
      </c>
      <c r="E812" s="33">
        <v>715</v>
      </c>
      <c r="F812" s="33">
        <v>86</v>
      </c>
      <c r="G812" s="33">
        <v>627</v>
      </c>
      <c r="H812" s="33">
        <v>117.5</v>
      </c>
      <c r="I812" s="33">
        <v>281</v>
      </c>
      <c r="J812" s="33">
        <v>45</v>
      </c>
      <c r="K812" s="33">
        <v>878</v>
      </c>
      <c r="L812" s="33">
        <v>67</v>
      </c>
      <c r="M812" s="33">
        <v>837</v>
      </c>
      <c r="N812" s="33">
        <v>47</v>
      </c>
      <c r="O812" s="33">
        <v>901</v>
      </c>
      <c r="P812" s="1">
        <v>462.5</v>
      </c>
      <c r="Q812" s="1">
        <v>48</v>
      </c>
      <c r="R812" s="1">
        <v>810</v>
      </c>
    </row>
    <row r="813" spans="1:18">
      <c r="A813" s="33" t="s">
        <v>1714</v>
      </c>
      <c r="B813" s="1" t="s">
        <v>97</v>
      </c>
      <c r="C813" s="1" t="s">
        <v>1715</v>
      </c>
      <c r="D813" s="33">
        <v>111</v>
      </c>
      <c r="E813" s="33">
        <v>271</v>
      </c>
      <c r="F813" s="33">
        <v>67</v>
      </c>
      <c r="G813" s="33">
        <v>840</v>
      </c>
      <c r="H813" s="33">
        <v>102.5</v>
      </c>
      <c r="I813" s="33">
        <v>635</v>
      </c>
      <c r="J813" s="33">
        <v>34</v>
      </c>
      <c r="K813" s="33">
        <v>933</v>
      </c>
      <c r="L813" s="33">
        <v>71</v>
      </c>
      <c r="M813" s="33">
        <v>773</v>
      </c>
      <c r="N813" s="33">
        <v>77</v>
      </c>
      <c r="O813" s="33">
        <v>162</v>
      </c>
      <c r="P813" s="1">
        <v>462.5</v>
      </c>
      <c r="Q813" s="1">
        <v>47</v>
      </c>
      <c r="R813" s="1">
        <v>810</v>
      </c>
    </row>
    <row r="814" spans="1:18">
      <c r="A814" s="33" t="s">
        <v>1718</v>
      </c>
      <c r="B814" s="1" t="s">
        <v>217</v>
      </c>
      <c r="C814" s="1" t="s">
        <v>1719</v>
      </c>
      <c r="D814" s="33">
        <v>92</v>
      </c>
      <c r="E814" s="33">
        <v>882</v>
      </c>
      <c r="F814" s="33">
        <v>66</v>
      </c>
      <c r="G814" s="33">
        <v>848</v>
      </c>
      <c r="H814" s="33">
        <v>111.5</v>
      </c>
      <c r="I814" s="33">
        <v>427</v>
      </c>
      <c r="J814" s="33">
        <v>63</v>
      </c>
      <c r="K814" s="33">
        <v>581</v>
      </c>
      <c r="L814" s="33">
        <v>82</v>
      </c>
      <c r="M814" s="33">
        <v>452</v>
      </c>
      <c r="N814" s="33">
        <v>48</v>
      </c>
      <c r="O814" s="33">
        <v>893</v>
      </c>
      <c r="P814" s="1">
        <v>462.5</v>
      </c>
      <c r="Q814" s="1">
        <v>52</v>
      </c>
      <c r="R814" s="1">
        <v>810</v>
      </c>
    </row>
    <row r="815" spans="1:18">
      <c r="A815" s="33" t="s">
        <v>1720</v>
      </c>
      <c r="B815" s="1" t="s">
        <v>249</v>
      </c>
      <c r="C815" s="1" t="s">
        <v>1721</v>
      </c>
      <c r="D815" s="33">
        <v>104</v>
      </c>
      <c r="E815" s="33">
        <v>573</v>
      </c>
      <c r="F815" s="33">
        <v>73</v>
      </c>
      <c r="G815" s="33">
        <v>789</v>
      </c>
      <c r="H815" s="33">
        <v>99</v>
      </c>
      <c r="I815" s="33">
        <v>707</v>
      </c>
      <c r="J815" s="33">
        <v>69</v>
      </c>
      <c r="K815" s="33">
        <v>452</v>
      </c>
      <c r="L815" s="33">
        <v>66</v>
      </c>
      <c r="M815" s="33">
        <v>849</v>
      </c>
      <c r="N815" s="33">
        <v>51</v>
      </c>
      <c r="O815" s="33">
        <v>862</v>
      </c>
      <c r="P815" s="1">
        <v>462</v>
      </c>
      <c r="Q815" s="1">
        <v>45</v>
      </c>
      <c r="R815" s="1">
        <v>814</v>
      </c>
    </row>
    <row r="816" spans="1:18">
      <c r="A816" s="33" t="s">
        <v>1722</v>
      </c>
      <c r="B816" s="1" t="s">
        <v>150</v>
      </c>
      <c r="C816" s="1" t="s">
        <v>1723</v>
      </c>
      <c r="D816" s="33">
        <v>100</v>
      </c>
      <c r="E816" s="33">
        <v>715</v>
      </c>
      <c r="F816" s="33">
        <v>63</v>
      </c>
      <c r="G816" s="33">
        <v>862</v>
      </c>
      <c r="H816" s="33">
        <v>90.5</v>
      </c>
      <c r="I816" s="33">
        <v>822</v>
      </c>
      <c r="J816" s="33">
        <v>61</v>
      </c>
      <c r="K816" s="33">
        <v>627</v>
      </c>
      <c r="L816" s="33">
        <v>73</v>
      </c>
      <c r="M816" s="33">
        <v>717</v>
      </c>
      <c r="N816" s="33">
        <v>74</v>
      </c>
      <c r="O816" s="33">
        <v>247</v>
      </c>
      <c r="P816" s="1">
        <v>461.5</v>
      </c>
      <c r="Q816" s="1">
        <v>50</v>
      </c>
      <c r="R816" s="1">
        <v>815</v>
      </c>
    </row>
    <row r="817" spans="1:18">
      <c r="A817" s="33" t="s">
        <v>1724</v>
      </c>
      <c r="B817" s="1" t="s">
        <v>92</v>
      </c>
      <c r="C817" s="1" t="s">
        <v>1725</v>
      </c>
      <c r="D817" s="33">
        <v>115</v>
      </c>
      <c r="E817" s="33">
        <v>140</v>
      </c>
      <c r="F817" s="33">
        <v>72</v>
      </c>
      <c r="G817" s="33">
        <v>803</v>
      </c>
      <c r="H817" s="33">
        <v>98</v>
      </c>
      <c r="I817" s="33">
        <v>728</v>
      </c>
      <c r="J817" s="33">
        <v>44</v>
      </c>
      <c r="K817" s="33">
        <v>885</v>
      </c>
      <c r="L817" s="33">
        <v>66</v>
      </c>
      <c r="M817" s="33">
        <v>849</v>
      </c>
      <c r="N817" s="33">
        <v>66</v>
      </c>
      <c r="O817" s="33">
        <v>519</v>
      </c>
      <c r="P817" s="1">
        <v>461</v>
      </c>
      <c r="Q817" s="1">
        <v>45</v>
      </c>
      <c r="R817" s="1">
        <v>816</v>
      </c>
    </row>
    <row r="818" spans="1:18">
      <c r="A818" s="33" t="s">
        <v>1726</v>
      </c>
      <c r="B818" s="1" t="s">
        <v>172</v>
      </c>
      <c r="C818" s="1" t="s">
        <v>1727</v>
      </c>
      <c r="D818" s="33">
        <v>107</v>
      </c>
      <c r="E818" s="33">
        <v>429</v>
      </c>
      <c r="F818" s="33">
        <v>68</v>
      </c>
      <c r="G818" s="33">
        <v>836</v>
      </c>
      <c r="H818" s="33">
        <v>121</v>
      </c>
      <c r="I818" s="33">
        <v>173</v>
      </c>
      <c r="J818" s="33">
        <v>49</v>
      </c>
      <c r="K818" s="33">
        <v>842</v>
      </c>
      <c r="L818" s="33">
        <v>59</v>
      </c>
      <c r="M818" s="33">
        <v>911</v>
      </c>
      <c r="N818" s="33">
        <v>57</v>
      </c>
      <c r="O818" s="33">
        <v>770</v>
      </c>
      <c r="P818" s="1">
        <v>461</v>
      </c>
      <c r="Q818" s="1">
        <v>48</v>
      </c>
      <c r="R818" s="1">
        <v>816</v>
      </c>
    </row>
    <row r="819" spans="1:18">
      <c r="A819" s="33" t="s">
        <v>1728</v>
      </c>
      <c r="B819" s="1" t="s">
        <v>92</v>
      </c>
      <c r="C819" s="1" t="s">
        <v>1729</v>
      </c>
      <c r="D819" s="33">
        <v>59</v>
      </c>
      <c r="E819" s="33">
        <v>951</v>
      </c>
      <c r="F819" s="33">
        <v>82</v>
      </c>
      <c r="G819" s="33">
        <v>677</v>
      </c>
      <c r="H819" s="33">
        <v>99</v>
      </c>
      <c r="I819" s="33">
        <v>707</v>
      </c>
      <c r="J819" s="33">
        <v>73</v>
      </c>
      <c r="K819" s="33">
        <v>370</v>
      </c>
      <c r="L819" s="33">
        <v>69</v>
      </c>
      <c r="M819" s="33">
        <v>810</v>
      </c>
      <c r="N819" s="33">
        <v>78</v>
      </c>
      <c r="O819" s="33">
        <v>133</v>
      </c>
      <c r="P819" s="1">
        <v>460</v>
      </c>
      <c r="Q819" s="1">
        <v>46</v>
      </c>
      <c r="R819" s="1">
        <v>818</v>
      </c>
    </row>
    <row r="820" spans="1:18">
      <c r="A820" s="33" t="s">
        <v>1730</v>
      </c>
      <c r="B820" s="1" t="s">
        <v>92</v>
      </c>
      <c r="C820" s="1" t="s">
        <v>1731</v>
      </c>
      <c r="D820" s="33">
        <v>95</v>
      </c>
      <c r="E820" s="33">
        <v>837</v>
      </c>
      <c r="F820" s="33">
        <v>96</v>
      </c>
      <c r="G820" s="33">
        <v>484</v>
      </c>
      <c r="H820" s="33">
        <v>87.5</v>
      </c>
      <c r="I820" s="33">
        <v>855</v>
      </c>
      <c r="J820" s="33">
        <v>52</v>
      </c>
      <c r="K820" s="33">
        <v>798</v>
      </c>
      <c r="L820" s="33">
        <v>71</v>
      </c>
      <c r="M820" s="33">
        <v>773</v>
      </c>
      <c r="N820" s="33">
        <v>58</v>
      </c>
      <c r="O820" s="33">
        <v>754</v>
      </c>
      <c r="P820" s="1">
        <v>459.5</v>
      </c>
      <c r="Q820" s="1">
        <v>47</v>
      </c>
      <c r="R820" s="1">
        <v>819</v>
      </c>
    </row>
    <row r="821" spans="1:18">
      <c r="A821" s="33" t="s">
        <v>1732</v>
      </c>
      <c r="B821" s="1" t="s">
        <v>210</v>
      </c>
      <c r="C821" s="1" t="s">
        <v>1733</v>
      </c>
      <c r="D821" s="33">
        <v>95</v>
      </c>
      <c r="E821" s="33">
        <v>837</v>
      </c>
      <c r="F821" s="33">
        <v>89</v>
      </c>
      <c r="G821" s="33">
        <v>588</v>
      </c>
      <c r="H821" s="33">
        <v>95.5</v>
      </c>
      <c r="I821" s="33">
        <v>769</v>
      </c>
      <c r="J821" s="33">
        <v>48</v>
      </c>
      <c r="K821" s="33">
        <v>854</v>
      </c>
      <c r="L821" s="33">
        <v>76</v>
      </c>
      <c r="M821" s="33">
        <v>642</v>
      </c>
      <c r="N821" s="33">
        <v>56</v>
      </c>
      <c r="O821" s="33">
        <v>789</v>
      </c>
      <c r="P821" s="1">
        <v>459.5</v>
      </c>
      <c r="Q821" s="1">
        <v>52</v>
      </c>
      <c r="R821" s="1">
        <v>819</v>
      </c>
    </row>
    <row r="822" spans="1:18">
      <c r="A822" s="33" t="s">
        <v>1734</v>
      </c>
      <c r="B822" s="1" t="s">
        <v>217</v>
      </c>
      <c r="C822" s="1" t="s">
        <v>1735</v>
      </c>
      <c r="D822" s="33">
        <v>106</v>
      </c>
      <c r="E822" s="33">
        <v>477</v>
      </c>
      <c r="F822" s="33">
        <v>65</v>
      </c>
      <c r="G822" s="33">
        <v>854</v>
      </c>
      <c r="H822" s="33">
        <v>106</v>
      </c>
      <c r="I822" s="33">
        <v>558</v>
      </c>
      <c r="J822" s="33">
        <v>45</v>
      </c>
      <c r="K822" s="33">
        <v>878</v>
      </c>
      <c r="L822" s="33">
        <v>72</v>
      </c>
      <c r="M822" s="33">
        <v>751</v>
      </c>
      <c r="N822" s="33">
        <v>65</v>
      </c>
      <c r="O822" s="33">
        <v>554</v>
      </c>
      <c r="P822" s="1">
        <v>459</v>
      </c>
      <c r="Q822" s="1">
        <v>53</v>
      </c>
      <c r="R822" s="1">
        <v>821</v>
      </c>
    </row>
    <row r="823" spans="1:18">
      <c r="A823" s="33" t="s">
        <v>1736</v>
      </c>
      <c r="B823" s="1" t="s">
        <v>84</v>
      </c>
      <c r="C823" s="1" t="s">
        <v>1737</v>
      </c>
      <c r="D823" s="33">
        <v>97</v>
      </c>
      <c r="E823" s="33">
        <v>795</v>
      </c>
      <c r="F823" s="33">
        <v>94</v>
      </c>
      <c r="G823" s="33">
        <v>524</v>
      </c>
      <c r="H823" s="33">
        <v>103.5</v>
      </c>
      <c r="I823" s="33">
        <v>612</v>
      </c>
      <c r="J823" s="33">
        <v>61</v>
      </c>
      <c r="K823" s="33">
        <v>627</v>
      </c>
      <c r="L823" s="33">
        <v>61</v>
      </c>
      <c r="M823" s="33">
        <v>901</v>
      </c>
      <c r="N823" s="33">
        <v>42</v>
      </c>
      <c r="O823" s="33">
        <v>925</v>
      </c>
      <c r="P823" s="1">
        <v>458.5</v>
      </c>
      <c r="Q823" s="1">
        <v>49</v>
      </c>
      <c r="R823" s="1">
        <v>822</v>
      </c>
    </row>
    <row r="824" spans="1:18">
      <c r="A824" s="33" t="s">
        <v>1740</v>
      </c>
      <c r="B824" s="1" t="s">
        <v>203</v>
      </c>
      <c r="C824" s="1" t="s">
        <v>1741</v>
      </c>
      <c r="D824" s="33">
        <v>99</v>
      </c>
      <c r="E824" s="33">
        <v>754</v>
      </c>
      <c r="F824" s="33">
        <v>80</v>
      </c>
      <c r="G824" s="33">
        <v>700</v>
      </c>
      <c r="H824" s="33">
        <v>74</v>
      </c>
      <c r="I824" s="33">
        <v>918</v>
      </c>
      <c r="J824" s="33">
        <v>60</v>
      </c>
      <c r="K824" s="33">
        <v>647</v>
      </c>
      <c r="L824" s="33">
        <v>79</v>
      </c>
      <c r="M824" s="33">
        <v>539</v>
      </c>
      <c r="N824" s="33">
        <v>66</v>
      </c>
      <c r="O824" s="33">
        <v>519</v>
      </c>
      <c r="P824" s="1">
        <v>458</v>
      </c>
      <c r="Q824" s="1">
        <v>46</v>
      </c>
      <c r="R824" s="1">
        <v>823</v>
      </c>
    </row>
    <row r="825" spans="1:18">
      <c r="A825" s="33" t="s">
        <v>1738</v>
      </c>
      <c r="B825" s="1" t="s">
        <v>296</v>
      </c>
      <c r="C825" s="1" t="s">
        <v>1739</v>
      </c>
      <c r="D825" s="33">
        <v>103</v>
      </c>
      <c r="E825" s="33">
        <v>606</v>
      </c>
      <c r="F825" s="33">
        <v>51</v>
      </c>
      <c r="G825" s="33">
        <v>922</v>
      </c>
      <c r="H825" s="33">
        <v>123</v>
      </c>
      <c r="I825" s="33">
        <v>132</v>
      </c>
      <c r="J825" s="33">
        <v>51</v>
      </c>
      <c r="K825" s="33">
        <v>812</v>
      </c>
      <c r="L825" s="33">
        <v>77</v>
      </c>
      <c r="M825" s="33">
        <v>608</v>
      </c>
      <c r="N825" s="33">
        <v>53</v>
      </c>
      <c r="O825" s="33">
        <v>832</v>
      </c>
      <c r="P825" s="1">
        <v>458</v>
      </c>
      <c r="Q825" s="1">
        <v>48</v>
      </c>
      <c r="R825" s="1">
        <v>823</v>
      </c>
    </row>
    <row r="826" spans="1:18">
      <c r="A826" s="33" t="s">
        <v>1742</v>
      </c>
      <c r="B826" s="1" t="s">
        <v>240</v>
      </c>
      <c r="C826" s="1" t="s">
        <v>1743</v>
      </c>
      <c r="D826" s="33">
        <v>103</v>
      </c>
      <c r="E826" s="33">
        <v>606</v>
      </c>
      <c r="F826" s="33">
        <v>70</v>
      </c>
      <c r="G826" s="33">
        <v>816</v>
      </c>
      <c r="H826" s="33">
        <v>110.5</v>
      </c>
      <c r="I826" s="33">
        <v>465</v>
      </c>
      <c r="J826" s="33">
        <v>44</v>
      </c>
      <c r="K826" s="33">
        <v>885</v>
      </c>
      <c r="L826" s="33">
        <v>76</v>
      </c>
      <c r="M826" s="33">
        <v>642</v>
      </c>
      <c r="N826" s="33">
        <v>54</v>
      </c>
      <c r="O826" s="33">
        <v>817</v>
      </c>
      <c r="P826" s="1">
        <v>457.5</v>
      </c>
      <c r="Q826" s="1">
        <v>51</v>
      </c>
      <c r="R826" s="1">
        <v>825</v>
      </c>
    </row>
    <row r="827" spans="1:18">
      <c r="A827" s="33" t="s">
        <v>1744</v>
      </c>
      <c r="B827" s="1" t="s">
        <v>92</v>
      </c>
      <c r="C827" s="1" t="s">
        <v>1745</v>
      </c>
      <c r="D827" s="33">
        <v>102</v>
      </c>
      <c r="E827" s="33">
        <v>655</v>
      </c>
      <c r="F827" s="33">
        <v>72</v>
      </c>
      <c r="G827" s="33">
        <v>803</v>
      </c>
      <c r="H827" s="33">
        <v>88</v>
      </c>
      <c r="I827" s="33">
        <v>852</v>
      </c>
      <c r="J827" s="33">
        <v>55</v>
      </c>
      <c r="K827" s="33">
        <v>748</v>
      </c>
      <c r="L827" s="33">
        <v>74</v>
      </c>
      <c r="M827" s="33">
        <v>702</v>
      </c>
      <c r="N827" s="33">
        <v>66</v>
      </c>
      <c r="O827" s="33">
        <v>519</v>
      </c>
      <c r="P827" s="1">
        <v>457</v>
      </c>
      <c r="Q827" s="1">
        <v>48</v>
      </c>
      <c r="R827" s="1">
        <v>826</v>
      </c>
    </row>
    <row r="828" spans="1:18">
      <c r="A828" s="33" t="s">
        <v>1748</v>
      </c>
      <c r="B828" s="1" t="s">
        <v>97</v>
      </c>
      <c r="C828" s="1" t="s">
        <v>1749</v>
      </c>
      <c r="D828" s="33">
        <v>84</v>
      </c>
      <c r="E828" s="33">
        <v>933</v>
      </c>
      <c r="F828" s="33">
        <v>105</v>
      </c>
      <c r="G828" s="33">
        <v>341</v>
      </c>
      <c r="H828" s="33">
        <v>103</v>
      </c>
      <c r="I828" s="33">
        <v>630</v>
      </c>
      <c r="J828" s="33">
        <v>34</v>
      </c>
      <c r="K828" s="33">
        <v>933</v>
      </c>
      <c r="L828" s="33">
        <v>64</v>
      </c>
      <c r="M828" s="33">
        <v>881</v>
      </c>
      <c r="N828" s="33">
        <v>65</v>
      </c>
      <c r="O828" s="33">
        <v>554</v>
      </c>
      <c r="P828" s="1">
        <v>455</v>
      </c>
      <c r="Q828" s="1">
        <v>48</v>
      </c>
      <c r="R828" s="1">
        <v>827</v>
      </c>
    </row>
    <row r="829" spans="1:18">
      <c r="A829" s="33" t="s">
        <v>1750</v>
      </c>
      <c r="B829" s="1" t="s">
        <v>240</v>
      </c>
      <c r="C829" s="1" t="s">
        <v>1751</v>
      </c>
      <c r="D829" s="33">
        <v>91</v>
      </c>
      <c r="E829" s="33">
        <v>890</v>
      </c>
      <c r="F829" s="33">
        <v>84</v>
      </c>
      <c r="G829" s="33">
        <v>659</v>
      </c>
      <c r="H829" s="33">
        <v>114</v>
      </c>
      <c r="I829" s="33">
        <v>356</v>
      </c>
      <c r="J829" s="33">
        <v>40</v>
      </c>
      <c r="K829" s="33">
        <v>909</v>
      </c>
      <c r="L829" s="33">
        <v>67</v>
      </c>
      <c r="M829" s="33">
        <v>837</v>
      </c>
      <c r="N829" s="33">
        <v>59</v>
      </c>
      <c r="O829" s="33">
        <v>729</v>
      </c>
      <c r="P829" s="1">
        <v>455</v>
      </c>
      <c r="Q829" s="1">
        <v>52</v>
      </c>
      <c r="R829" s="1">
        <v>827</v>
      </c>
    </row>
    <row r="830" spans="1:18">
      <c r="A830" s="33" t="s">
        <v>1756</v>
      </c>
      <c r="B830" s="1" t="s">
        <v>92</v>
      </c>
      <c r="C830" s="1" t="s">
        <v>1757</v>
      </c>
      <c r="D830" s="33">
        <v>99</v>
      </c>
      <c r="E830" s="33">
        <v>754</v>
      </c>
      <c r="F830" s="33">
        <v>80</v>
      </c>
      <c r="G830" s="33">
        <v>700</v>
      </c>
      <c r="H830" s="33">
        <v>100.5</v>
      </c>
      <c r="I830" s="33">
        <v>675</v>
      </c>
      <c r="J830" s="33">
        <v>56</v>
      </c>
      <c r="K830" s="33">
        <v>731</v>
      </c>
      <c r="L830" s="33">
        <v>85</v>
      </c>
      <c r="M830" s="33">
        <v>339</v>
      </c>
      <c r="N830" s="33">
        <v>34</v>
      </c>
      <c r="O830" s="33">
        <v>946</v>
      </c>
      <c r="P830" s="1">
        <v>454.5</v>
      </c>
      <c r="Q830" s="1">
        <v>49</v>
      </c>
      <c r="R830" s="1">
        <v>829</v>
      </c>
    </row>
    <row r="831" spans="1:18">
      <c r="A831" s="33" t="s">
        <v>1754</v>
      </c>
      <c r="B831" s="1" t="s">
        <v>97</v>
      </c>
      <c r="C831" s="1" t="s">
        <v>1755</v>
      </c>
      <c r="D831" s="33">
        <v>114</v>
      </c>
      <c r="E831" s="33">
        <v>170</v>
      </c>
      <c r="F831" s="33">
        <v>75</v>
      </c>
      <c r="G831" s="33">
        <v>767</v>
      </c>
      <c r="H831" s="33">
        <v>92.5</v>
      </c>
      <c r="I831" s="33">
        <v>801</v>
      </c>
      <c r="J831" s="33">
        <v>49</v>
      </c>
      <c r="K831" s="33">
        <v>842</v>
      </c>
      <c r="L831" s="33">
        <v>73</v>
      </c>
      <c r="M831" s="33">
        <v>717</v>
      </c>
      <c r="N831" s="33">
        <v>51</v>
      </c>
      <c r="O831" s="33">
        <v>862</v>
      </c>
      <c r="P831" s="1">
        <v>454.5</v>
      </c>
      <c r="Q831" s="1">
        <v>49</v>
      </c>
      <c r="R831" s="1">
        <v>829</v>
      </c>
    </row>
    <row r="832" spans="1:18">
      <c r="A832" s="33" t="s">
        <v>1752</v>
      </c>
      <c r="B832" s="1" t="s">
        <v>172</v>
      </c>
      <c r="C832" s="1" t="s">
        <v>1753</v>
      </c>
      <c r="D832" s="33">
        <v>94</v>
      </c>
      <c r="E832" s="33">
        <v>856</v>
      </c>
      <c r="F832" s="33">
        <v>58</v>
      </c>
      <c r="G832" s="33">
        <v>894</v>
      </c>
      <c r="H832" s="33">
        <v>110.5</v>
      </c>
      <c r="I832" s="33">
        <v>465</v>
      </c>
      <c r="J832" s="33">
        <v>53</v>
      </c>
      <c r="K832" s="33">
        <v>786</v>
      </c>
      <c r="L832" s="33">
        <v>73</v>
      </c>
      <c r="M832" s="33">
        <v>717</v>
      </c>
      <c r="N832" s="33">
        <v>66</v>
      </c>
      <c r="O832" s="33">
        <v>519</v>
      </c>
      <c r="P832" s="1">
        <v>454.5</v>
      </c>
      <c r="Q832" s="1">
        <v>49</v>
      </c>
      <c r="R832" s="1">
        <v>829</v>
      </c>
    </row>
    <row r="833" spans="1:18">
      <c r="A833" s="33" t="s">
        <v>1758</v>
      </c>
      <c r="B833" s="1" t="s">
        <v>97</v>
      </c>
      <c r="C833" s="1" t="s">
        <v>1759</v>
      </c>
      <c r="D833" s="33">
        <v>103</v>
      </c>
      <c r="E833" s="33">
        <v>606</v>
      </c>
      <c r="F833" s="33">
        <v>57</v>
      </c>
      <c r="G833" s="33">
        <v>903</v>
      </c>
      <c r="H833" s="33">
        <v>85</v>
      </c>
      <c r="I833" s="33">
        <v>870</v>
      </c>
      <c r="J833" s="33">
        <v>47</v>
      </c>
      <c r="K833" s="33">
        <v>863</v>
      </c>
      <c r="L833" s="33">
        <v>87</v>
      </c>
      <c r="M833" s="33">
        <v>268</v>
      </c>
      <c r="N833" s="33">
        <v>75</v>
      </c>
      <c r="O833" s="33">
        <v>219</v>
      </c>
      <c r="P833" s="1">
        <v>454</v>
      </c>
      <c r="Q833" s="1">
        <v>50</v>
      </c>
      <c r="R833" s="1">
        <v>832</v>
      </c>
    </row>
    <row r="834" spans="1:18">
      <c r="A834" s="33" t="s">
        <v>1760</v>
      </c>
      <c r="B834" s="1" t="s">
        <v>133</v>
      </c>
      <c r="C834" s="1" t="s">
        <v>1761</v>
      </c>
      <c r="D834" s="33">
        <v>92</v>
      </c>
      <c r="E834" s="33">
        <v>882</v>
      </c>
      <c r="F834" s="33">
        <v>109</v>
      </c>
      <c r="G834" s="33">
        <v>279</v>
      </c>
      <c r="H834" s="33">
        <v>88.5</v>
      </c>
      <c r="I834" s="33">
        <v>848</v>
      </c>
      <c r="J834" s="33">
        <v>33</v>
      </c>
      <c r="K834" s="33">
        <v>936</v>
      </c>
      <c r="L834" s="33">
        <v>81</v>
      </c>
      <c r="M834" s="33">
        <v>474</v>
      </c>
      <c r="N834" s="33">
        <v>50</v>
      </c>
      <c r="O834" s="33">
        <v>873</v>
      </c>
      <c r="P834" s="1">
        <v>453.5</v>
      </c>
      <c r="Q834" s="1">
        <v>52</v>
      </c>
      <c r="R834" s="1">
        <v>833</v>
      </c>
    </row>
    <row r="835" spans="1:18">
      <c r="A835" s="33" t="s">
        <v>1762</v>
      </c>
      <c r="B835" s="1" t="s">
        <v>203</v>
      </c>
      <c r="C835" s="1" t="s">
        <v>1763</v>
      </c>
      <c r="D835" s="33">
        <v>98</v>
      </c>
      <c r="E835" s="33">
        <v>774</v>
      </c>
      <c r="F835" s="33">
        <v>70</v>
      </c>
      <c r="G835" s="33">
        <v>816</v>
      </c>
      <c r="H835" s="33">
        <v>110.5</v>
      </c>
      <c r="I835" s="33">
        <v>465</v>
      </c>
      <c r="J835" s="33">
        <v>47</v>
      </c>
      <c r="K835" s="33">
        <v>863</v>
      </c>
      <c r="L835" s="33">
        <v>61</v>
      </c>
      <c r="M835" s="33">
        <v>901</v>
      </c>
      <c r="N835" s="33">
        <v>67</v>
      </c>
      <c r="O835" s="33">
        <v>489</v>
      </c>
      <c r="P835" s="1">
        <v>453.5</v>
      </c>
      <c r="Q835" s="1">
        <v>47</v>
      </c>
      <c r="R835" s="1">
        <v>833</v>
      </c>
    </row>
    <row r="836" spans="1:18">
      <c r="A836" s="33" t="s">
        <v>1766</v>
      </c>
      <c r="B836" s="1" t="s">
        <v>84</v>
      </c>
      <c r="C836" s="1" t="s">
        <v>1767</v>
      </c>
      <c r="D836" s="33">
        <v>84</v>
      </c>
      <c r="E836" s="33">
        <v>933</v>
      </c>
      <c r="F836" s="33">
        <v>75</v>
      </c>
      <c r="G836" s="33">
        <v>767</v>
      </c>
      <c r="H836" s="33">
        <v>102</v>
      </c>
      <c r="I836" s="33">
        <v>642</v>
      </c>
      <c r="J836" s="33">
        <v>60</v>
      </c>
      <c r="K836" s="33">
        <v>647</v>
      </c>
      <c r="L836" s="33">
        <v>64</v>
      </c>
      <c r="M836" s="33">
        <v>881</v>
      </c>
      <c r="N836" s="33">
        <v>68</v>
      </c>
      <c r="O836" s="33">
        <v>452</v>
      </c>
      <c r="P836" s="1">
        <v>453</v>
      </c>
      <c r="Q836" s="1">
        <v>50</v>
      </c>
      <c r="R836" s="1">
        <v>835</v>
      </c>
    </row>
    <row r="837" spans="1:18">
      <c r="A837" s="33" t="s">
        <v>1768</v>
      </c>
      <c r="B837" s="1" t="s">
        <v>133</v>
      </c>
      <c r="C837" s="1" t="s">
        <v>1769</v>
      </c>
      <c r="D837" s="33">
        <v>105</v>
      </c>
      <c r="E837" s="33">
        <v>515</v>
      </c>
      <c r="F837" s="33">
        <v>73</v>
      </c>
      <c r="G837" s="33">
        <v>789</v>
      </c>
      <c r="H837" s="33">
        <v>101</v>
      </c>
      <c r="I837" s="33">
        <v>661</v>
      </c>
      <c r="J837" s="33">
        <v>48</v>
      </c>
      <c r="K837" s="33">
        <v>854</v>
      </c>
      <c r="L837" s="33">
        <v>67</v>
      </c>
      <c r="M837" s="33">
        <v>837</v>
      </c>
      <c r="N837" s="33">
        <v>59</v>
      </c>
      <c r="O837" s="33">
        <v>729</v>
      </c>
      <c r="P837" s="1">
        <v>453</v>
      </c>
      <c r="Q837" s="1">
        <v>53</v>
      </c>
      <c r="R837" s="1">
        <v>835</v>
      </c>
    </row>
    <row r="838" spans="1:18">
      <c r="A838" s="33" t="s">
        <v>1764</v>
      </c>
      <c r="B838" s="1" t="s">
        <v>111</v>
      </c>
      <c r="C838" s="1" t="s">
        <v>1765</v>
      </c>
      <c r="D838" s="33">
        <v>96</v>
      </c>
      <c r="E838" s="33">
        <v>814</v>
      </c>
      <c r="F838" s="33">
        <v>70</v>
      </c>
      <c r="G838" s="33">
        <v>816</v>
      </c>
      <c r="H838" s="33">
        <v>100</v>
      </c>
      <c r="I838" s="33">
        <v>680</v>
      </c>
      <c r="J838" s="33">
        <v>57</v>
      </c>
      <c r="K838" s="33">
        <v>713</v>
      </c>
      <c r="L838" s="33">
        <v>68</v>
      </c>
      <c r="M838" s="33">
        <v>824</v>
      </c>
      <c r="N838" s="33">
        <v>62</v>
      </c>
      <c r="O838" s="33">
        <v>657</v>
      </c>
      <c r="P838" s="1">
        <v>453</v>
      </c>
      <c r="Q838" s="1">
        <v>45</v>
      </c>
      <c r="R838" s="1">
        <v>835</v>
      </c>
    </row>
    <row r="839" spans="1:18">
      <c r="A839" s="33" t="s">
        <v>1770</v>
      </c>
      <c r="B839" s="1" t="s">
        <v>217</v>
      </c>
      <c r="C839" s="1" t="s">
        <v>1771</v>
      </c>
      <c r="D839" s="33">
        <v>91</v>
      </c>
      <c r="E839" s="33">
        <v>890</v>
      </c>
      <c r="F839" s="33">
        <v>62</v>
      </c>
      <c r="G839" s="33">
        <v>870</v>
      </c>
      <c r="H839" s="33">
        <v>111</v>
      </c>
      <c r="I839" s="33">
        <v>445</v>
      </c>
      <c r="J839" s="33">
        <v>52</v>
      </c>
      <c r="K839" s="33">
        <v>798</v>
      </c>
      <c r="L839" s="33">
        <v>73</v>
      </c>
      <c r="M839" s="33">
        <v>717</v>
      </c>
      <c r="N839" s="33">
        <v>64</v>
      </c>
      <c r="O839" s="33">
        <v>593</v>
      </c>
      <c r="P839" s="1">
        <v>453</v>
      </c>
      <c r="Q839" s="1">
        <v>54</v>
      </c>
      <c r="R839" s="1">
        <v>835</v>
      </c>
    </row>
    <row r="840" spans="1:18">
      <c r="A840" s="33" t="s">
        <v>1772</v>
      </c>
      <c r="B840" s="1" t="s">
        <v>217</v>
      </c>
      <c r="C840" s="1" t="s">
        <v>1773</v>
      </c>
      <c r="D840" s="33">
        <v>113</v>
      </c>
      <c r="E840" s="33">
        <v>196</v>
      </c>
      <c r="F840" s="33">
        <v>73</v>
      </c>
      <c r="G840" s="33">
        <v>789</v>
      </c>
      <c r="H840" s="33">
        <v>111</v>
      </c>
      <c r="I840" s="33">
        <v>445</v>
      </c>
      <c r="J840" s="33">
        <v>54</v>
      </c>
      <c r="K840" s="33">
        <v>766</v>
      </c>
      <c r="L840" s="33">
        <v>57</v>
      </c>
      <c r="M840" s="33">
        <v>921</v>
      </c>
      <c r="N840" s="33">
        <v>44</v>
      </c>
      <c r="O840" s="33">
        <v>918</v>
      </c>
      <c r="P840" s="1">
        <v>452</v>
      </c>
      <c r="Q840" s="1">
        <v>55</v>
      </c>
      <c r="R840" s="1">
        <v>839</v>
      </c>
    </row>
    <row r="841" spans="1:18">
      <c r="A841" s="33" t="s">
        <v>1774</v>
      </c>
      <c r="B841" s="1" t="s">
        <v>296</v>
      </c>
      <c r="C841" s="1" t="s">
        <v>1775</v>
      </c>
      <c r="D841" s="33">
        <v>109</v>
      </c>
      <c r="E841" s="33">
        <v>353</v>
      </c>
      <c r="F841" s="33">
        <v>57</v>
      </c>
      <c r="G841" s="33">
        <v>903</v>
      </c>
      <c r="H841" s="33">
        <v>116.5</v>
      </c>
      <c r="I841" s="33">
        <v>298</v>
      </c>
      <c r="J841" s="33">
        <v>33</v>
      </c>
      <c r="K841" s="33">
        <v>936</v>
      </c>
      <c r="L841" s="33">
        <v>79</v>
      </c>
      <c r="M841" s="33">
        <v>539</v>
      </c>
      <c r="N841" s="33">
        <v>57</v>
      </c>
      <c r="O841" s="33">
        <v>770</v>
      </c>
      <c r="P841" s="1">
        <v>451.5</v>
      </c>
      <c r="Q841" s="1">
        <v>49</v>
      </c>
      <c r="R841" s="1">
        <v>840</v>
      </c>
    </row>
    <row r="842" spans="1:18">
      <c r="A842" s="33" t="s">
        <v>1776</v>
      </c>
      <c r="B842" s="1" t="s">
        <v>169</v>
      </c>
      <c r="C842" s="1" t="s">
        <v>1777</v>
      </c>
      <c r="D842" s="33">
        <v>101</v>
      </c>
      <c r="E842" s="33">
        <v>688</v>
      </c>
      <c r="F842" s="33">
        <v>85</v>
      </c>
      <c r="G842" s="33">
        <v>644</v>
      </c>
      <c r="H842" s="33">
        <v>83</v>
      </c>
      <c r="I842" s="33">
        <v>881</v>
      </c>
      <c r="J842" s="33">
        <v>51</v>
      </c>
      <c r="K842" s="33">
        <v>812</v>
      </c>
      <c r="L842" s="33">
        <v>78</v>
      </c>
      <c r="M842" s="33">
        <v>577</v>
      </c>
      <c r="N842" s="33">
        <v>53</v>
      </c>
      <c r="O842" s="33">
        <v>832</v>
      </c>
      <c r="P842" s="1">
        <v>451</v>
      </c>
      <c r="Q842" s="1">
        <v>47</v>
      </c>
      <c r="R842" s="1">
        <v>841</v>
      </c>
    </row>
    <row r="843" spans="1:18">
      <c r="A843" s="33" t="s">
        <v>1778</v>
      </c>
      <c r="B843" s="1" t="s">
        <v>249</v>
      </c>
      <c r="C843" s="1" t="s">
        <v>1779</v>
      </c>
      <c r="D843" s="33">
        <v>112</v>
      </c>
      <c r="E843" s="33">
        <v>226</v>
      </c>
      <c r="F843" s="33">
        <v>76</v>
      </c>
      <c r="G843" s="33">
        <v>755</v>
      </c>
      <c r="H843" s="33">
        <v>110</v>
      </c>
      <c r="I843" s="33">
        <v>478</v>
      </c>
      <c r="J843" s="33">
        <v>43</v>
      </c>
      <c r="K843" s="33">
        <v>890</v>
      </c>
      <c r="L843" s="33">
        <v>59</v>
      </c>
      <c r="M843" s="33">
        <v>911</v>
      </c>
      <c r="N843" s="33">
        <v>51</v>
      </c>
      <c r="O843" s="33">
        <v>862</v>
      </c>
      <c r="P843" s="1">
        <v>451</v>
      </c>
      <c r="Q843" s="1">
        <v>46</v>
      </c>
      <c r="R843" s="1">
        <v>841</v>
      </c>
    </row>
    <row r="844" spans="1:18">
      <c r="A844" s="33" t="s">
        <v>1780</v>
      </c>
      <c r="B844" s="1" t="s">
        <v>203</v>
      </c>
      <c r="C844" s="1" t="s">
        <v>1781</v>
      </c>
      <c r="D844" s="33">
        <v>104</v>
      </c>
      <c r="E844" s="33">
        <v>573</v>
      </c>
      <c r="F844" s="33">
        <v>60</v>
      </c>
      <c r="G844" s="33">
        <v>885</v>
      </c>
      <c r="H844" s="33">
        <v>92</v>
      </c>
      <c r="I844" s="33">
        <v>809</v>
      </c>
      <c r="J844" s="33">
        <v>56</v>
      </c>
      <c r="K844" s="33">
        <v>731</v>
      </c>
      <c r="L844" s="33">
        <v>67</v>
      </c>
      <c r="M844" s="33">
        <v>837</v>
      </c>
      <c r="N844" s="33">
        <v>70</v>
      </c>
      <c r="O844" s="33">
        <v>380</v>
      </c>
      <c r="P844" s="1">
        <v>449</v>
      </c>
      <c r="Q844" s="1">
        <v>48</v>
      </c>
      <c r="R844" s="1">
        <v>843</v>
      </c>
    </row>
    <row r="845" spans="1:18">
      <c r="A845" s="33" t="s">
        <v>1784</v>
      </c>
      <c r="B845" s="1" t="s">
        <v>84</v>
      </c>
      <c r="C845" s="1" t="s">
        <v>1785</v>
      </c>
      <c r="D845" s="33">
        <v>101</v>
      </c>
      <c r="E845" s="33">
        <v>688</v>
      </c>
      <c r="F845" s="33">
        <v>74</v>
      </c>
      <c r="G845" s="33">
        <v>779</v>
      </c>
      <c r="H845" s="33">
        <v>82.5</v>
      </c>
      <c r="I845" s="33">
        <v>883</v>
      </c>
      <c r="J845" s="33">
        <v>65</v>
      </c>
      <c r="K845" s="33">
        <v>539</v>
      </c>
      <c r="L845" s="33">
        <v>65</v>
      </c>
      <c r="M845" s="33">
        <v>866</v>
      </c>
      <c r="N845" s="33">
        <v>61</v>
      </c>
      <c r="O845" s="33">
        <v>686</v>
      </c>
      <c r="P845" s="1">
        <v>448.5</v>
      </c>
      <c r="Q845" s="1">
        <v>51</v>
      </c>
      <c r="R845" s="1">
        <v>844</v>
      </c>
    </row>
    <row r="846" spans="1:18">
      <c r="A846" s="33" t="s">
        <v>1782</v>
      </c>
      <c r="B846" s="1" t="s">
        <v>84</v>
      </c>
      <c r="C846" s="1" t="s">
        <v>1783</v>
      </c>
      <c r="D846" s="33">
        <v>98</v>
      </c>
      <c r="E846" s="33">
        <v>774</v>
      </c>
      <c r="F846" s="33">
        <v>74</v>
      </c>
      <c r="G846" s="33">
        <v>779</v>
      </c>
      <c r="H846" s="33">
        <v>82.5</v>
      </c>
      <c r="I846" s="33">
        <v>883</v>
      </c>
      <c r="J846" s="33">
        <v>57</v>
      </c>
      <c r="K846" s="33">
        <v>713</v>
      </c>
      <c r="L846" s="33">
        <v>71</v>
      </c>
      <c r="M846" s="33">
        <v>773</v>
      </c>
      <c r="N846" s="33">
        <v>66</v>
      </c>
      <c r="O846" s="33">
        <v>519</v>
      </c>
      <c r="P846" s="1">
        <v>448.5</v>
      </c>
      <c r="Q846" s="1">
        <v>51</v>
      </c>
      <c r="R846" s="1">
        <v>844</v>
      </c>
    </row>
    <row r="847" spans="1:18">
      <c r="A847" s="33" t="s">
        <v>1788</v>
      </c>
      <c r="B847" s="1" t="s">
        <v>203</v>
      </c>
      <c r="C847" s="1" t="s">
        <v>1789</v>
      </c>
      <c r="D847" s="33">
        <v>100</v>
      </c>
      <c r="E847" s="33">
        <v>715</v>
      </c>
      <c r="F847" s="33">
        <v>70</v>
      </c>
      <c r="G847" s="33">
        <v>816</v>
      </c>
      <c r="H847" s="33">
        <v>105</v>
      </c>
      <c r="I847" s="33">
        <v>578</v>
      </c>
      <c r="J847" s="33">
        <v>50</v>
      </c>
      <c r="K847" s="33">
        <v>826</v>
      </c>
      <c r="L847" s="33">
        <v>59</v>
      </c>
      <c r="M847" s="33">
        <v>911</v>
      </c>
      <c r="N847" s="33">
        <v>64</v>
      </c>
      <c r="O847" s="33">
        <v>593</v>
      </c>
      <c r="P847" s="1">
        <v>448</v>
      </c>
      <c r="Q847" s="1">
        <v>49</v>
      </c>
      <c r="R847" s="1">
        <v>846</v>
      </c>
    </row>
    <row r="848" spans="1:18">
      <c r="A848" s="33" t="s">
        <v>1786</v>
      </c>
      <c r="B848" s="1" t="s">
        <v>296</v>
      </c>
      <c r="C848" s="1" t="s">
        <v>1787</v>
      </c>
      <c r="D848" s="33">
        <v>95</v>
      </c>
      <c r="E848" s="33">
        <v>837</v>
      </c>
      <c r="F848" s="33">
        <v>66</v>
      </c>
      <c r="G848" s="33">
        <v>848</v>
      </c>
      <c r="H848" s="33">
        <v>94</v>
      </c>
      <c r="I848" s="33">
        <v>783</v>
      </c>
      <c r="J848" s="33">
        <v>60</v>
      </c>
      <c r="K848" s="33">
        <v>647</v>
      </c>
      <c r="L848" s="33">
        <v>73</v>
      </c>
      <c r="M848" s="33">
        <v>717</v>
      </c>
      <c r="N848" s="33">
        <v>60</v>
      </c>
      <c r="O848" s="33">
        <v>706</v>
      </c>
      <c r="P848" s="1">
        <v>448</v>
      </c>
      <c r="Q848" s="1">
        <v>50</v>
      </c>
      <c r="R848" s="1">
        <v>846</v>
      </c>
    </row>
    <row r="849" spans="1:18">
      <c r="A849" s="33" t="s">
        <v>1794</v>
      </c>
      <c r="B849" s="1" t="s">
        <v>150</v>
      </c>
      <c r="C849" s="1" t="s">
        <v>1795</v>
      </c>
      <c r="D849" s="33">
        <v>98</v>
      </c>
      <c r="E849" s="33">
        <v>774</v>
      </c>
      <c r="F849" s="33">
        <v>98</v>
      </c>
      <c r="G849" s="33">
        <v>459</v>
      </c>
      <c r="H849" s="33">
        <v>77.5</v>
      </c>
      <c r="I849" s="33">
        <v>902</v>
      </c>
      <c r="J849" s="33">
        <v>33</v>
      </c>
      <c r="K849" s="33">
        <v>936</v>
      </c>
      <c r="L849" s="33">
        <v>83</v>
      </c>
      <c r="M849" s="33">
        <v>407</v>
      </c>
      <c r="N849" s="33">
        <v>58</v>
      </c>
      <c r="O849" s="33">
        <v>754</v>
      </c>
      <c r="P849" s="1">
        <v>447.5</v>
      </c>
      <c r="Q849" s="1">
        <v>51</v>
      </c>
      <c r="R849" s="1">
        <v>848</v>
      </c>
    </row>
    <row r="850" spans="1:18">
      <c r="A850" s="33" t="s">
        <v>1790</v>
      </c>
      <c r="B850" s="1" t="s">
        <v>169</v>
      </c>
      <c r="C850" s="1" t="s">
        <v>1791</v>
      </c>
      <c r="D850" s="33">
        <v>104</v>
      </c>
      <c r="E850" s="33">
        <v>573</v>
      </c>
      <c r="F850" s="33">
        <v>81</v>
      </c>
      <c r="G850" s="33">
        <v>689</v>
      </c>
      <c r="H850" s="33">
        <v>99.5</v>
      </c>
      <c r="I850" s="33">
        <v>694</v>
      </c>
      <c r="J850" s="33">
        <v>61</v>
      </c>
      <c r="K850" s="33">
        <v>627</v>
      </c>
      <c r="L850" s="33">
        <v>37</v>
      </c>
      <c r="M850" s="33">
        <v>950</v>
      </c>
      <c r="N850" s="33">
        <v>65</v>
      </c>
      <c r="O850" s="33">
        <v>554</v>
      </c>
      <c r="P850" s="1">
        <v>447.5</v>
      </c>
      <c r="Q850" s="1">
        <v>48</v>
      </c>
      <c r="R850" s="1">
        <v>848</v>
      </c>
    </row>
    <row r="851" spans="1:18">
      <c r="A851" s="33" t="s">
        <v>1792</v>
      </c>
      <c r="B851" s="1" t="s">
        <v>172</v>
      </c>
      <c r="C851" s="1" t="s">
        <v>1793</v>
      </c>
      <c r="D851" s="33">
        <v>105</v>
      </c>
      <c r="E851" s="33">
        <v>515</v>
      </c>
      <c r="F851" s="33">
        <v>69</v>
      </c>
      <c r="G851" s="33">
        <v>828</v>
      </c>
      <c r="H851" s="33">
        <v>75.5</v>
      </c>
      <c r="I851" s="33">
        <v>913</v>
      </c>
      <c r="J851" s="33">
        <v>54</v>
      </c>
      <c r="K851" s="33">
        <v>766</v>
      </c>
      <c r="L851" s="33">
        <v>74</v>
      </c>
      <c r="M851" s="33">
        <v>702</v>
      </c>
      <c r="N851" s="33">
        <v>70</v>
      </c>
      <c r="O851" s="33">
        <v>380</v>
      </c>
      <c r="P851" s="1">
        <v>447.5</v>
      </c>
      <c r="Q851" s="1">
        <v>50</v>
      </c>
      <c r="R851" s="1">
        <v>848</v>
      </c>
    </row>
    <row r="852" spans="1:18">
      <c r="A852" s="33" t="s">
        <v>1796</v>
      </c>
      <c r="B852" s="1" t="s">
        <v>84</v>
      </c>
      <c r="C852" s="1" t="s">
        <v>1797</v>
      </c>
      <c r="D852" s="33">
        <v>92</v>
      </c>
      <c r="E852" s="33">
        <v>882</v>
      </c>
      <c r="F852" s="33">
        <v>83</v>
      </c>
      <c r="G852" s="33">
        <v>668</v>
      </c>
      <c r="H852" s="33">
        <v>89</v>
      </c>
      <c r="I852" s="33">
        <v>841</v>
      </c>
      <c r="J852" s="33">
        <v>55</v>
      </c>
      <c r="K852" s="33">
        <v>748</v>
      </c>
      <c r="L852" s="33">
        <v>53</v>
      </c>
      <c r="M852" s="33">
        <v>939</v>
      </c>
      <c r="N852" s="33">
        <v>75</v>
      </c>
      <c r="O852" s="33">
        <v>219</v>
      </c>
      <c r="P852" s="1">
        <v>447</v>
      </c>
      <c r="Q852" s="1">
        <v>53</v>
      </c>
      <c r="R852" s="1">
        <v>851</v>
      </c>
    </row>
    <row r="853" spans="1:18">
      <c r="A853" s="33" t="s">
        <v>1798</v>
      </c>
      <c r="B853" s="1" t="s">
        <v>172</v>
      </c>
      <c r="C853" s="1" t="s">
        <v>1799</v>
      </c>
      <c r="D853" s="33">
        <v>106</v>
      </c>
      <c r="E853" s="33">
        <v>477</v>
      </c>
      <c r="F853" s="33">
        <v>62</v>
      </c>
      <c r="G853" s="33">
        <v>870</v>
      </c>
      <c r="H853" s="33">
        <v>88.5</v>
      </c>
      <c r="I853" s="33">
        <v>848</v>
      </c>
      <c r="J853" s="33">
        <v>41</v>
      </c>
      <c r="K853" s="33">
        <v>902</v>
      </c>
      <c r="L853" s="33">
        <v>81</v>
      </c>
      <c r="M853" s="33">
        <v>474</v>
      </c>
      <c r="N853" s="33">
        <v>67</v>
      </c>
      <c r="O853" s="33">
        <v>489</v>
      </c>
      <c r="P853" s="1">
        <v>445.5</v>
      </c>
      <c r="Q853" s="1">
        <v>51</v>
      </c>
      <c r="R853" s="1">
        <v>852</v>
      </c>
    </row>
    <row r="854" spans="1:18">
      <c r="A854" s="33" t="s">
        <v>1800</v>
      </c>
      <c r="B854" s="1" t="s">
        <v>169</v>
      </c>
      <c r="C854" s="1" t="s">
        <v>1801</v>
      </c>
      <c r="D854" s="33">
        <v>103</v>
      </c>
      <c r="E854" s="33">
        <v>606</v>
      </c>
      <c r="F854" s="33">
        <v>77</v>
      </c>
      <c r="G854" s="33">
        <v>742</v>
      </c>
      <c r="H854" s="33">
        <v>93.5</v>
      </c>
      <c r="I854" s="33">
        <v>790</v>
      </c>
      <c r="J854" s="33">
        <v>50</v>
      </c>
      <c r="K854" s="33">
        <v>826</v>
      </c>
      <c r="L854" s="33">
        <v>61</v>
      </c>
      <c r="M854" s="33">
        <v>901</v>
      </c>
      <c r="N854" s="33">
        <v>60</v>
      </c>
      <c r="O854" s="33">
        <v>706</v>
      </c>
      <c r="P854" s="1">
        <v>444.5</v>
      </c>
      <c r="Q854" s="1">
        <v>49</v>
      </c>
      <c r="R854" s="1">
        <v>853</v>
      </c>
    </row>
    <row r="855" spans="1:18">
      <c r="A855" s="33" t="s">
        <v>1806</v>
      </c>
      <c r="B855" s="1" t="s">
        <v>150</v>
      </c>
      <c r="C855" s="1" t="s">
        <v>1807</v>
      </c>
      <c r="D855" s="33">
        <v>85</v>
      </c>
      <c r="E855" s="33">
        <v>930</v>
      </c>
      <c r="F855" s="33">
        <v>100</v>
      </c>
      <c r="G855" s="33">
        <v>422</v>
      </c>
      <c r="H855" s="33">
        <v>83.5</v>
      </c>
      <c r="I855" s="33">
        <v>877</v>
      </c>
      <c r="J855" s="33">
        <v>49</v>
      </c>
      <c r="K855" s="33">
        <v>842</v>
      </c>
      <c r="L855" s="33">
        <v>77</v>
      </c>
      <c r="M855" s="33">
        <v>608</v>
      </c>
      <c r="N855" s="33">
        <v>49</v>
      </c>
      <c r="O855" s="33">
        <v>883</v>
      </c>
      <c r="P855" s="1">
        <v>443.5</v>
      </c>
      <c r="Q855" s="1">
        <v>52</v>
      </c>
      <c r="R855" s="1">
        <v>854</v>
      </c>
    </row>
    <row r="856" spans="1:18">
      <c r="A856" s="33" t="s">
        <v>1808</v>
      </c>
      <c r="B856" s="1" t="s">
        <v>92</v>
      </c>
      <c r="C856" s="1" t="s">
        <v>1809</v>
      </c>
      <c r="D856" s="33">
        <v>63</v>
      </c>
      <c r="E856" s="33">
        <v>949</v>
      </c>
      <c r="F856" s="33">
        <v>83</v>
      </c>
      <c r="G856" s="33">
        <v>668</v>
      </c>
      <c r="H856" s="33">
        <v>107.5</v>
      </c>
      <c r="I856" s="33">
        <v>532</v>
      </c>
      <c r="J856" s="33">
        <v>51</v>
      </c>
      <c r="K856" s="33">
        <v>812</v>
      </c>
      <c r="L856" s="33">
        <v>79</v>
      </c>
      <c r="M856" s="33">
        <v>539</v>
      </c>
      <c r="N856" s="33">
        <v>60</v>
      </c>
      <c r="O856" s="33">
        <v>706</v>
      </c>
      <c r="P856" s="1">
        <v>443.5</v>
      </c>
      <c r="Q856" s="1">
        <v>50</v>
      </c>
      <c r="R856" s="1">
        <v>854</v>
      </c>
    </row>
    <row r="857" spans="1:18">
      <c r="A857" s="33" t="s">
        <v>1804</v>
      </c>
      <c r="B857" s="1" t="s">
        <v>210</v>
      </c>
      <c r="C857" s="1" t="s">
        <v>1805</v>
      </c>
      <c r="D857" s="33">
        <v>74</v>
      </c>
      <c r="E857" s="33">
        <v>943</v>
      </c>
      <c r="F857" s="33">
        <v>80</v>
      </c>
      <c r="G857" s="33">
        <v>700</v>
      </c>
      <c r="H857" s="33">
        <v>59.5</v>
      </c>
      <c r="I857" s="33">
        <v>943</v>
      </c>
      <c r="J857" s="33">
        <v>64</v>
      </c>
      <c r="K857" s="33">
        <v>559</v>
      </c>
      <c r="L857" s="33">
        <v>91</v>
      </c>
      <c r="M857" s="33">
        <v>151</v>
      </c>
      <c r="N857" s="33">
        <v>75</v>
      </c>
      <c r="O857" s="33">
        <v>219</v>
      </c>
      <c r="P857" s="1">
        <v>443.5</v>
      </c>
      <c r="Q857" s="1">
        <v>53</v>
      </c>
      <c r="R857" s="1">
        <v>854</v>
      </c>
    </row>
    <row r="858" spans="1:18">
      <c r="A858" s="33" t="s">
        <v>1802</v>
      </c>
      <c r="B858" s="1" t="s">
        <v>111</v>
      </c>
      <c r="C858" s="1" t="s">
        <v>1803</v>
      </c>
      <c r="D858" s="33">
        <v>102</v>
      </c>
      <c r="E858" s="33">
        <v>655</v>
      </c>
      <c r="F858" s="33">
        <v>61</v>
      </c>
      <c r="G858" s="33">
        <v>874</v>
      </c>
      <c r="H858" s="33">
        <v>109.5</v>
      </c>
      <c r="I858" s="33">
        <v>490</v>
      </c>
      <c r="J858" s="33">
        <v>60</v>
      </c>
      <c r="K858" s="33">
        <v>647</v>
      </c>
      <c r="L858" s="33">
        <v>71</v>
      </c>
      <c r="M858" s="33">
        <v>773</v>
      </c>
      <c r="N858" s="33">
        <v>40</v>
      </c>
      <c r="O858" s="33">
        <v>935</v>
      </c>
      <c r="P858" s="1">
        <v>443.5</v>
      </c>
      <c r="Q858" s="1">
        <v>46</v>
      </c>
      <c r="R858" s="1">
        <v>854</v>
      </c>
    </row>
    <row r="859" spans="1:18">
      <c r="A859" s="33" t="s">
        <v>1810</v>
      </c>
      <c r="B859" s="1" t="s">
        <v>203</v>
      </c>
      <c r="C859" s="1" t="s">
        <v>1811</v>
      </c>
      <c r="D859" s="33">
        <v>100</v>
      </c>
      <c r="E859" s="33">
        <v>715</v>
      </c>
      <c r="F859" s="33">
        <v>76</v>
      </c>
      <c r="G859" s="33">
        <v>755</v>
      </c>
      <c r="H859" s="33">
        <v>101</v>
      </c>
      <c r="I859" s="33">
        <v>661</v>
      </c>
      <c r="J859" s="33">
        <v>45</v>
      </c>
      <c r="K859" s="33">
        <v>878</v>
      </c>
      <c r="L859" s="33">
        <v>71</v>
      </c>
      <c r="M859" s="33">
        <v>773</v>
      </c>
      <c r="N859" s="33">
        <v>50</v>
      </c>
      <c r="O859" s="33">
        <v>873</v>
      </c>
      <c r="P859" s="1">
        <v>443</v>
      </c>
      <c r="Q859" s="1">
        <v>50</v>
      </c>
      <c r="R859" s="1">
        <v>858</v>
      </c>
    </row>
    <row r="860" spans="1:18">
      <c r="A860" s="33" t="s">
        <v>1812</v>
      </c>
      <c r="B860" s="1" t="s">
        <v>210</v>
      </c>
      <c r="C860" s="1" t="s">
        <v>1813</v>
      </c>
      <c r="D860" s="33">
        <v>100</v>
      </c>
      <c r="E860" s="33">
        <v>715</v>
      </c>
      <c r="F860" s="33">
        <v>65</v>
      </c>
      <c r="G860" s="33">
        <v>854</v>
      </c>
      <c r="H860" s="33">
        <v>114.5</v>
      </c>
      <c r="I860" s="33">
        <v>340</v>
      </c>
      <c r="J860" s="33">
        <v>59</v>
      </c>
      <c r="K860" s="33">
        <v>672</v>
      </c>
      <c r="L860" s="33">
        <v>47</v>
      </c>
      <c r="M860" s="33">
        <v>948</v>
      </c>
      <c r="N860" s="33">
        <v>57</v>
      </c>
      <c r="O860" s="33">
        <v>770</v>
      </c>
      <c r="P860" s="1">
        <v>442.5</v>
      </c>
      <c r="Q860" s="1">
        <v>54</v>
      </c>
      <c r="R860" s="1">
        <v>859</v>
      </c>
    </row>
    <row r="861" spans="1:18">
      <c r="A861" s="33" t="s">
        <v>1814</v>
      </c>
      <c r="B861" s="1" t="s">
        <v>240</v>
      </c>
      <c r="C861" s="1" t="s">
        <v>40</v>
      </c>
      <c r="D861" s="33">
        <v>99</v>
      </c>
      <c r="E861" s="33">
        <v>754</v>
      </c>
      <c r="F861" s="33">
        <v>73</v>
      </c>
      <c r="G861" s="33">
        <v>789</v>
      </c>
      <c r="H861" s="33">
        <v>102</v>
      </c>
      <c r="I861" s="33">
        <v>642</v>
      </c>
      <c r="J861" s="33">
        <v>48</v>
      </c>
      <c r="K861" s="33">
        <v>854</v>
      </c>
      <c r="L861" s="33">
        <v>62</v>
      </c>
      <c r="M861" s="33">
        <v>895</v>
      </c>
      <c r="N861" s="33">
        <v>58</v>
      </c>
      <c r="O861" s="33">
        <v>754</v>
      </c>
      <c r="P861" s="1">
        <v>442</v>
      </c>
      <c r="Q861" s="1">
        <v>53</v>
      </c>
      <c r="R861" s="1">
        <v>860</v>
      </c>
    </row>
    <row r="862" spans="1:18">
      <c r="A862" s="33" t="s">
        <v>1815</v>
      </c>
      <c r="B862" s="1" t="s">
        <v>106</v>
      </c>
      <c r="C862" s="1" t="s">
        <v>1816</v>
      </c>
      <c r="D862" s="33">
        <v>97</v>
      </c>
      <c r="E862" s="33">
        <v>795</v>
      </c>
      <c r="F862" s="33">
        <v>49</v>
      </c>
      <c r="G862" s="33">
        <v>928</v>
      </c>
      <c r="H862" s="33">
        <v>106.5</v>
      </c>
      <c r="I862" s="33">
        <v>554</v>
      </c>
      <c r="J862" s="33">
        <v>68</v>
      </c>
      <c r="K862" s="33">
        <v>474</v>
      </c>
      <c r="L862" s="33">
        <v>68</v>
      </c>
      <c r="M862" s="33">
        <v>824</v>
      </c>
      <c r="N862" s="33">
        <v>53</v>
      </c>
      <c r="O862" s="33">
        <v>832</v>
      </c>
      <c r="P862" s="1">
        <v>441.5</v>
      </c>
      <c r="Q862" s="1">
        <v>47</v>
      </c>
      <c r="R862" s="1">
        <v>861</v>
      </c>
    </row>
    <row r="863" spans="1:18">
      <c r="A863" s="33" t="s">
        <v>1817</v>
      </c>
      <c r="B863" s="1" t="s">
        <v>111</v>
      </c>
      <c r="C863" s="1" t="s">
        <v>1818</v>
      </c>
      <c r="D863" s="33">
        <v>102</v>
      </c>
      <c r="E863" s="33">
        <v>655</v>
      </c>
      <c r="F863" s="33">
        <v>55</v>
      </c>
      <c r="G863" s="33">
        <v>911</v>
      </c>
      <c r="H863" s="33">
        <v>111</v>
      </c>
      <c r="I863" s="33">
        <v>445</v>
      </c>
      <c r="J863" s="33">
        <v>65</v>
      </c>
      <c r="K863" s="33">
        <v>539</v>
      </c>
      <c r="L863" s="33">
        <v>68</v>
      </c>
      <c r="M863" s="33">
        <v>824</v>
      </c>
      <c r="N863" s="33">
        <v>40</v>
      </c>
      <c r="O863" s="33">
        <v>935</v>
      </c>
      <c r="P863" s="1">
        <v>441</v>
      </c>
      <c r="Q863" s="1">
        <v>47</v>
      </c>
      <c r="R863" s="1">
        <v>862</v>
      </c>
    </row>
    <row r="864" spans="1:18">
      <c r="A864" s="33" t="s">
        <v>1819</v>
      </c>
      <c r="B864" s="1" t="s">
        <v>172</v>
      </c>
      <c r="C864" s="1" t="s">
        <v>1820</v>
      </c>
      <c r="D864" s="33">
        <v>108</v>
      </c>
      <c r="E864" s="33">
        <v>391</v>
      </c>
      <c r="F864" s="33">
        <v>41</v>
      </c>
      <c r="G864" s="33">
        <v>945</v>
      </c>
      <c r="H864" s="33">
        <v>111.5</v>
      </c>
      <c r="I864" s="33">
        <v>427</v>
      </c>
      <c r="J864" s="33">
        <v>55</v>
      </c>
      <c r="K864" s="33">
        <v>748</v>
      </c>
      <c r="L864" s="33">
        <v>71</v>
      </c>
      <c r="M864" s="33">
        <v>773</v>
      </c>
      <c r="N864" s="33">
        <v>54</v>
      </c>
      <c r="O864" s="33">
        <v>817</v>
      </c>
      <c r="P864" s="1">
        <v>440.5</v>
      </c>
      <c r="Q864" s="1">
        <v>52</v>
      </c>
      <c r="R864" s="1">
        <v>863</v>
      </c>
    </row>
    <row r="865" spans="1:18">
      <c r="A865" s="33" t="s">
        <v>1821</v>
      </c>
      <c r="B865" s="1" t="s">
        <v>106</v>
      </c>
      <c r="C865" s="1" t="s">
        <v>1822</v>
      </c>
      <c r="D865" s="33">
        <v>109</v>
      </c>
      <c r="E865" s="33">
        <v>353</v>
      </c>
      <c r="F865" s="33">
        <v>66</v>
      </c>
      <c r="G865" s="33">
        <v>848</v>
      </c>
      <c r="H865" s="33">
        <v>103</v>
      </c>
      <c r="I865" s="33">
        <v>630</v>
      </c>
      <c r="J865" s="33">
        <v>54</v>
      </c>
      <c r="K865" s="33">
        <v>766</v>
      </c>
      <c r="L865" s="33">
        <v>68</v>
      </c>
      <c r="M865" s="33">
        <v>824</v>
      </c>
      <c r="N865" s="33">
        <v>40</v>
      </c>
      <c r="O865" s="33">
        <v>935</v>
      </c>
      <c r="P865" s="1">
        <v>440</v>
      </c>
      <c r="Q865" s="1">
        <v>48</v>
      </c>
      <c r="R865" s="1">
        <v>864</v>
      </c>
    </row>
    <row r="866" spans="1:18">
      <c r="A866" s="33" t="s">
        <v>1823</v>
      </c>
      <c r="B866" s="1" t="s">
        <v>133</v>
      </c>
      <c r="C866" s="1" t="s">
        <v>1824</v>
      </c>
      <c r="D866" s="33">
        <v>105</v>
      </c>
      <c r="E866" s="33">
        <v>515</v>
      </c>
      <c r="F866" s="33">
        <v>43</v>
      </c>
      <c r="G866" s="33">
        <v>943</v>
      </c>
      <c r="H866" s="33">
        <v>105</v>
      </c>
      <c r="I866" s="33">
        <v>578</v>
      </c>
      <c r="J866" s="33">
        <v>48</v>
      </c>
      <c r="K866" s="33">
        <v>854</v>
      </c>
      <c r="L866" s="33">
        <v>78</v>
      </c>
      <c r="M866" s="33">
        <v>577</v>
      </c>
      <c r="N866" s="33">
        <v>61</v>
      </c>
      <c r="O866" s="33">
        <v>686</v>
      </c>
      <c r="P866" s="1">
        <v>440</v>
      </c>
      <c r="Q866" s="1">
        <v>54</v>
      </c>
      <c r="R866" s="1">
        <v>864</v>
      </c>
    </row>
    <row r="867" spans="1:18">
      <c r="A867" s="33" t="s">
        <v>1825</v>
      </c>
      <c r="B867" s="1" t="s">
        <v>92</v>
      </c>
      <c r="C867" s="1" t="s">
        <v>1826</v>
      </c>
      <c r="D867" s="33">
        <v>109</v>
      </c>
      <c r="E867" s="33">
        <v>353</v>
      </c>
      <c r="F867" s="33">
        <v>65</v>
      </c>
      <c r="G867" s="33">
        <v>854</v>
      </c>
      <c r="H867" s="33">
        <v>112.5</v>
      </c>
      <c r="I867" s="33">
        <v>401</v>
      </c>
      <c r="J867" s="33">
        <v>31</v>
      </c>
      <c r="K867" s="33">
        <v>941</v>
      </c>
      <c r="L867" s="33">
        <v>62</v>
      </c>
      <c r="M867" s="33">
        <v>895</v>
      </c>
      <c r="N867" s="33">
        <v>60</v>
      </c>
      <c r="O867" s="33">
        <v>706</v>
      </c>
      <c r="P867" s="1">
        <v>439.5</v>
      </c>
      <c r="Q867" s="1">
        <v>51</v>
      </c>
      <c r="R867" s="1">
        <v>866</v>
      </c>
    </row>
    <row r="868" spans="1:18">
      <c r="A868" s="33" t="s">
        <v>1827</v>
      </c>
      <c r="B868" s="1" t="s">
        <v>92</v>
      </c>
      <c r="C868" s="1" t="s">
        <v>1828</v>
      </c>
      <c r="D868" s="33">
        <v>93</v>
      </c>
      <c r="E868" s="33">
        <v>868</v>
      </c>
      <c r="F868" s="33">
        <v>61</v>
      </c>
      <c r="G868" s="33">
        <v>874</v>
      </c>
      <c r="H868" s="33">
        <v>79.5</v>
      </c>
      <c r="I868" s="33">
        <v>897</v>
      </c>
      <c r="J868" s="33">
        <v>64</v>
      </c>
      <c r="K868" s="33">
        <v>559</v>
      </c>
      <c r="L868" s="33">
        <v>79</v>
      </c>
      <c r="M868" s="33">
        <v>539</v>
      </c>
      <c r="N868" s="33">
        <v>63</v>
      </c>
      <c r="O868" s="33">
        <v>625</v>
      </c>
      <c r="P868" s="1">
        <v>439.5</v>
      </c>
      <c r="Q868" s="1">
        <v>51</v>
      </c>
      <c r="R868" s="1">
        <v>866</v>
      </c>
    </row>
    <row r="869" spans="1:18">
      <c r="A869" s="33" t="s">
        <v>1829</v>
      </c>
      <c r="B869" s="1" t="s">
        <v>133</v>
      </c>
      <c r="C869" s="1" t="s">
        <v>1830</v>
      </c>
      <c r="D869" s="33">
        <v>100</v>
      </c>
      <c r="E869" s="33">
        <v>715</v>
      </c>
      <c r="F869" s="33">
        <v>58</v>
      </c>
      <c r="G869" s="33">
        <v>894</v>
      </c>
      <c r="H869" s="33">
        <v>81.5</v>
      </c>
      <c r="I869" s="33">
        <v>886</v>
      </c>
      <c r="J869" s="33">
        <v>66</v>
      </c>
      <c r="K869" s="33">
        <v>513</v>
      </c>
      <c r="L869" s="33">
        <v>70</v>
      </c>
      <c r="M869" s="33">
        <v>787</v>
      </c>
      <c r="N869" s="33">
        <v>64</v>
      </c>
      <c r="O869" s="33">
        <v>593</v>
      </c>
      <c r="P869" s="1">
        <v>439.5</v>
      </c>
      <c r="Q869" s="1">
        <v>55</v>
      </c>
      <c r="R869" s="1">
        <v>866</v>
      </c>
    </row>
    <row r="870" spans="1:18">
      <c r="A870" s="33" t="s">
        <v>1831</v>
      </c>
      <c r="B870" s="1" t="s">
        <v>84</v>
      </c>
      <c r="C870" s="1" t="s">
        <v>1832</v>
      </c>
      <c r="D870" s="33">
        <v>102</v>
      </c>
      <c r="E870" s="33">
        <v>655</v>
      </c>
      <c r="F870" s="33">
        <v>48</v>
      </c>
      <c r="G870" s="33">
        <v>930</v>
      </c>
      <c r="H870" s="33">
        <v>116.5</v>
      </c>
      <c r="I870" s="33">
        <v>298</v>
      </c>
      <c r="J870" s="33">
        <v>37</v>
      </c>
      <c r="K870" s="33">
        <v>921</v>
      </c>
      <c r="L870" s="33">
        <v>79</v>
      </c>
      <c r="M870" s="33">
        <v>539</v>
      </c>
      <c r="N870" s="33">
        <v>57</v>
      </c>
      <c r="O870" s="33">
        <v>770</v>
      </c>
      <c r="P870" s="1">
        <v>439.5</v>
      </c>
      <c r="Q870" s="1">
        <v>54</v>
      </c>
      <c r="R870" s="1">
        <v>866</v>
      </c>
    </row>
    <row r="871" spans="1:18">
      <c r="A871" s="33" t="s">
        <v>1833</v>
      </c>
      <c r="B871" s="1" t="s">
        <v>97</v>
      </c>
      <c r="C871" s="1" t="s">
        <v>1834</v>
      </c>
      <c r="D871" s="33">
        <v>98</v>
      </c>
      <c r="E871" s="33">
        <v>774</v>
      </c>
      <c r="F871" s="33">
        <v>58</v>
      </c>
      <c r="G871" s="33">
        <v>894</v>
      </c>
      <c r="H871" s="33">
        <v>91</v>
      </c>
      <c r="I871" s="33">
        <v>817</v>
      </c>
      <c r="J871" s="33">
        <v>57</v>
      </c>
      <c r="K871" s="33">
        <v>713</v>
      </c>
      <c r="L871" s="33">
        <v>78</v>
      </c>
      <c r="M871" s="33">
        <v>577</v>
      </c>
      <c r="N871" s="33">
        <v>56</v>
      </c>
      <c r="O871" s="33">
        <v>789</v>
      </c>
      <c r="P871" s="1">
        <v>438</v>
      </c>
      <c r="Q871" s="1">
        <v>51</v>
      </c>
      <c r="R871" s="1">
        <v>870</v>
      </c>
    </row>
    <row r="872" spans="1:18">
      <c r="A872" s="33" t="s">
        <v>1837</v>
      </c>
      <c r="B872" s="1" t="s">
        <v>172</v>
      </c>
      <c r="C872" s="1" t="s">
        <v>1838</v>
      </c>
      <c r="D872" s="33">
        <v>100</v>
      </c>
      <c r="E872" s="33">
        <v>715</v>
      </c>
      <c r="F872" s="33">
        <v>61</v>
      </c>
      <c r="G872" s="33">
        <v>874</v>
      </c>
      <c r="H872" s="33">
        <v>100.5</v>
      </c>
      <c r="I872" s="33">
        <v>675</v>
      </c>
      <c r="J872" s="33">
        <v>64</v>
      </c>
      <c r="K872" s="33">
        <v>559</v>
      </c>
      <c r="L872" s="33">
        <v>64</v>
      </c>
      <c r="M872" s="33">
        <v>881</v>
      </c>
      <c r="N872" s="33">
        <v>48</v>
      </c>
      <c r="O872" s="33">
        <v>893</v>
      </c>
      <c r="P872" s="1">
        <v>437.5</v>
      </c>
      <c r="Q872" s="1">
        <v>53</v>
      </c>
      <c r="R872" s="1">
        <v>871</v>
      </c>
    </row>
    <row r="873" spans="1:18">
      <c r="A873" s="33" t="s">
        <v>1835</v>
      </c>
      <c r="B873" s="1" t="s">
        <v>106</v>
      </c>
      <c r="C873" s="1" t="s">
        <v>1836</v>
      </c>
      <c r="D873" s="33">
        <v>118</v>
      </c>
      <c r="E873" s="33">
        <v>69</v>
      </c>
      <c r="F873" s="33">
        <v>44</v>
      </c>
      <c r="G873" s="33">
        <v>940</v>
      </c>
      <c r="H873" s="33">
        <v>95.5</v>
      </c>
      <c r="I873" s="33">
        <v>769</v>
      </c>
      <c r="J873" s="33">
        <v>63</v>
      </c>
      <c r="K873" s="33">
        <v>581</v>
      </c>
      <c r="L873" s="33">
        <v>79</v>
      </c>
      <c r="M873" s="33">
        <v>539</v>
      </c>
      <c r="N873" s="33">
        <v>38</v>
      </c>
      <c r="O873" s="33">
        <v>943</v>
      </c>
      <c r="P873" s="1">
        <v>437.5</v>
      </c>
      <c r="Q873" s="1">
        <v>49</v>
      </c>
      <c r="R873" s="1">
        <v>871</v>
      </c>
    </row>
    <row r="874" spans="1:18">
      <c r="A874" s="33" t="s">
        <v>1839</v>
      </c>
      <c r="B874" s="1" t="s">
        <v>111</v>
      </c>
      <c r="C874" s="1" t="s">
        <v>1840</v>
      </c>
      <c r="D874" s="33">
        <v>102</v>
      </c>
      <c r="E874" s="33">
        <v>655</v>
      </c>
      <c r="F874" s="33">
        <v>63</v>
      </c>
      <c r="G874" s="33">
        <v>862</v>
      </c>
      <c r="H874" s="33">
        <v>90</v>
      </c>
      <c r="I874" s="33">
        <v>829</v>
      </c>
      <c r="J874" s="33">
        <v>53</v>
      </c>
      <c r="K874" s="33">
        <v>786</v>
      </c>
      <c r="L874" s="33">
        <v>70</v>
      </c>
      <c r="M874" s="33">
        <v>787</v>
      </c>
      <c r="N874" s="33">
        <v>59</v>
      </c>
      <c r="O874" s="33">
        <v>729</v>
      </c>
      <c r="P874" s="1">
        <v>437</v>
      </c>
      <c r="Q874" s="1">
        <v>48</v>
      </c>
      <c r="R874" s="1">
        <v>873</v>
      </c>
    </row>
    <row r="875" spans="1:18">
      <c r="A875" s="33" t="s">
        <v>1845</v>
      </c>
      <c r="B875" s="1" t="s">
        <v>97</v>
      </c>
      <c r="C875" s="1" t="s">
        <v>1846</v>
      </c>
      <c r="D875" s="33">
        <v>89</v>
      </c>
      <c r="E875" s="33">
        <v>909</v>
      </c>
      <c r="F875" s="33">
        <v>71</v>
      </c>
      <c r="G875" s="33">
        <v>809</v>
      </c>
      <c r="H875" s="33">
        <v>113.5</v>
      </c>
      <c r="I875" s="33">
        <v>374</v>
      </c>
      <c r="J875" s="33">
        <v>28</v>
      </c>
      <c r="K875" s="33">
        <v>946</v>
      </c>
      <c r="L875" s="33">
        <v>72</v>
      </c>
      <c r="M875" s="33">
        <v>751</v>
      </c>
      <c r="N875" s="33">
        <v>63</v>
      </c>
      <c r="O875" s="33">
        <v>625</v>
      </c>
      <c r="P875" s="1">
        <v>436.5</v>
      </c>
      <c r="Q875" s="1">
        <v>52</v>
      </c>
      <c r="R875" s="1">
        <v>874</v>
      </c>
    </row>
    <row r="876" spans="1:18">
      <c r="A876" s="33" t="s">
        <v>1843</v>
      </c>
      <c r="B876" s="1" t="s">
        <v>133</v>
      </c>
      <c r="C876" s="1" t="s">
        <v>1844</v>
      </c>
      <c r="D876" s="33">
        <v>91</v>
      </c>
      <c r="E876" s="33">
        <v>890</v>
      </c>
      <c r="F876" s="33">
        <v>67</v>
      </c>
      <c r="G876" s="33">
        <v>840</v>
      </c>
      <c r="H876" s="33">
        <v>94.5</v>
      </c>
      <c r="I876" s="33">
        <v>779</v>
      </c>
      <c r="J876" s="33">
        <v>43</v>
      </c>
      <c r="K876" s="33">
        <v>890</v>
      </c>
      <c r="L876" s="33">
        <v>77</v>
      </c>
      <c r="M876" s="33">
        <v>608</v>
      </c>
      <c r="N876" s="33">
        <v>64</v>
      </c>
      <c r="O876" s="33">
        <v>593</v>
      </c>
      <c r="P876" s="1">
        <v>436.5</v>
      </c>
      <c r="Q876" s="1">
        <v>56</v>
      </c>
      <c r="R876" s="1">
        <v>874</v>
      </c>
    </row>
    <row r="877" spans="1:18">
      <c r="A877" s="33" t="s">
        <v>1841</v>
      </c>
      <c r="B877" s="1" t="s">
        <v>106</v>
      </c>
      <c r="C877" s="1" t="s">
        <v>1842</v>
      </c>
      <c r="D877" s="33">
        <v>117</v>
      </c>
      <c r="E877" s="33">
        <v>86</v>
      </c>
      <c r="F877" s="33">
        <v>41</v>
      </c>
      <c r="G877" s="33">
        <v>945</v>
      </c>
      <c r="H877" s="33">
        <v>92.5</v>
      </c>
      <c r="I877" s="33">
        <v>801</v>
      </c>
      <c r="J877" s="33">
        <v>64</v>
      </c>
      <c r="K877" s="33">
        <v>559</v>
      </c>
      <c r="L877" s="33">
        <v>70</v>
      </c>
      <c r="M877" s="33">
        <v>787</v>
      </c>
      <c r="N877" s="33">
        <v>52</v>
      </c>
      <c r="O877" s="33">
        <v>849</v>
      </c>
      <c r="P877" s="1">
        <v>436.5</v>
      </c>
      <c r="Q877" s="1">
        <v>50</v>
      </c>
      <c r="R877" s="1">
        <v>874</v>
      </c>
    </row>
    <row r="878" spans="1:18">
      <c r="A878" s="33" t="s">
        <v>1847</v>
      </c>
      <c r="B878" s="1" t="s">
        <v>172</v>
      </c>
      <c r="C878" s="1" t="s">
        <v>1848</v>
      </c>
      <c r="D878" s="33">
        <v>100</v>
      </c>
      <c r="E878" s="33">
        <v>715</v>
      </c>
      <c r="F878" s="33">
        <v>63</v>
      </c>
      <c r="G878" s="33">
        <v>862</v>
      </c>
      <c r="H878" s="33">
        <v>103.5</v>
      </c>
      <c r="I878" s="33">
        <v>612</v>
      </c>
      <c r="J878" s="33">
        <v>46</v>
      </c>
      <c r="K878" s="33">
        <v>875</v>
      </c>
      <c r="L878" s="33">
        <v>72</v>
      </c>
      <c r="M878" s="33">
        <v>751</v>
      </c>
      <c r="N878" s="33">
        <v>51</v>
      </c>
      <c r="O878" s="33">
        <v>862</v>
      </c>
      <c r="P878" s="1">
        <v>435.5</v>
      </c>
      <c r="Q878" s="1">
        <v>54</v>
      </c>
      <c r="R878" s="1">
        <v>877</v>
      </c>
    </row>
    <row r="879" spans="1:18">
      <c r="A879" s="33" t="s">
        <v>1851</v>
      </c>
      <c r="B879" s="1" t="s">
        <v>84</v>
      </c>
      <c r="C879" s="1" t="s">
        <v>1852</v>
      </c>
      <c r="D879" s="33">
        <v>109</v>
      </c>
      <c r="E879" s="33">
        <v>353</v>
      </c>
      <c r="F879" s="33">
        <v>54</v>
      </c>
      <c r="G879" s="33">
        <v>915</v>
      </c>
      <c r="H879" s="33">
        <v>108.5</v>
      </c>
      <c r="I879" s="33">
        <v>508</v>
      </c>
      <c r="J879" s="33">
        <v>45</v>
      </c>
      <c r="K879" s="33">
        <v>878</v>
      </c>
      <c r="L879" s="33">
        <v>59</v>
      </c>
      <c r="M879" s="33">
        <v>911</v>
      </c>
      <c r="N879" s="33">
        <v>59</v>
      </c>
      <c r="O879" s="33">
        <v>729</v>
      </c>
      <c r="P879" s="1">
        <v>434.5</v>
      </c>
      <c r="Q879" s="1">
        <v>55</v>
      </c>
      <c r="R879" s="1">
        <v>878</v>
      </c>
    </row>
    <row r="880" spans="1:18">
      <c r="A880" s="33" t="s">
        <v>1849</v>
      </c>
      <c r="B880" s="1" t="s">
        <v>111</v>
      </c>
      <c r="C880" s="1" t="s">
        <v>1850</v>
      </c>
      <c r="D880" s="33">
        <v>97</v>
      </c>
      <c r="E880" s="33">
        <v>795</v>
      </c>
      <c r="F880" s="33">
        <v>53</v>
      </c>
      <c r="G880" s="33">
        <v>917</v>
      </c>
      <c r="H880" s="33">
        <v>99.5</v>
      </c>
      <c r="I880" s="33">
        <v>694</v>
      </c>
      <c r="J880" s="33">
        <v>64</v>
      </c>
      <c r="K880" s="33">
        <v>559</v>
      </c>
      <c r="L880" s="33">
        <v>75</v>
      </c>
      <c r="M880" s="33">
        <v>671</v>
      </c>
      <c r="N880" s="33">
        <v>46</v>
      </c>
      <c r="O880" s="33">
        <v>909</v>
      </c>
      <c r="P880" s="1">
        <v>434.5</v>
      </c>
      <c r="Q880" s="1">
        <v>49</v>
      </c>
      <c r="R880" s="1">
        <v>878</v>
      </c>
    </row>
    <row r="881" spans="1:18">
      <c r="A881" s="33" t="s">
        <v>1853</v>
      </c>
      <c r="B881" s="1" t="s">
        <v>203</v>
      </c>
      <c r="C881" s="1" t="s">
        <v>39</v>
      </c>
      <c r="D881" s="33">
        <v>106</v>
      </c>
      <c r="E881" s="33">
        <v>477</v>
      </c>
      <c r="F881" s="33">
        <v>70</v>
      </c>
      <c r="G881" s="33">
        <v>816</v>
      </c>
      <c r="H881" s="33">
        <v>113</v>
      </c>
      <c r="I881" s="33">
        <v>396</v>
      </c>
      <c r="J881" s="33">
        <v>49</v>
      </c>
      <c r="K881" s="33">
        <v>842</v>
      </c>
      <c r="L881" s="33">
        <v>62</v>
      </c>
      <c r="M881" s="33">
        <v>895</v>
      </c>
      <c r="N881" s="33">
        <v>34</v>
      </c>
      <c r="O881" s="33">
        <v>946</v>
      </c>
      <c r="P881" s="1">
        <v>434</v>
      </c>
      <c r="Q881" s="1">
        <v>51</v>
      </c>
      <c r="R881" s="1">
        <v>880</v>
      </c>
    </row>
    <row r="882" spans="1:18">
      <c r="A882" s="33" t="s">
        <v>1854</v>
      </c>
      <c r="B882" s="1" t="s">
        <v>249</v>
      </c>
      <c r="C882" s="1" t="s">
        <v>1855</v>
      </c>
      <c r="D882" s="33">
        <v>105</v>
      </c>
      <c r="E882" s="33">
        <v>515</v>
      </c>
      <c r="F882" s="33">
        <v>51</v>
      </c>
      <c r="G882" s="33">
        <v>922</v>
      </c>
      <c r="H882" s="33">
        <v>108</v>
      </c>
      <c r="I882" s="33">
        <v>519</v>
      </c>
      <c r="J882" s="33">
        <v>34</v>
      </c>
      <c r="K882" s="33">
        <v>933</v>
      </c>
      <c r="L882" s="33">
        <v>73</v>
      </c>
      <c r="M882" s="33">
        <v>717</v>
      </c>
      <c r="N882" s="33">
        <v>63</v>
      </c>
      <c r="O882" s="33">
        <v>625</v>
      </c>
      <c r="P882" s="1">
        <v>434</v>
      </c>
      <c r="Q882" s="1">
        <v>47</v>
      </c>
      <c r="R882" s="1">
        <v>880</v>
      </c>
    </row>
    <row r="883" spans="1:18">
      <c r="A883" s="33" t="s">
        <v>1856</v>
      </c>
      <c r="B883" s="1" t="s">
        <v>249</v>
      </c>
      <c r="C883" s="1" t="s">
        <v>1857</v>
      </c>
      <c r="D883" s="33">
        <v>104</v>
      </c>
      <c r="E883" s="33">
        <v>573</v>
      </c>
      <c r="F883" s="33">
        <v>56</v>
      </c>
      <c r="G883" s="33">
        <v>905</v>
      </c>
      <c r="H883" s="33">
        <v>76.5</v>
      </c>
      <c r="I883" s="33">
        <v>907</v>
      </c>
      <c r="J883" s="33">
        <v>55</v>
      </c>
      <c r="K883" s="33">
        <v>748</v>
      </c>
      <c r="L883" s="33">
        <v>78</v>
      </c>
      <c r="M883" s="33">
        <v>577</v>
      </c>
      <c r="N883" s="33">
        <v>63</v>
      </c>
      <c r="O883" s="33">
        <v>625</v>
      </c>
      <c r="P883" s="1">
        <v>432.5</v>
      </c>
      <c r="Q883" s="1">
        <v>48</v>
      </c>
      <c r="R883" s="1">
        <v>882</v>
      </c>
    </row>
    <row r="884" spans="1:18">
      <c r="A884" s="33" t="s">
        <v>1858</v>
      </c>
      <c r="B884" s="1" t="s">
        <v>106</v>
      </c>
      <c r="C884" s="1" t="s">
        <v>1859</v>
      </c>
      <c r="D884" s="33">
        <v>96</v>
      </c>
      <c r="E884" s="33">
        <v>814</v>
      </c>
      <c r="F884" s="33">
        <v>56</v>
      </c>
      <c r="G884" s="33">
        <v>905</v>
      </c>
      <c r="H884" s="33">
        <v>90</v>
      </c>
      <c r="I884" s="33">
        <v>829</v>
      </c>
      <c r="J884" s="33">
        <v>50</v>
      </c>
      <c r="K884" s="33">
        <v>826</v>
      </c>
      <c r="L884" s="33">
        <v>75</v>
      </c>
      <c r="M884" s="33">
        <v>671</v>
      </c>
      <c r="N884" s="33">
        <v>65</v>
      </c>
      <c r="O884" s="33">
        <v>554</v>
      </c>
      <c r="P884" s="1">
        <v>432</v>
      </c>
      <c r="Q884" s="1">
        <v>51</v>
      </c>
      <c r="R884" s="1">
        <v>883</v>
      </c>
    </row>
    <row r="885" spans="1:18">
      <c r="A885" s="33" t="s">
        <v>1862</v>
      </c>
      <c r="B885" s="1" t="s">
        <v>111</v>
      </c>
      <c r="C885" s="1" t="s">
        <v>1863</v>
      </c>
      <c r="D885" s="33">
        <v>102</v>
      </c>
      <c r="E885" s="33">
        <v>655</v>
      </c>
      <c r="F885" s="33">
        <v>78</v>
      </c>
      <c r="G885" s="33">
        <v>730</v>
      </c>
      <c r="H885" s="33">
        <v>123</v>
      </c>
      <c r="I885" s="33">
        <v>132</v>
      </c>
      <c r="J885" s="33">
        <v>35</v>
      </c>
      <c r="K885" s="33">
        <v>929</v>
      </c>
      <c r="L885" s="33">
        <v>54</v>
      </c>
      <c r="M885" s="33">
        <v>934</v>
      </c>
      <c r="N885" s="33">
        <v>39</v>
      </c>
      <c r="O885" s="33">
        <v>940</v>
      </c>
      <c r="P885" s="1">
        <v>431</v>
      </c>
      <c r="Q885" s="1">
        <v>50</v>
      </c>
      <c r="R885" s="1">
        <v>884</v>
      </c>
    </row>
    <row r="886" spans="1:18">
      <c r="A886" s="33" t="s">
        <v>1860</v>
      </c>
      <c r="B886" s="1" t="s">
        <v>150</v>
      </c>
      <c r="C886" s="1" t="s">
        <v>1861</v>
      </c>
      <c r="D886" s="33">
        <v>101</v>
      </c>
      <c r="E886" s="33">
        <v>688</v>
      </c>
      <c r="F886" s="33">
        <v>55</v>
      </c>
      <c r="G886" s="33">
        <v>911</v>
      </c>
      <c r="H886" s="33">
        <v>91</v>
      </c>
      <c r="I886" s="33">
        <v>817</v>
      </c>
      <c r="J886" s="33">
        <v>60</v>
      </c>
      <c r="K886" s="33">
        <v>647</v>
      </c>
      <c r="L886" s="33">
        <v>67</v>
      </c>
      <c r="M886" s="33">
        <v>837</v>
      </c>
      <c r="N886" s="33">
        <v>57</v>
      </c>
      <c r="O886" s="33">
        <v>770</v>
      </c>
      <c r="P886" s="1">
        <v>431</v>
      </c>
      <c r="Q886" s="1">
        <v>53</v>
      </c>
      <c r="R886" s="1">
        <v>884</v>
      </c>
    </row>
    <row r="887" spans="1:18">
      <c r="A887" s="33" t="s">
        <v>1866</v>
      </c>
      <c r="B887" s="1" t="s">
        <v>296</v>
      </c>
      <c r="C887" s="1" t="s">
        <v>1867</v>
      </c>
      <c r="D887" s="33">
        <v>109</v>
      </c>
      <c r="E887" s="33">
        <v>353</v>
      </c>
      <c r="F887" s="33">
        <v>61</v>
      </c>
      <c r="G887" s="33">
        <v>874</v>
      </c>
      <c r="H887" s="33">
        <v>108</v>
      </c>
      <c r="I887" s="33">
        <v>519</v>
      </c>
      <c r="J887" s="33">
        <v>35</v>
      </c>
      <c r="K887" s="33">
        <v>929</v>
      </c>
      <c r="L887" s="33">
        <v>66</v>
      </c>
      <c r="M887" s="33">
        <v>849</v>
      </c>
      <c r="N887" s="33">
        <v>51</v>
      </c>
      <c r="O887" s="33">
        <v>862</v>
      </c>
      <c r="P887" s="1">
        <v>430</v>
      </c>
      <c r="Q887" s="1">
        <v>51</v>
      </c>
      <c r="R887" s="1">
        <v>886</v>
      </c>
    </row>
    <row r="888" spans="1:18">
      <c r="A888" s="33" t="s">
        <v>1870</v>
      </c>
      <c r="B888" s="1" t="s">
        <v>92</v>
      </c>
      <c r="C888" s="1" t="s">
        <v>1871</v>
      </c>
      <c r="D888" s="33">
        <v>98</v>
      </c>
      <c r="E888" s="33">
        <v>774</v>
      </c>
      <c r="F888" s="33">
        <v>59</v>
      </c>
      <c r="G888" s="33">
        <v>891</v>
      </c>
      <c r="H888" s="33">
        <v>90</v>
      </c>
      <c r="I888" s="33">
        <v>829</v>
      </c>
      <c r="J888" s="33">
        <v>43</v>
      </c>
      <c r="K888" s="33">
        <v>890</v>
      </c>
      <c r="L888" s="33">
        <v>73</v>
      </c>
      <c r="M888" s="33">
        <v>717</v>
      </c>
      <c r="N888" s="33">
        <v>67</v>
      </c>
      <c r="O888" s="33">
        <v>489</v>
      </c>
      <c r="P888" s="1">
        <v>430</v>
      </c>
      <c r="Q888" s="1">
        <v>53</v>
      </c>
      <c r="R888" s="1">
        <v>886</v>
      </c>
    </row>
    <row r="889" spans="1:18">
      <c r="A889" s="33" t="s">
        <v>1868</v>
      </c>
      <c r="B889" s="1" t="s">
        <v>97</v>
      </c>
      <c r="C889" s="1" t="s">
        <v>1869</v>
      </c>
      <c r="D889" s="33">
        <v>103</v>
      </c>
      <c r="E889" s="33">
        <v>606</v>
      </c>
      <c r="F889" s="33">
        <v>56</v>
      </c>
      <c r="G889" s="33">
        <v>905</v>
      </c>
      <c r="H889" s="33">
        <v>101</v>
      </c>
      <c r="I889" s="33">
        <v>661</v>
      </c>
      <c r="J889" s="33">
        <v>47</v>
      </c>
      <c r="K889" s="33">
        <v>863</v>
      </c>
      <c r="L889" s="33">
        <v>64</v>
      </c>
      <c r="M889" s="33">
        <v>881</v>
      </c>
      <c r="N889" s="33">
        <v>59</v>
      </c>
      <c r="O889" s="33">
        <v>729</v>
      </c>
      <c r="P889" s="1">
        <v>430</v>
      </c>
      <c r="Q889" s="1">
        <v>53</v>
      </c>
      <c r="R889" s="1">
        <v>886</v>
      </c>
    </row>
    <row r="890" spans="1:18">
      <c r="A890" s="33" t="s">
        <v>1864</v>
      </c>
      <c r="B890" s="1" t="s">
        <v>84</v>
      </c>
      <c r="C890" s="1" t="s">
        <v>1865</v>
      </c>
      <c r="D890" s="33">
        <v>88</v>
      </c>
      <c r="E890" s="33">
        <v>918</v>
      </c>
      <c r="F890" s="33">
        <v>49</v>
      </c>
      <c r="G890" s="33">
        <v>928</v>
      </c>
      <c r="H890" s="33">
        <v>96</v>
      </c>
      <c r="I890" s="33">
        <v>762</v>
      </c>
      <c r="J890" s="33">
        <v>39</v>
      </c>
      <c r="K890" s="33">
        <v>912</v>
      </c>
      <c r="L890" s="33">
        <v>89</v>
      </c>
      <c r="M890" s="33">
        <v>200</v>
      </c>
      <c r="N890" s="33">
        <v>69</v>
      </c>
      <c r="O890" s="33">
        <v>420</v>
      </c>
      <c r="P890" s="1">
        <v>430</v>
      </c>
      <c r="Q890" s="1">
        <v>56</v>
      </c>
      <c r="R890" s="1">
        <v>886</v>
      </c>
    </row>
    <row r="891" spans="1:18">
      <c r="A891" s="33" t="s">
        <v>1874</v>
      </c>
      <c r="B891" s="1" t="s">
        <v>172</v>
      </c>
      <c r="C891" s="1" t="s">
        <v>1875</v>
      </c>
      <c r="D891" s="33">
        <v>96</v>
      </c>
      <c r="E891" s="33">
        <v>814</v>
      </c>
      <c r="F891" s="33">
        <v>64</v>
      </c>
      <c r="G891" s="33">
        <v>859</v>
      </c>
      <c r="H891" s="33">
        <v>83.5</v>
      </c>
      <c r="I891" s="33">
        <v>877</v>
      </c>
      <c r="J891" s="33">
        <v>60</v>
      </c>
      <c r="K891" s="33">
        <v>647</v>
      </c>
      <c r="L891" s="33">
        <v>63</v>
      </c>
      <c r="M891" s="33">
        <v>888</v>
      </c>
      <c r="N891" s="33">
        <v>63</v>
      </c>
      <c r="O891" s="33">
        <v>625</v>
      </c>
      <c r="P891" s="1">
        <v>429.5</v>
      </c>
      <c r="Q891" s="1">
        <v>55</v>
      </c>
      <c r="R891" s="1">
        <v>890</v>
      </c>
    </row>
    <row r="892" spans="1:18">
      <c r="A892" s="33" t="s">
        <v>1872</v>
      </c>
      <c r="B892" s="1" t="s">
        <v>249</v>
      </c>
      <c r="C892" s="1" t="s">
        <v>1873</v>
      </c>
      <c r="D892" s="33">
        <v>107</v>
      </c>
      <c r="E892" s="33">
        <v>429</v>
      </c>
      <c r="F892" s="33">
        <v>61</v>
      </c>
      <c r="G892" s="33">
        <v>874</v>
      </c>
      <c r="H892" s="33">
        <v>90.5</v>
      </c>
      <c r="I892" s="33">
        <v>822</v>
      </c>
      <c r="J892" s="33">
        <v>44</v>
      </c>
      <c r="K892" s="33">
        <v>885</v>
      </c>
      <c r="L892" s="33">
        <v>68</v>
      </c>
      <c r="M892" s="33">
        <v>824</v>
      </c>
      <c r="N892" s="33">
        <v>59</v>
      </c>
      <c r="O892" s="33">
        <v>729</v>
      </c>
      <c r="P892" s="1">
        <v>429.5</v>
      </c>
      <c r="Q892" s="1">
        <v>49</v>
      </c>
      <c r="R892" s="1">
        <v>890</v>
      </c>
    </row>
    <row r="893" spans="1:18">
      <c r="A893" s="33" t="s">
        <v>1878</v>
      </c>
      <c r="B893" s="1" t="s">
        <v>203</v>
      </c>
      <c r="C893" s="1" t="s">
        <v>1879</v>
      </c>
      <c r="D893" s="33">
        <v>110</v>
      </c>
      <c r="E893" s="33">
        <v>310</v>
      </c>
      <c r="F893" s="33">
        <v>70</v>
      </c>
      <c r="G893" s="33">
        <v>816</v>
      </c>
      <c r="H893" s="33">
        <v>96</v>
      </c>
      <c r="I893" s="33">
        <v>762</v>
      </c>
      <c r="J893" s="33">
        <v>53</v>
      </c>
      <c r="K893" s="33">
        <v>786</v>
      </c>
      <c r="L893" s="33">
        <v>57</v>
      </c>
      <c r="M893" s="33">
        <v>921</v>
      </c>
      <c r="N893" s="33">
        <v>43</v>
      </c>
      <c r="O893" s="33">
        <v>922</v>
      </c>
      <c r="P893" s="1">
        <v>429</v>
      </c>
      <c r="Q893" s="1">
        <v>52</v>
      </c>
      <c r="R893" s="1">
        <v>892</v>
      </c>
    </row>
    <row r="894" spans="1:18">
      <c r="A894" s="33" t="s">
        <v>1876</v>
      </c>
      <c r="B894" s="1" t="s">
        <v>249</v>
      </c>
      <c r="C894" s="1" t="s">
        <v>1877</v>
      </c>
      <c r="D894" s="33">
        <v>117</v>
      </c>
      <c r="E894" s="33">
        <v>86</v>
      </c>
      <c r="F894" s="33">
        <v>42</v>
      </c>
      <c r="G894" s="33">
        <v>944</v>
      </c>
      <c r="H894" s="33">
        <v>92</v>
      </c>
      <c r="I894" s="33">
        <v>809</v>
      </c>
      <c r="J894" s="33">
        <v>38</v>
      </c>
      <c r="K894" s="33">
        <v>917</v>
      </c>
      <c r="L894" s="33">
        <v>75</v>
      </c>
      <c r="M894" s="33">
        <v>671</v>
      </c>
      <c r="N894" s="33">
        <v>65</v>
      </c>
      <c r="O894" s="33">
        <v>554</v>
      </c>
      <c r="P894" s="1">
        <v>429</v>
      </c>
      <c r="Q894" s="1">
        <v>50</v>
      </c>
      <c r="R894" s="1">
        <v>892</v>
      </c>
    </row>
    <row r="895" spans="1:18">
      <c r="A895" s="33" t="s">
        <v>1884</v>
      </c>
      <c r="B895" s="1" t="s">
        <v>133</v>
      </c>
      <c r="C895" s="1" t="s">
        <v>1885</v>
      </c>
      <c r="D895" s="33">
        <v>97</v>
      </c>
      <c r="E895" s="33">
        <v>795</v>
      </c>
      <c r="F895" s="33">
        <v>79</v>
      </c>
      <c r="G895" s="33">
        <v>714</v>
      </c>
      <c r="H895" s="33">
        <v>67.5</v>
      </c>
      <c r="I895" s="33">
        <v>931</v>
      </c>
      <c r="J895" s="33">
        <v>58</v>
      </c>
      <c r="K895" s="33">
        <v>698</v>
      </c>
      <c r="L895" s="33">
        <v>63</v>
      </c>
      <c r="M895" s="33">
        <v>888</v>
      </c>
      <c r="N895" s="33">
        <v>64</v>
      </c>
      <c r="O895" s="33">
        <v>593</v>
      </c>
      <c r="P895" s="1">
        <v>428.5</v>
      </c>
      <c r="Q895" s="1">
        <v>57</v>
      </c>
      <c r="R895" s="1">
        <v>894</v>
      </c>
    </row>
    <row r="896" spans="1:18">
      <c r="A896" s="33" t="s">
        <v>1882</v>
      </c>
      <c r="B896" s="1" t="s">
        <v>172</v>
      </c>
      <c r="C896" s="1" t="s">
        <v>1883</v>
      </c>
      <c r="D896" s="33">
        <v>88</v>
      </c>
      <c r="E896" s="33">
        <v>918</v>
      </c>
      <c r="F896" s="33">
        <v>76</v>
      </c>
      <c r="G896" s="33">
        <v>755</v>
      </c>
      <c r="H896" s="33">
        <v>87.5</v>
      </c>
      <c r="I896" s="33">
        <v>855</v>
      </c>
      <c r="J896" s="33">
        <v>57</v>
      </c>
      <c r="K896" s="33">
        <v>713</v>
      </c>
      <c r="L896" s="33">
        <v>73</v>
      </c>
      <c r="M896" s="33">
        <v>717</v>
      </c>
      <c r="N896" s="33">
        <v>47</v>
      </c>
      <c r="O896" s="33">
        <v>901</v>
      </c>
      <c r="P896" s="1">
        <v>428.5</v>
      </c>
      <c r="Q896" s="1">
        <v>56</v>
      </c>
      <c r="R896" s="1">
        <v>894</v>
      </c>
    </row>
    <row r="897" spans="1:18">
      <c r="A897" s="33" t="s">
        <v>1880</v>
      </c>
      <c r="B897" s="1" t="s">
        <v>249</v>
      </c>
      <c r="C897" s="1" t="s">
        <v>1881</v>
      </c>
      <c r="D897" s="33">
        <v>115</v>
      </c>
      <c r="E897" s="33">
        <v>140</v>
      </c>
      <c r="F897" s="33">
        <v>61</v>
      </c>
      <c r="G897" s="33">
        <v>874</v>
      </c>
      <c r="H897" s="33">
        <v>97.5</v>
      </c>
      <c r="I897" s="33">
        <v>737</v>
      </c>
      <c r="J897" s="33">
        <v>38</v>
      </c>
      <c r="K897" s="33">
        <v>917</v>
      </c>
      <c r="L897" s="33">
        <v>64</v>
      </c>
      <c r="M897" s="33">
        <v>881</v>
      </c>
      <c r="N897" s="33">
        <v>53</v>
      </c>
      <c r="O897" s="33">
        <v>832</v>
      </c>
      <c r="P897" s="1">
        <v>428.5</v>
      </c>
      <c r="Q897" s="1">
        <v>51</v>
      </c>
      <c r="R897" s="1">
        <v>894</v>
      </c>
    </row>
    <row r="898" spans="1:18">
      <c r="A898" s="33" t="s">
        <v>1886</v>
      </c>
      <c r="B898" s="1" t="s">
        <v>106</v>
      </c>
      <c r="C898" s="1" t="s">
        <v>1887</v>
      </c>
      <c r="D898" s="33">
        <v>112</v>
      </c>
      <c r="E898" s="33">
        <v>226</v>
      </c>
      <c r="F898" s="33">
        <v>58</v>
      </c>
      <c r="G898" s="33">
        <v>894</v>
      </c>
      <c r="H898" s="33">
        <v>92</v>
      </c>
      <c r="I898" s="33">
        <v>809</v>
      </c>
      <c r="J898" s="33">
        <v>56</v>
      </c>
      <c r="K898" s="33">
        <v>731</v>
      </c>
      <c r="L898" s="33">
        <v>52</v>
      </c>
      <c r="M898" s="33">
        <v>942</v>
      </c>
      <c r="N898" s="33">
        <v>58</v>
      </c>
      <c r="O898" s="33">
        <v>754</v>
      </c>
      <c r="P898" s="1">
        <v>428</v>
      </c>
      <c r="Q898" s="1">
        <v>52</v>
      </c>
      <c r="R898" s="1">
        <v>897</v>
      </c>
    </row>
    <row r="899" spans="1:18">
      <c r="A899" s="33" t="s">
        <v>1888</v>
      </c>
      <c r="B899" s="1" t="s">
        <v>240</v>
      </c>
      <c r="C899" s="1" t="s">
        <v>1889</v>
      </c>
      <c r="D899" s="33">
        <v>104</v>
      </c>
      <c r="E899" s="33">
        <v>573</v>
      </c>
      <c r="F899" s="33">
        <v>67</v>
      </c>
      <c r="G899" s="33">
        <v>840</v>
      </c>
      <c r="H899" s="33">
        <v>90.5</v>
      </c>
      <c r="I899" s="33">
        <v>822</v>
      </c>
      <c r="J899" s="33">
        <v>52</v>
      </c>
      <c r="K899" s="33">
        <v>798</v>
      </c>
      <c r="L899" s="33">
        <v>61</v>
      </c>
      <c r="M899" s="33">
        <v>901</v>
      </c>
      <c r="N899" s="33">
        <v>53</v>
      </c>
      <c r="O899" s="33">
        <v>832</v>
      </c>
      <c r="P899" s="1">
        <v>427.5</v>
      </c>
      <c r="Q899" s="1">
        <v>54</v>
      </c>
      <c r="R899" s="1">
        <v>898</v>
      </c>
    </row>
    <row r="900" spans="1:18">
      <c r="A900" s="33" t="s">
        <v>1890</v>
      </c>
      <c r="B900" s="1" t="s">
        <v>296</v>
      </c>
      <c r="C900" s="1" t="s">
        <v>1891</v>
      </c>
      <c r="D900" s="33">
        <v>98</v>
      </c>
      <c r="E900" s="33">
        <v>774</v>
      </c>
      <c r="F900" s="33">
        <v>63</v>
      </c>
      <c r="G900" s="33">
        <v>862</v>
      </c>
      <c r="H900" s="33">
        <v>96.5</v>
      </c>
      <c r="I900" s="33">
        <v>750</v>
      </c>
      <c r="J900" s="33">
        <v>65</v>
      </c>
      <c r="K900" s="33">
        <v>539</v>
      </c>
      <c r="L900" s="33">
        <v>63</v>
      </c>
      <c r="M900" s="33">
        <v>888</v>
      </c>
      <c r="N900" s="33">
        <v>42</v>
      </c>
      <c r="O900" s="33">
        <v>925</v>
      </c>
      <c r="P900" s="1">
        <v>427.5</v>
      </c>
      <c r="Q900" s="1">
        <v>52</v>
      </c>
      <c r="R900" s="1">
        <v>898</v>
      </c>
    </row>
    <row r="901" spans="1:18">
      <c r="A901" s="33" t="s">
        <v>1892</v>
      </c>
      <c r="B901" s="1" t="s">
        <v>203</v>
      </c>
      <c r="C901" s="1" t="s">
        <v>1893</v>
      </c>
      <c r="D901" s="33">
        <v>116</v>
      </c>
      <c r="E901" s="33">
        <v>117</v>
      </c>
      <c r="F901" s="33">
        <v>46</v>
      </c>
      <c r="G901" s="33">
        <v>935</v>
      </c>
      <c r="H901" s="33">
        <v>93</v>
      </c>
      <c r="I901" s="33">
        <v>796</v>
      </c>
      <c r="J901" s="33">
        <v>52</v>
      </c>
      <c r="K901" s="33">
        <v>798</v>
      </c>
      <c r="L901" s="33">
        <v>70</v>
      </c>
      <c r="M901" s="33">
        <v>787</v>
      </c>
      <c r="N901" s="33">
        <v>50</v>
      </c>
      <c r="O901" s="33">
        <v>873</v>
      </c>
      <c r="P901" s="1">
        <v>427</v>
      </c>
      <c r="Q901" s="1">
        <v>53</v>
      </c>
      <c r="R901" s="1">
        <v>900</v>
      </c>
    </row>
    <row r="902" spans="1:18">
      <c r="A902" s="33" t="s">
        <v>1894</v>
      </c>
      <c r="B902" s="1" t="s">
        <v>111</v>
      </c>
      <c r="C902" s="1" t="s">
        <v>1895</v>
      </c>
      <c r="D902" s="33">
        <v>96</v>
      </c>
      <c r="E902" s="33">
        <v>814</v>
      </c>
      <c r="F902" s="33">
        <v>89</v>
      </c>
      <c r="G902" s="33">
        <v>588</v>
      </c>
      <c r="H902" s="33">
        <v>95.5</v>
      </c>
      <c r="I902" s="33">
        <v>769</v>
      </c>
      <c r="J902" s="33">
        <v>42</v>
      </c>
      <c r="K902" s="33">
        <v>898</v>
      </c>
      <c r="L902" s="33">
        <v>52</v>
      </c>
      <c r="M902" s="33">
        <v>942</v>
      </c>
      <c r="N902" s="33">
        <v>52</v>
      </c>
      <c r="O902" s="33">
        <v>849</v>
      </c>
      <c r="P902" s="1">
        <v>426.5</v>
      </c>
      <c r="Q902" s="1">
        <v>51</v>
      </c>
      <c r="R902" s="1">
        <v>901</v>
      </c>
    </row>
    <row r="903" spans="1:18">
      <c r="A903" s="33" t="s">
        <v>1896</v>
      </c>
      <c r="B903" s="1" t="s">
        <v>169</v>
      </c>
      <c r="C903" s="1" t="s">
        <v>1897</v>
      </c>
      <c r="D903" s="33">
        <v>100</v>
      </c>
      <c r="E903" s="33">
        <v>715</v>
      </c>
      <c r="F903" s="33">
        <v>76</v>
      </c>
      <c r="G903" s="33">
        <v>755</v>
      </c>
      <c r="H903" s="33">
        <v>103.5</v>
      </c>
      <c r="I903" s="33">
        <v>612</v>
      </c>
      <c r="J903" s="33">
        <v>52</v>
      </c>
      <c r="K903" s="33">
        <v>798</v>
      </c>
      <c r="L903" s="33">
        <v>53</v>
      </c>
      <c r="M903" s="33">
        <v>939</v>
      </c>
      <c r="N903" s="33">
        <v>41</v>
      </c>
      <c r="O903" s="33">
        <v>931</v>
      </c>
      <c r="P903" s="1">
        <v>425.5</v>
      </c>
      <c r="Q903" s="1">
        <v>50</v>
      </c>
      <c r="R903" s="1">
        <v>902</v>
      </c>
    </row>
    <row r="904" spans="1:18">
      <c r="A904" s="33" t="s">
        <v>1898</v>
      </c>
      <c r="B904" s="1" t="s">
        <v>97</v>
      </c>
      <c r="C904" s="1" t="s">
        <v>1899</v>
      </c>
      <c r="D904" s="33">
        <v>92</v>
      </c>
      <c r="E904" s="33">
        <v>882</v>
      </c>
      <c r="F904" s="33">
        <v>70</v>
      </c>
      <c r="G904" s="33">
        <v>816</v>
      </c>
      <c r="H904" s="33">
        <v>111</v>
      </c>
      <c r="I904" s="33">
        <v>445</v>
      </c>
      <c r="J904" s="33">
        <v>38</v>
      </c>
      <c r="K904" s="33">
        <v>917</v>
      </c>
      <c r="L904" s="33">
        <v>65</v>
      </c>
      <c r="M904" s="33">
        <v>866</v>
      </c>
      <c r="N904" s="33">
        <v>49</v>
      </c>
      <c r="O904" s="33">
        <v>883</v>
      </c>
      <c r="P904" s="1">
        <v>425</v>
      </c>
      <c r="Q904" s="1">
        <v>54</v>
      </c>
      <c r="R904" s="1">
        <v>903</v>
      </c>
    </row>
    <row r="905" spans="1:18">
      <c r="A905" s="33" t="s">
        <v>1902</v>
      </c>
      <c r="B905" s="1" t="s">
        <v>203</v>
      </c>
      <c r="C905" s="1" t="s">
        <v>1903</v>
      </c>
      <c r="D905" s="33">
        <v>100</v>
      </c>
      <c r="E905" s="33">
        <v>715</v>
      </c>
      <c r="F905" s="33">
        <v>80</v>
      </c>
      <c r="G905" s="33">
        <v>700</v>
      </c>
      <c r="H905" s="33">
        <v>103.5</v>
      </c>
      <c r="I905" s="33">
        <v>612</v>
      </c>
      <c r="J905" s="33">
        <v>50</v>
      </c>
      <c r="K905" s="33">
        <v>826</v>
      </c>
      <c r="L905" s="33">
        <v>66</v>
      </c>
      <c r="M905" s="33">
        <v>849</v>
      </c>
      <c r="N905" s="33">
        <v>25</v>
      </c>
      <c r="O905" s="33">
        <v>951</v>
      </c>
      <c r="P905" s="1">
        <v>424.5</v>
      </c>
      <c r="Q905" s="1">
        <v>54</v>
      </c>
      <c r="R905" s="1">
        <v>904</v>
      </c>
    </row>
    <row r="906" spans="1:18">
      <c r="A906" s="33" t="s">
        <v>1900</v>
      </c>
      <c r="B906" s="1" t="s">
        <v>111</v>
      </c>
      <c r="C906" s="1" t="s">
        <v>1901</v>
      </c>
      <c r="D906" s="33">
        <v>101</v>
      </c>
      <c r="E906" s="33">
        <v>688</v>
      </c>
      <c r="F906" s="33">
        <v>58</v>
      </c>
      <c r="G906" s="33">
        <v>894</v>
      </c>
      <c r="H906" s="33">
        <v>90.5</v>
      </c>
      <c r="I906" s="33">
        <v>822</v>
      </c>
      <c r="J906" s="33">
        <v>63</v>
      </c>
      <c r="K906" s="33">
        <v>581</v>
      </c>
      <c r="L906" s="33">
        <v>54</v>
      </c>
      <c r="M906" s="33">
        <v>934</v>
      </c>
      <c r="N906" s="33">
        <v>58</v>
      </c>
      <c r="O906" s="33">
        <v>754</v>
      </c>
      <c r="P906" s="1">
        <v>424.5</v>
      </c>
      <c r="Q906" s="1">
        <v>52</v>
      </c>
      <c r="R906" s="1">
        <v>904</v>
      </c>
    </row>
    <row r="907" spans="1:18">
      <c r="A907" s="33" t="s">
        <v>1906</v>
      </c>
      <c r="B907" s="1" t="s">
        <v>97</v>
      </c>
      <c r="C907" s="1" t="s">
        <v>1907</v>
      </c>
      <c r="D907" s="33">
        <v>98</v>
      </c>
      <c r="E907" s="33">
        <v>774</v>
      </c>
      <c r="F907" s="33">
        <v>55</v>
      </c>
      <c r="G907" s="33">
        <v>911</v>
      </c>
      <c r="H907" s="33">
        <v>90</v>
      </c>
      <c r="I907" s="33">
        <v>829</v>
      </c>
      <c r="J907" s="33">
        <v>58</v>
      </c>
      <c r="K907" s="33">
        <v>698</v>
      </c>
      <c r="L907" s="33">
        <v>69</v>
      </c>
      <c r="M907" s="33">
        <v>810</v>
      </c>
      <c r="N907" s="33">
        <v>54</v>
      </c>
      <c r="O907" s="33">
        <v>817</v>
      </c>
      <c r="P907" s="1">
        <v>424</v>
      </c>
      <c r="Q907" s="1">
        <v>55</v>
      </c>
      <c r="R907" s="1">
        <v>906</v>
      </c>
    </row>
    <row r="908" spans="1:18">
      <c r="A908" s="33" t="s">
        <v>1904</v>
      </c>
      <c r="B908" s="1" t="s">
        <v>296</v>
      </c>
      <c r="C908" s="1" t="s">
        <v>1905</v>
      </c>
      <c r="D908" s="33">
        <v>93</v>
      </c>
      <c r="E908" s="33">
        <v>868</v>
      </c>
      <c r="F908" s="33">
        <v>54</v>
      </c>
      <c r="G908" s="33">
        <v>915</v>
      </c>
      <c r="H908" s="33">
        <v>96</v>
      </c>
      <c r="I908" s="33">
        <v>762</v>
      </c>
      <c r="J908" s="33">
        <v>51</v>
      </c>
      <c r="K908" s="33">
        <v>812</v>
      </c>
      <c r="L908" s="33">
        <v>71</v>
      </c>
      <c r="M908" s="33">
        <v>773</v>
      </c>
      <c r="N908" s="33">
        <v>59</v>
      </c>
      <c r="O908" s="33">
        <v>729</v>
      </c>
      <c r="P908" s="1">
        <v>424</v>
      </c>
      <c r="Q908" s="1">
        <v>53</v>
      </c>
      <c r="R908" s="1">
        <v>906</v>
      </c>
    </row>
    <row r="909" spans="1:18">
      <c r="A909" s="33" t="s">
        <v>1908</v>
      </c>
      <c r="B909" s="1" t="s">
        <v>240</v>
      </c>
      <c r="C909" s="1" t="s">
        <v>1909</v>
      </c>
      <c r="D909" s="33">
        <v>96</v>
      </c>
      <c r="E909" s="33">
        <v>814</v>
      </c>
      <c r="F909" s="33">
        <v>36</v>
      </c>
      <c r="G909" s="33">
        <v>949</v>
      </c>
      <c r="H909" s="33">
        <v>115</v>
      </c>
      <c r="I909" s="33">
        <v>330</v>
      </c>
      <c r="J909" s="33">
        <v>48</v>
      </c>
      <c r="K909" s="33">
        <v>854</v>
      </c>
      <c r="L909" s="33">
        <v>70</v>
      </c>
      <c r="M909" s="33">
        <v>787</v>
      </c>
      <c r="N909" s="33">
        <v>58</v>
      </c>
      <c r="O909" s="33">
        <v>754</v>
      </c>
      <c r="P909" s="1">
        <v>423</v>
      </c>
      <c r="Q909" s="1">
        <v>55</v>
      </c>
      <c r="R909" s="1">
        <v>908</v>
      </c>
    </row>
    <row r="910" spans="1:18">
      <c r="A910" s="33" t="s">
        <v>1910</v>
      </c>
      <c r="B910" s="1" t="s">
        <v>150</v>
      </c>
      <c r="C910" s="1" t="s">
        <v>1911</v>
      </c>
      <c r="D910" s="33">
        <v>83</v>
      </c>
      <c r="E910" s="33">
        <v>937</v>
      </c>
      <c r="F910" s="33">
        <v>67</v>
      </c>
      <c r="G910" s="33">
        <v>840</v>
      </c>
      <c r="H910" s="33">
        <v>70.5</v>
      </c>
      <c r="I910" s="33">
        <v>926</v>
      </c>
      <c r="J910" s="33">
        <v>77</v>
      </c>
      <c r="K910" s="33">
        <v>278</v>
      </c>
      <c r="L910" s="33">
        <v>78</v>
      </c>
      <c r="M910" s="33">
        <v>577</v>
      </c>
      <c r="N910" s="33">
        <v>47</v>
      </c>
      <c r="O910" s="33">
        <v>901</v>
      </c>
      <c r="P910" s="1">
        <v>422.5</v>
      </c>
      <c r="Q910" s="1">
        <v>54</v>
      </c>
      <c r="R910" s="1">
        <v>909</v>
      </c>
    </row>
    <row r="911" spans="1:18">
      <c r="A911" s="33" t="s">
        <v>1912</v>
      </c>
      <c r="B911" s="1" t="s">
        <v>203</v>
      </c>
      <c r="C911" s="1" t="s">
        <v>1913</v>
      </c>
      <c r="D911" s="33">
        <v>105</v>
      </c>
      <c r="E911" s="33">
        <v>515</v>
      </c>
      <c r="F911" s="33">
        <v>53</v>
      </c>
      <c r="G911" s="33">
        <v>917</v>
      </c>
      <c r="H911" s="33">
        <v>97.5</v>
      </c>
      <c r="I911" s="33">
        <v>737</v>
      </c>
      <c r="J911" s="33">
        <v>50</v>
      </c>
      <c r="K911" s="33">
        <v>826</v>
      </c>
      <c r="L911" s="33">
        <v>69</v>
      </c>
      <c r="M911" s="33">
        <v>810</v>
      </c>
      <c r="N911" s="33">
        <v>47</v>
      </c>
      <c r="O911" s="33">
        <v>901</v>
      </c>
      <c r="P911" s="1">
        <v>421.5</v>
      </c>
      <c r="Q911" s="1">
        <v>55</v>
      </c>
      <c r="R911" s="1">
        <v>910</v>
      </c>
    </row>
    <row r="912" spans="1:18">
      <c r="A912" s="33" t="s">
        <v>1914</v>
      </c>
      <c r="B912" s="1" t="s">
        <v>97</v>
      </c>
      <c r="C912" s="1" t="s">
        <v>1915</v>
      </c>
      <c r="D912" s="33">
        <v>104</v>
      </c>
      <c r="E912" s="33">
        <v>573</v>
      </c>
      <c r="F912" s="33">
        <v>93</v>
      </c>
      <c r="G912" s="33">
        <v>541</v>
      </c>
      <c r="H912" s="33">
        <v>62</v>
      </c>
      <c r="I912" s="33">
        <v>939</v>
      </c>
      <c r="J912" s="33">
        <v>37</v>
      </c>
      <c r="K912" s="33">
        <v>921</v>
      </c>
      <c r="L912" s="33">
        <v>79</v>
      </c>
      <c r="M912" s="33">
        <v>539</v>
      </c>
      <c r="N912" s="33">
        <v>46</v>
      </c>
      <c r="O912" s="33">
        <v>909</v>
      </c>
      <c r="P912" s="1">
        <v>421</v>
      </c>
      <c r="Q912" s="1">
        <v>56</v>
      </c>
      <c r="R912" s="1">
        <v>911</v>
      </c>
    </row>
    <row r="913" spans="1:18">
      <c r="A913" s="33" t="s">
        <v>1916</v>
      </c>
      <c r="B913" s="1" t="s">
        <v>150</v>
      </c>
      <c r="C913" s="1" t="s">
        <v>1917</v>
      </c>
      <c r="D913" s="33">
        <v>96</v>
      </c>
      <c r="E913" s="33">
        <v>814</v>
      </c>
      <c r="F913" s="33">
        <v>62</v>
      </c>
      <c r="G913" s="33">
        <v>870</v>
      </c>
      <c r="H913" s="33">
        <v>89.5</v>
      </c>
      <c r="I913" s="33">
        <v>836</v>
      </c>
      <c r="J913" s="33">
        <v>45</v>
      </c>
      <c r="K913" s="33">
        <v>878</v>
      </c>
      <c r="L913" s="33">
        <v>72</v>
      </c>
      <c r="M913" s="33">
        <v>751</v>
      </c>
      <c r="N913" s="33">
        <v>56</v>
      </c>
      <c r="O913" s="33">
        <v>789</v>
      </c>
      <c r="P913" s="1">
        <v>420.5</v>
      </c>
      <c r="Q913" s="1">
        <v>55</v>
      </c>
      <c r="R913" s="1">
        <v>912</v>
      </c>
    </row>
    <row r="914" spans="1:18">
      <c r="A914" s="33" t="s">
        <v>1918</v>
      </c>
      <c r="B914" s="1" t="s">
        <v>106</v>
      </c>
      <c r="C914" s="1" t="s">
        <v>1919</v>
      </c>
      <c r="D914" s="33">
        <v>103</v>
      </c>
      <c r="E914" s="33">
        <v>606</v>
      </c>
      <c r="F914" s="33">
        <v>51</v>
      </c>
      <c r="G914" s="33">
        <v>922</v>
      </c>
      <c r="H914" s="33">
        <v>84</v>
      </c>
      <c r="I914" s="33">
        <v>875</v>
      </c>
      <c r="J914" s="33">
        <v>52</v>
      </c>
      <c r="K914" s="33">
        <v>798</v>
      </c>
      <c r="L914" s="33">
        <v>70</v>
      </c>
      <c r="M914" s="33">
        <v>787</v>
      </c>
      <c r="N914" s="33">
        <v>59</v>
      </c>
      <c r="O914" s="33">
        <v>729</v>
      </c>
      <c r="P914" s="1">
        <v>419</v>
      </c>
      <c r="Q914" s="1">
        <v>53</v>
      </c>
      <c r="R914" s="1">
        <v>913</v>
      </c>
    </row>
    <row r="915" spans="1:18">
      <c r="A915" s="33" t="s">
        <v>1920</v>
      </c>
      <c r="B915" s="1" t="s">
        <v>111</v>
      </c>
      <c r="C915" s="1" t="s">
        <v>1921</v>
      </c>
      <c r="D915" s="33">
        <v>94</v>
      </c>
      <c r="E915" s="33">
        <v>856</v>
      </c>
      <c r="F915" s="33">
        <v>65</v>
      </c>
      <c r="G915" s="33">
        <v>854</v>
      </c>
      <c r="H915" s="33">
        <v>99.5</v>
      </c>
      <c r="I915" s="33">
        <v>694</v>
      </c>
      <c r="J915" s="33">
        <v>46</v>
      </c>
      <c r="K915" s="33">
        <v>875</v>
      </c>
      <c r="L915" s="33">
        <v>65</v>
      </c>
      <c r="M915" s="33">
        <v>866</v>
      </c>
      <c r="N915" s="33">
        <v>49</v>
      </c>
      <c r="O915" s="33">
        <v>883</v>
      </c>
      <c r="P915" s="1">
        <v>418.5</v>
      </c>
      <c r="Q915" s="1">
        <v>53</v>
      </c>
      <c r="R915" s="1">
        <v>914</v>
      </c>
    </row>
    <row r="916" spans="1:18">
      <c r="A916" s="33" t="s">
        <v>1922</v>
      </c>
      <c r="B916" s="1" t="s">
        <v>106</v>
      </c>
      <c r="C916" s="1" t="s">
        <v>1923</v>
      </c>
      <c r="D916" s="33">
        <v>110</v>
      </c>
      <c r="E916" s="33">
        <v>310</v>
      </c>
      <c r="F916" s="33">
        <v>86</v>
      </c>
      <c r="G916" s="33">
        <v>627</v>
      </c>
      <c r="H916" s="33">
        <v>61</v>
      </c>
      <c r="I916" s="33">
        <v>941</v>
      </c>
      <c r="J916" s="33">
        <v>59</v>
      </c>
      <c r="K916" s="33">
        <v>672</v>
      </c>
      <c r="L916" s="33">
        <v>61</v>
      </c>
      <c r="M916" s="33">
        <v>901</v>
      </c>
      <c r="N916" s="33">
        <v>41</v>
      </c>
      <c r="O916" s="33">
        <v>931</v>
      </c>
      <c r="P916" s="1">
        <v>418</v>
      </c>
      <c r="Q916" s="1">
        <v>54</v>
      </c>
      <c r="R916" s="1">
        <v>915</v>
      </c>
    </row>
    <row r="917" spans="1:18">
      <c r="A917" s="33" t="s">
        <v>1924</v>
      </c>
      <c r="B917" s="1" t="s">
        <v>92</v>
      </c>
      <c r="C917" s="1" t="s">
        <v>1925</v>
      </c>
      <c r="D917" s="33">
        <v>87</v>
      </c>
      <c r="E917" s="33">
        <v>922</v>
      </c>
      <c r="F917" s="33">
        <v>80</v>
      </c>
      <c r="G917" s="33">
        <v>700</v>
      </c>
      <c r="H917" s="33">
        <v>96.5</v>
      </c>
      <c r="I917" s="33">
        <v>750</v>
      </c>
      <c r="J917" s="33">
        <v>39</v>
      </c>
      <c r="K917" s="33">
        <v>912</v>
      </c>
      <c r="L917" s="33">
        <v>70</v>
      </c>
      <c r="M917" s="33">
        <v>787</v>
      </c>
      <c r="N917" s="33">
        <v>44</v>
      </c>
      <c r="O917" s="33">
        <v>918</v>
      </c>
      <c r="P917" s="1">
        <v>416.5</v>
      </c>
      <c r="Q917" s="1">
        <v>54</v>
      </c>
      <c r="R917" s="1">
        <v>916</v>
      </c>
    </row>
    <row r="918" spans="1:18">
      <c r="A918" s="33" t="s">
        <v>1926</v>
      </c>
      <c r="B918" s="1" t="s">
        <v>169</v>
      </c>
      <c r="C918" s="1" t="s">
        <v>1927</v>
      </c>
      <c r="D918" s="33">
        <v>102</v>
      </c>
      <c r="E918" s="33">
        <v>655</v>
      </c>
      <c r="F918" s="33">
        <v>63</v>
      </c>
      <c r="G918" s="33">
        <v>862</v>
      </c>
      <c r="H918" s="33">
        <v>87</v>
      </c>
      <c r="I918" s="33">
        <v>861</v>
      </c>
      <c r="J918" s="33">
        <v>46</v>
      </c>
      <c r="K918" s="33">
        <v>875</v>
      </c>
      <c r="L918" s="33">
        <v>67</v>
      </c>
      <c r="M918" s="33">
        <v>837</v>
      </c>
      <c r="N918" s="33">
        <v>51</v>
      </c>
      <c r="O918" s="33">
        <v>862</v>
      </c>
      <c r="P918" s="1">
        <v>416</v>
      </c>
      <c r="Q918" s="1">
        <v>51</v>
      </c>
      <c r="R918" s="1">
        <v>917</v>
      </c>
    </row>
    <row r="919" spans="1:18">
      <c r="A919" s="33" t="s">
        <v>1928</v>
      </c>
      <c r="B919" s="1" t="s">
        <v>240</v>
      </c>
      <c r="C919" s="1" t="s">
        <v>1929</v>
      </c>
      <c r="D919" s="33">
        <v>103</v>
      </c>
      <c r="E919" s="33">
        <v>606</v>
      </c>
      <c r="F919" s="33">
        <v>69</v>
      </c>
      <c r="G919" s="33">
        <v>828</v>
      </c>
      <c r="H919" s="33">
        <v>96.5</v>
      </c>
      <c r="I919" s="33">
        <v>750</v>
      </c>
      <c r="J919" s="33">
        <v>41</v>
      </c>
      <c r="K919" s="33">
        <v>902</v>
      </c>
      <c r="L919" s="33">
        <v>63</v>
      </c>
      <c r="M919" s="33">
        <v>888</v>
      </c>
      <c r="N919" s="33">
        <v>43</v>
      </c>
      <c r="O919" s="33">
        <v>922</v>
      </c>
      <c r="P919" s="1">
        <v>415.5</v>
      </c>
      <c r="Q919" s="1">
        <v>56</v>
      </c>
      <c r="R919" s="1">
        <v>918</v>
      </c>
    </row>
    <row r="920" spans="1:18">
      <c r="A920" s="33" t="s">
        <v>1930</v>
      </c>
      <c r="B920" s="1" t="s">
        <v>249</v>
      </c>
      <c r="C920" s="1" t="s">
        <v>1931</v>
      </c>
      <c r="D920" s="33">
        <v>116</v>
      </c>
      <c r="E920" s="33">
        <v>117</v>
      </c>
      <c r="F920" s="33">
        <v>44</v>
      </c>
      <c r="G920" s="33">
        <v>940</v>
      </c>
      <c r="H920" s="33">
        <v>117</v>
      </c>
      <c r="I920" s="33">
        <v>291</v>
      </c>
      <c r="J920" s="33">
        <v>35</v>
      </c>
      <c r="K920" s="33">
        <v>929</v>
      </c>
      <c r="L920" s="33">
        <v>57</v>
      </c>
      <c r="M920" s="33">
        <v>921</v>
      </c>
      <c r="N920" s="33">
        <v>45</v>
      </c>
      <c r="O920" s="33">
        <v>916</v>
      </c>
      <c r="P920" s="1">
        <v>414</v>
      </c>
      <c r="Q920" s="1">
        <v>52</v>
      </c>
      <c r="R920" s="1">
        <v>919</v>
      </c>
    </row>
    <row r="921" spans="1:18">
      <c r="A921" s="33" t="s">
        <v>1932</v>
      </c>
      <c r="B921" s="1" t="s">
        <v>172</v>
      </c>
      <c r="C921" s="1" t="s">
        <v>1933</v>
      </c>
      <c r="D921" s="33">
        <v>110</v>
      </c>
      <c r="E921" s="33">
        <v>310</v>
      </c>
      <c r="F921" s="33">
        <v>52</v>
      </c>
      <c r="G921" s="33">
        <v>921</v>
      </c>
      <c r="H921" s="33">
        <v>84.5</v>
      </c>
      <c r="I921" s="33">
        <v>873</v>
      </c>
      <c r="J921" s="33">
        <v>47</v>
      </c>
      <c r="K921" s="33">
        <v>863</v>
      </c>
      <c r="L921" s="33">
        <v>67</v>
      </c>
      <c r="M921" s="33">
        <v>837</v>
      </c>
      <c r="N921" s="33">
        <v>53</v>
      </c>
      <c r="O921" s="33">
        <v>832</v>
      </c>
      <c r="P921" s="1">
        <v>413.5</v>
      </c>
      <c r="Q921" s="1">
        <v>57</v>
      </c>
      <c r="R921" s="1">
        <v>920</v>
      </c>
    </row>
    <row r="922" spans="1:18">
      <c r="A922" s="33" t="s">
        <v>1934</v>
      </c>
      <c r="B922" s="1" t="s">
        <v>169</v>
      </c>
      <c r="C922" s="1" t="s">
        <v>1935</v>
      </c>
      <c r="D922" s="33">
        <v>98</v>
      </c>
      <c r="E922" s="33">
        <v>774</v>
      </c>
      <c r="F922" s="33">
        <v>77</v>
      </c>
      <c r="G922" s="33">
        <v>742</v>
      </c>
      <c r="H922" s="33">
        <v>50</v>
      </c>
      <c r="I922" s="33">
        <v>948</v>
      </c>
      <c r="J922" s="33">
        <v>70</v>
      </c>
      <c r="K922" s="33">
        <v>429</v>
      </c>
      <c r="L922" s="33">
        <v>74</v>
      </c>
      <c r="M922" s="33">
        <v>702</v>
      </c>
      <c r="N922" s="33">
        <v>42</v>
      </c>
      <c r="O922" s="33">
        <v>925</v>
      </c>
      <c r="P922" s="1">
        <v>411</v>
      </c>
      <c r="Q922" s="1">
        <v>52</v>
      </c>
      <c r="R922" s="1">
        <v>921</v>
      </c>
    </row>
    <row r="923" spans="1:18">
      <c r="A923" s="33" t="s">
        <v>1936</v>
      </c>
      <c r="B923" s="1" t="s">
        <v>150</v>
      </c>
      <c r="C923" s="1" t="s">
        <v>1937</v>
      </c>
      <c r="D923" s="33">
        <v>99</v>
      </c>
      <c r="E923" s="33">
        <v>754</v>
      </c>
      <c r="F923" s="33">
        <v>63</v>
      </c>
      <c r="G923" s="33">
        <v>862</v>
      </c>
      <c r="H923" s="33">
        <v>69</v>
      </c>
      <c r="I923" s="33">
        <v>929</v>
      </c>
      <c r="J923" s="33">
        <v>47</v>
      </c>
      <c r="K923" s="33">
        <v>863</v>
      </c>
      <c r="L923" s="33">
        <v>62</v>
      </c>
      <c r="M923" s="33">
        <v>895</v>
      </c>
      <c r="N923" s="33">
        <v>70</v>
      </c>
      <c r="O923" s="33">
        <v>380</v>
      </c>
      <c r="P923" s="1">
        <v>410</v>
      </c>
      <c r="Q923" s="1">
        <v>56</v>
      </c>
      <c r="R923" s="1">
        <v>922</v>
      </c>
    </row>
    <row r="924" spans="1:18">
      <c r="A924" s="33" t="s">
        <v>1938</v>
      </c>
      <c r="B924" s="1" t="s">
        <v>203</v>
      </c>
      <c r="C924" s="1" t="s">
        <v>1939</v>
      </c>
      <c r="D924" s="33">
        <v>107</v>
      </c>
      <c r="E924" s="33">
        <v>429</v>
      </c>
      <c r="F924" s="33">
        <v>48</v>
      </c>
      <c r="G924" s="33">
        <v>930</v>
      </c>
      <c r="H924" s="33">
        <v>105.5</v>
      </c>
      <c r="I924" s="33">
        <v>568</v>
      </c>
      <c r="J924" s="33">
        <v>50</v>
      </c>
      <c r="K924" s="33">
        <v>826</v>
      </c>
      <c r="L924" s="33">
        <v>62</v>
      </c>
      <c r="M924" s="33">
        <v>895</v>
      </c>
      <c r="N924" s="33">
        <v>35</v>
      </c>
      <c r="O924" s="33">
        <v>945</v>
      </c>
      <c r="P924" s="1">
        <v>407.5</v>
      </c>
      <c r="Q924" s="1">
        <v>56</v>
      </c>
      <c r="R924" s="1">
        <v>923</v>
      </c>
    </row>
    <row r="925" spans="1:18">
      <c r="A925" s="33" t="s">
        <v>1940</v>
      </c>
      <c r="B925" s="1" t="s">
        <v>169</v>
      </c>
      <c r="C925" s="1" t="s">
        <v>1941</v>
      </c>
      <c r="D925" s="33">
        <v>95</v>
      </c>
      <c r="E925" s="33">
        <v>837</v>
      </c>
      <c r="F925" s="33">
        <v>75</v>
      </c>
      <c r="G925" s="33">
        <v>767</v>
      </c>
      <c r="H925" s="33">
        <v>87.5</v>
      </c>
      <c r="I925" s="33">
        <v>855</v>
      </c>
      <c r="J925" s="33">
        <v>41</v>
      </c>
      <c r="K925" s="33">
        <v>902</v>
      </c>
      <c r="L925" s="33">
        <v>58</v>
      </c>
      <c r="M925" s="33">
        <v>918</v>
      </c>
      <c r="N925" s="33">
        <v>50</v>
      </c>
      <c r="O925" s="33">
        <v>873</v>
      </c>
      <c r="P925" s="1">
        <v>406.5</v>
      </c>
      <c r="Q925" s="1">
        <v>53</v>
      </c>
      <c r="R925" s="1">
        <v>924</v>
      </c>
    </row>
    <row r="926" spans="1:18">
      <c r="A926" s="33" t="s">
        <v>1942</v>
      </c>
      <c r="B926" s="1" t="s">
        <v>249</v>
      </c>
      <c r="C926" s="1" t="s">
        <v>1943</v>
      </c>
      <c r="D926" s="33">
        <v>115</v>
      </c>
      <c r="E926" s="33">
        <v>140</v>
      </c>
      <c r="F926" s="33">
        <v>56</v>
      </c>
      <c r="G926" s="33">
        <v>905</v>
      </c>
      <c r="H926" s="33">
        <v>101</v>
      </c>
      <c r="I926" s="33">
        <v>661</v>
      </c>
      <c r="J926" s="33">
        <v>31</v>
      </c>
      <c r="K926" s="33">
        <v>941</v>
      </c>
      <c r="L926" s="33">
        <v>57</v>
      </c>
      <c r="M926" s="33">
        <v>921</v>
      </c>
      <c r="N926" s="33">
        <v>46</v>
      </c>
      <c r="O926" s="33">
        <v>909</v>
      </c>
      <c r="P926" s="1">
        <v>406</v>
      </c>
      <c r="Q926" s="1">
        <v>53</v>
      </c>
      <c r="R926" s="1">
        <v>925</v>
      </c>
    </row>
    <row r="927" spans="1:18">
      <c r="A927" s="33" t="s">
        <v>1946</v>
      </c>
      <c r="B927" s="1" t="s">
        <v>210</v>
      </c>
      <c r="C927" s="1" t="s">
        <v>1947</v>
      </c>
      <c r="D927" s="33">
        <v>104</v>
      </c>
      <c r="E927" s="33">
        <v>573</v>
      </c>
      <c r="F927" s="33">
        <v>81</v>
      </c>
      <c r="G927" s="33">
        <v>689</v>
      </c>
      <c r="H927" s="33">
        <v>77.5</v>
      </c>
      <c r="I927" s="33">
        <v>902</v>
      </c>
      <c r="J927" s="33">
        <v>36</v>
      </c>
      <c r="K927" s="33">
        <v>925</v>
      </c>
      <c r="L927" s="33">
        <v>65</v>
      </c>
      <c r="M927" s="33">
        <v>866</v>
      </c>
      <c r="N927" s="33">
        <v>42</v>
      </c>
      <c r="O927" s="33">
        <v>925</v>
      </c>
      <c r="P927" s="1">
        <v>405.5</v>
      </c>
      <c r="Q927" s="1">
        <v>55</v>
      </c>
      <c r="R927" s="1">
        <v>926</v>
      </c>
    </row>
    <row r="928" spans="1:18">
      <c r="A928" s="33" t="s">
        <v>1944</v>
      </c>
      <c r="B928" s="1" t="s">
        <v>240</v>
      </c>
      <c r="C928" s="1" t="s">
        <v>1945</v>
      </c>
      <c r="D928" s="33">
        <v>84</v>
      </c>
      <c r="E928" s="33">
        <v>933</v>
      </c>
      <c r="F928" s="33">
        <v>73</v>
      </c>
      <c r="G928" s="33">
        <v>789</v>
      </c>
      <c r="H928" s="33">
        <v>65.5</v>
      </c>
      <c r="I928" s="33">
        <v>934</v>
      </c>
      <c r="J928" s="33">
        <v>47</v>
      </c>
      <c r="K928" s="33">
        <v>863</v>
      </c>
      <c r="L928" s="33">
        <v>73</v>
      </c>
      <c r="M928" s="33">
        <v>717</v>
      </c>
      <c r="N928" s="33">
        <v>63</v>
      </c>
      <c r="O928" s="33">
        <v>625</v>
      </c>
      <c r="P928" s="1">
        <v>405.5</v>
      </c>
      <c r="Q928" s="1">
        <v>57</v>
      </c>
      <c r="R928" s="1">
        <v>926</v>
      </c>
    </row>
    <row r="929" spans="1:18">
      <c r="A929" s="33" t="s">
        <v>1948</v>
      </c>
      <c r="B929" s="1" t="s">
        <v>169</v>
      </c>
      <c r="C929" s="1" t="s">
        <v>1949</v>
      </c>
      <c r="D929" s="33">
        <v>103</v>
      </c>
      <c r="E929" s="33">
        <v>606</v>
      </c>
      <c r="F929" s="33">
        <v>38</v>
      </c>
      <c r="G929" s="33">
        <v>948</v>
      </c>
      <c r="H929" s="33">
        <v>108.5</v>
      </c>
      <c r="I929" s="33">
        <v>508</v>
      </c>
      <c r="J929" s="33">
        <v>55</v>
      </c>
      <c r="K929" s="33">
        <v>748</v>
      </c>
      <c r="L929" s="33">
        <v>57</v>
      </c>
      <c r="M929" s="33">
        <v>921</v>
      </c>
      <c r="N929" s="33">
        <v>40</v>
      </c>
      <c r="O929" s="33">
        <v>935</v>
      </c>
      <c r="P929" s="1">
        <v>401.5</v>
      </c>
      <c r="Q929" s="1">
        <v>54</v>
      </c>
      <c r="R929" s="1">
        <v>928</v>
      </c>
    </row>
    <row r="930" spans="1:18">
      <c r="A930" s="33" t="s">
        <v>1950</v>
      </c>
      <c r="B930" s="1" t="s">
        <v>296</v>
      </c>
      <c r="C930" s="1" t="s">
        <v>1951</v>
      </c>
      <c r="D930" s="33">
        <v>95</v>
      </c>
      <c r="E930" s="33">
        <v>837</v>
      </c>
      <c r="F930" s="33">
        <v>72</v>
      </c>
      <c r="G930" s="33">
        <v>803</v>
      </c>
      <c r="H930" s="33">
        <v>98</v>
      </c>
      <c r="I930" s="33">
        <v>728</v>
      </c>
      <c r="J930" s="33">
        <v>40</v>
      </c>
      <c r="K930" s="33">
        <v>909</v>
      </c>
      <c r="L930" s="33">
        <v>55</v>
      </c>
      <c r="M930" s="33">
        <v>932</v>
      </c>
      <c r="N930" s="33">
        <v>41</v>
      </c>
      <c r="O930" s="33">
        <v>931</v>
      </c>
      <c r="P930" s="1">
        <v>401</v>
      </c>
      <c r="Q930" s="1">
        <v>54</v>
      </c>
      <c r="R930" s="1">
        <v>929</v>
      </c>
    </row>
    <row r="931" spans="1:18">
      <c r="A931" s="33" t="s">
        <v>1952</v>
      </c>
      <c r="B931" s="1" t="s">
        <v>92</v>
      </c>
      <c r="C931" s="1" t="s">
        <v>1953</v>
      </c>
      <c r="D931" s="33">
        <v>74</v>
      </c>
      <c r="E931" s="33">
        <v>943</v>
      </c>
      <c r="F931" s="33">
        <v>80</v>
      </c>
      <c r="G931" s="33">
        <v>700</v>
      </c>
      <c r="H931" s="33">
        <v>58</v>
      </c>
      <c r="I931" s="33">
        <v>945</v>
      </c>
      <c r="J931" s="33">
        <v>49</v>
      </c>
      <c r="K931" s="33">
        <v>842</v>
      </c>
      <c r="L931" s="33">
        <v>76</v>
      </c>
      <c r="M931" s="33">
        <v>642</v>
      </c>
      <c r="N931" s="33">
        <v>62</v>
      </c>
      <c r="O931" s="33">
        <v>657</v>
      </c>
      <c r="P931" s="1">
        <v>399</v>
      </c>
      <c r="Q931" s="1">
        <v>55</v>
      </c>
      <c r="R931" s="1">
        <v>930</v>
      </c>
    </row>
    <row r="932" spans="1:18">
      <c r="A932" s="33" t="s">
        <v>1954</v>
      </c>
      <c r="B932" s="1" t="s">
        <v>249</v>
      </c>
      <c r="C932" s="1" t="s">
        <v>1955</v>
      </c>
      <c r="D932" s="33">
        <v>105</v>
      </c>
      <c r="E932" s="33">
        <v>515</v>
      </c>
      <c r="F932" s="33">
        <v>55</v>
      </c>
      <c r="G932" s="33">
        <v>911</v>
      </c>
      <c r="H932" s="33">
        <v>85.5</v>
      </c>
      <c r="I932" s="33">
        <v>866</v>
      </c>
      <c r="J932" s="33">
        <v>51</v>
      </c>
      <c r="K932" s="33">
        <v>812</v>
      </c>
      <c r="L932" s="33">
        <v>52</v>
      </c>
      <c r="M932" s="33">
        <v>942</v>
      </c>
      <c r="N932" s="33">
        <v>50</v>
      </c>
      <c r="O932" s="33">
        <v>873</v>
      </c>
      <c r="P932" s="1">
        <v>398.5</v>
      </c>
      <c r="Q932" s="1">
        <v>54</v>
      </c>
      <c r="R932" s="1">
        <v>931</v>
      </c>
    </row>
    <row r="933" spans="1:18">
      <c r="A933" s="33" t="s">
        <v>1956</v>
      </c>
      <c r="B933" s="1" t="s">
        <v>249</v>
      </c>
      <c r="C933" s="1" t="s">
        <v>1957</v>
      </c>
      <c r="D933" s="33">
        <v>92</v>
      </c>
      <c r="E933" s="33">
        <v>882</v>
      </c>
      <c r="F933" s="33">
        <v>86</v>
      </c>
      <c r="G933" s="33">
        <v>627</v>
      </c>
      <c r="H933" s="33">
        <v>64</v>
      </c>
      <c r="I933" s="33">
        <v>938</v>
      </c>
      <c r="J933" s="33">
        <v>53</v>
      </c>
      <c r="K933" s="33">
        <v>786</v>
      </c>
      <c r="L933" s="33">
        <v>52</v>
      </c>
      <c r="M933" s="33">
        <v>942</v>
      </c>
      <c r="N933" s="33">
        <v>50</v>
      </c>
      <c r="O933" s="33">
        <v>873</v>
      </c>
      <c r="P933" s="1">
        <v>397</v>
      </c>
      <c r="Q933" s="1">
        <v>55</v>
      </c>
      <c r="R933" s="1">
        <v>932</v>
      </c>
    </row>
    <row r="934" spans="1:18">
      <c r="A934" s="33" t="s">
        <v>1958</v>
      </c>
      <c r="B934" s="1" t="s">
        <v>169</v>
      </c>
      <c r="C934" s="1" t="s">
        <v>1959</v>
      </c>
      <c r="D934" s="33">
        <v>95</v>
      </c>
      <c r="E934" s="33">
        <v>837</v>
      </c>
      <c r="F934" s="33">
        <v>48</v>
      </c>
      <c r="G934" s="33">
        <v>930</v>
      </c>
      <c r="H934" s="33">
        <v>70</v>
      </c>
      <c r="I934" s="33">
        <v>927</v>
      </c>
      <c r="J934" s="33">
        <v>41</v>
      </c>
      <c r="K934" s="33">
        <v>902</v>
      </c>
      <c r="L934" s="33">
        <v>81</v>
      </c>
      <c r="M934" s="33">
        <v>474</v>
      </c>
      <c r="N934" s="33">
        <v>59</v>
      </c>
      <c r="O934" s="33">
        <v>729</v>
      </c>
      <c r="P934" s="1">
        <v>394</v>
      </c>
      <c r="Q934" s="1">
        <v>55</v>
      </c>
      <c r="R934" s="1">
        <v>933</v>
      </c>
    </row>
    <row r="935" spans="1:18">
      <c r="A935" s="33" t="s">
        <v>1960</v>
      </c>
      <c r="B935" s="1" t="s">
        <v>106</v>
      </c>
      <c r="C935" s="1" t="s">
        <v>1961</v>
      </c>
      <c r="D935" s="33">
        <v>101</v>
      </c>
      <c r="E935" s="33">
        <v>688</v>
      </c>
      <c r="F935" s="33">
        <v>45</v>
      </c>
      <c r="G935" s="33">
        <v>938</v>
      </c>
      <c r="H935" s="33">
        <v>98.5</v>
      </c>
      <c r="I935" s="33">
        <v>719</v>
      </c>
      <c r="J935" s="33">
        <v>33</v>
      </c>
      <c r="K935" s="33">
        <v>936</v>
      </c>
      <c r="L935" s="33">
        <v>70</v>
      </c>
      <c r="M935" s="33">
        <v>787</v>
      </c>
      <c r="N935" s="33">
        <v>44</v>
      </c>
      <c r="O935" s="33">
        <v>918</v>
      </c>
      <c r="P935" s="1">
        <v>391.5</v>
      </c>
      <c r="Q935" s="1">
        <v>55</v>
      </c>
      <c r="R935" s="1">
        <v>934</v>
      </c>
    </row>
    <row r="936" spans="1:18">
      <c r="A936" s="33" t="s">
        <v>1962</v>
      </c>
      <c r="B936" s="1" t="s">
        <v>150</v>
      </c>
      <c r="C936" s="1" t="s">
        <v>1963</v>
      </c>
      <c r="D936" s="33">
        <v>73</v>
      </c>
      <c r="E936" s="33">
        <v>946</v>
      </c>
      <c r="F936" s="33">
        <v>104</v>
      </c>
      <c r="G936" s="33">
        <v>359</v>
      </c>
      <c r="H936" s="33">
        <v>65.5</v>
      </c>
      <c r="I936" s="33">
        <v>934</v>
      </c>
      <c r="J936" s="33">
        <v>32</v>
      </c>
      <c r="K936" s="33">
        <v>940</v>
      </c>
      <c r="L936" s="33">
        <v>63</v>
      </c>
      <c r="M936" s="33">
        <v>888</v>
      </c>
      <c r="N936" s="33">
        <v>52</v>
      </c>
      <c r="O936" s="33">
        <v>849</v>
      </c>
      <c r="P936" s="1">
        <v>389.5</v>
      </c>
      <c r="Q936" s="1">
        <v>57</v>
      </c>
      <c r="R936" s="1">
        <v>935</v>
      </c>
    </row>
    <row r="937" spans="1:18">
      <c r="A937" s="33" t="s">
        <v>1964</v>
      </c>
      <c r="B937" s="1" t="s">
        <v>296</v>
      </c>
      <c r="C937" s="1" t="s">
        <v>1965</v>
      </c>
      <c r="D937" s="33">
        <v>106</v>
      </c>
      <c r="E937" s="33">
        <v>477</v>
      </c>
      <c r="F937" s="33">
        <v>44</v>
      </c>
      <c r="G937" s="33">
        <v>940</v>
      </c>
      <c r="H937" s="33">
        <v>101</v>
      </c>
      <c r="I937" s="33">
        <v>661</v>
      </c>
      <c r="J937" s="33">
        <v>37</v>
      </c>
      <c r="K937" s="33">
        <v>921</v>
      </c>
      <c r="L937" s="33">
        <v>61</v>
      </c>
      <c r="M937" s="33">
        <v>901</v>
      </c>
      <c r="N937" s="33">
        <v>37</v>
      </c>
      <c r="O937" s="33">
        <v>944</v>
      </c>
      <c r="P937" s="1">
        <v>386</v>
      </c>
      <c r="Q937" s="1">
        <v>55</v>
      </c>
      <c r="R937" s="1">
        <v>936</v>
      </c>
    </row>
    <row r="938" spans="1:18">
      <c r="A938" s="33" t="s">
        <v>1966</v>
      </c>
      <c r="B938" s="1" t="s">
        <v>111</v>
      </c>
      <c r="C938" s="1" t="s">
        <v>1967</v>
      </c>
      <c r="D938" s="33">
        <v>109</v>
      </c>
      <c r="E938" s="33">
        <v>353</v>
      </c>
      <c r="F938" s="33">
        <v>67</v>
      </c>
      <c r="G938" s="33">
        <v>840</v>
      </c>
      <c r="H938" s="33">
        <v>76.5</v>
      </c>
      <c r="I938" s="33">
        <v>907</v>
      </c>
      <c r="J938" s="33">
        <v>29</v>
      </c>
      <c r="K938" s="33">
        <v>945</v>
      </c>
      <c r="L938" s="33">
        <v>58</v>
      </c>
      <c r="M938" s="33">
        <v>918</v>
      </c>
      <c r="N938" s="33">
        <v>46</v>
      </c>
      <c r="O938" s="33">
        <v>909</v>
      </c>
      <c r="P938" s="1">
        <v>385.5</v>
      </c>
      <c r="Q938" s="1">
        <v>54</v>
      </c>
      <c r="R938" s="1">
        <v>937</v>
      </c>
    </row>
    <row r="939" spans="1:18">
      <c r="A939" s="33" t="s">
        <v>1968</v>
      </c>
      <c r="B939" s="1" t="s">
        <v>249</v>
      </c>
      <c r="C939" s="1" t="s">
        <v>1969</v>
      </c>
      <c r="D939" s="33">
        <v>103</v>
      </c>
      <c r="E939" s="33">
        <v>606</v>
      </c>
      <c r="F939" s="33">
        <v>45</v>
      </c>
      <c r="G939" s="33">
        <v>938</v>
      </c>
      <c r="H939" s="33">
        <v>92.5</v>
      </c>
      <c r="I939" s="33">
        <v>801</v>
      </c>
      <c r="J939" s="33">
        <v>39</v>
      </c>
      <c r="K939" s="33">
        <v>912</v>
      </c>
      <c r="L939" s="33">
        <v>46</v>
      </c>
      <c r="M939" s="33">
        <v>949</v>
      </c>
      <c r="N939" s="33">
        <v>59</v>
      </c>
      <c r="O939" s="33">
        <v>729</v>
      </c>
      <c r="P939" s="1">
        <v>384.5</v>
      </c>
      <c r="Q939" s="1">
        <v>56</v>
      </c>
      <c r="R939" s="1">
        <v>938</v>
      </c>
    </row>
    <row r="940" spans="1:18">
      <c r="A940" s="33" t="s">
        <v>1970</v>
      </c>
      <c r="B940" s="1" t="s">
        <v>217</v>
      </c>
      <c r="C940" s="1" t="s">
        <v>1971</v>
      </c>
      <c r="D940" s="33">
        <v>103</v>
      </c>
      <c r="E940" s="33">
        <v>606</v>
      </c>
      <c r="F940" s="33">
        <v>56</v>
      </c>
      <c r="G940" s="33">
        <v>905</v>
      </c>
      <c r="H940" s="33">
        <v>81.5</v>
      </c>
      <c r="I940" s="33">
        <v>886</v>
      </c>
      <c r="J940" s="33">
        <v>31</v>
      </c>
      <c r="K940" s="33">
        <v>941</v>
      </c>
      <c r="L940" s="33">
        <v>59</v>
      </c>
      <c r="M940" s="33">
        <v>911</v>
      </c>
      <c r="N940" s="33">
        <v>53</v>
      </c>
      <c r="O940" s="33">
        <v>832</v>
      </c>
      <c r="P940" s="1">
        <v>383.5</v>
      </c>
      <c r="Q940" s="1">
        <v>56</v>
      </c>
      <c r="R940" s="1">
        <v>939</v>
      </c>
    </row>
    <row r="941" spans="1:18">
      <c r="A941" s="33" t="s">
        <v>1972</v>
      </c>
      <c r="B941" s="1" t="s">
        <v>97</v>
      </c>
      <c r="C941" s="1" t="s">
        <v>1973</v>
      </c>
      <c r="D941" s="33">
        <v>104</v>
      </c>
      <c r="E941" s="33">
        <v>573</v>
      </c>
      <c r="F941" s="33">
        <v>46</v>
      </c>
      <c r="G941" s="33">
        <v>935</v>
      </c>
      <c r="H941" s="33">
        <v>71</v>
      </c>
      <c r="I941" s="33">
        <v>924</v>
      </c>
      <c r="J941" s="33">
        <v>47</v>
      </c>
      <c r="K941" s="33">
        <v>863</v>
      </c>
      <c r="L941" s="33">
        <v>60</v>
      </c>
      <c r="M941" s="33">
        <v>908</v>
      </c>
      <c r="N941" s="33">
        <v>54</v>
      </c>
      <c r="O941" s="33">
        <v>817</v>
      </c>
      <c r="P941" s="1">
        <v>382</v>
      </c>
      <c r="Q941" s="1">
        <v>57</v>
      </c>
      <c r="R941" s="1">
        <v>940</v>
      </c>
    </row>
    <row r="942" spans="1:18">
      <c r="A942" s="33" t="s">
        <v>1974</v>
      </c>
      <c r="B942" s="1" t="s">
        <v>169</v>
      </c>
      <c r="C942" s="1" t="s">
        <v>1975</v>
      </c>
      <c r="D942" s="33">
        <v>102</v>
      </c>
      <c r="E942" s="33">
        <v>655</v>
      </c>
      <c r="F942" s="33">
        <v>48</v>
      </c>
      <c r="G942" s="33">
        <v>930</v>
      </c>
      <c r="H942" s="33">
        <v>80.5</v>
      </c>
      <c r="I942" s="33">
        <v>896</v>
      </c>
      <c r="J942" s="33">
        <v>25</v>
      </c>
      <c r="K942" s="33">
        <v>948</v>
      </c>
      <c r="L942" s="33">
        <v>72</v>
      </c>
      <c r="M942" s="33">
        <v>751</v>
      </c>
      <c r="N942" s="33">
        <v>54</v>
      </c>
      <c r="O942" s="33">
        <v>817</v>
      </c>
      <c r="P942" s="1">
        <v>381.5</v>
      </c>
      <c r="Q942" s="1">
        <v>56</v>
      </c>
      <c r="R942" s="1">
        <v>941</v>
      </c>
    </row>
    <row r="943" spans="1:18">
      <c r="A943" s="33" t="s">
        <v>1976</v>
      </c>
      <c r="B943" s="1" t="s">
        <v>92</v>
      </c>
      <c r="C943" s="1" t="s">
        <v>1977</v>
      </c>
      <c r="D943" s="33">
        <v>92</v>
      </c>
      <c r="E943" s="33">
        <v>882</v>
      </c>
      <c r="F943" s="33">
        <v>61</v>
      </c>
      <c r="G943" s="33">
        <v>874</v>
      </c>
      <c r="H943" s="33">
        <v>62</v>
      </c>
      <c r="I943" s="33">
        <v>939</v>
      </c>
      <c r="J943" s="33">
        <v>64</v>
      </c>
      <c r="K943" s="33">
        <v>559</v>
      </c>
      <c r="L943" s="33">
        <v>54</v>
      </c>
      <c r="M943" s="33">
        <v>934</v>
      </c>
      <c r="N943" s="33">
        <v>46</v>
      </c>
      <c r="O943" s="33">
        <v>909</v>
      </c>
      <c r="P943" s="1">
        <v>379</v>
      </c>
      <c r="Q943" s="1">
        <v>56</v>
      </c>
      <c r="R943" s="1">
        <v>942</v>
      </c>
    </row>
    <row r="944" spans="1:18">
      <c r="A944" s="33" t="s">
        <v>1978</v>
      </c>
      <c r="B944" s="1" t="s">
        <v>217</v>
      </c>
      <c r="C944" s="1" t="s">
        <v>1979</v>
      </c>
      <c r="D944" s="33">
        <v>106</v>
      </c>
      <c r="E944" s="33">
        <v>477</v>
      </c>
      <c r="F944" s="33">
        <v>48</v>
      </c>
      <c r="G944" s="33">
        <v>930</v>
      </c>
      <c r="H944" s="33">
        <v>66</v>
      </c>
      <c r="I944" s="33">
        <v>933</v>
      </c>
      <c r="J944" s="33">
        <v>60</v>
      </c>
      <c r="K944" s="33">
        <v>647</v>
      </c>
      <c r="L944" s="33">
        <v>50</v>
      </c>
      <c r="M944" s="33">
        <v>947</v>
      </c>
      <c r="N944" s="33">
        <v>49</v>
      </c>
      <c r="O944" s="33">
        <v>883</v>
      </c>
      <c r="P944" s="1">
        <v>379</v>
      </c>
      <c r="Q944" s="1">
        <v>57</v>
      </c>
      <c r="R944" s="1">
        <v>942</v>
      </c>
    </row>
    <row r="945" spans="1:18">
      <c r="A945" s="33" t="s">
        <v>1980</v>
      </c>
      <c r="B945" s="1" t="s">
        <v>296</v>
      </c>
      <c r="C945" s="1" t="s">
        <v>1981</v>
      </c>
      <c r="D945" s="33">
        <v>93</v>
      </c>
      <c r="E945" s="33">
        <v>868</v>
      </c>
      <c r="F945" s="33">
        <v>58</v>
      </c>
      <c r="G945" s="33">
        <v>894</v>
      </c>
      <c r="H945" s="33">
        <v>71</v>
      </c>
      <c r="I945" s="33">
        <v>924</v>
      </c>
      <c r="J945" s="33">
        <v>36</v>
      </c>
      <c r="K945" s="33">
        <v>925</v>
      </c>
      <c r="L945" s="33">
        <v>64</v>
      </c>
      <c r="M945" s="33">
        <v>881</v>
      </c>
      <c r="N945" s="33">
        <v>51</v>
      </c>
      <c r="O945" s="33">
        <v>862</v>
      </c>
      <c r="P945" s="1">
        <v>373</v>
      </c>
      <c r="Q945" s="1">
        <v>56</v>
      </c>
      <c r="R945" s="1">
        <v>944</v>
      </c>
    </row>
    <row r="946" spans="1:18">
      <c r="A946" s="33" t="s">
        <v>1982</v>
      </c>
      <c r="B946" s="1" t="s">
        <v>249</v>
      </c>
      <c r="C946" s="1" t="s">
        <v>1983</v>
      </c>
      <c r="D946" s="33">
        <v>108</v>
      </c>
      <c r="E946" s="33">
        <v>391</v>
      </c>
      <c r="F946" s="33">
        <v>50</v>
      </c>
      <c r="G946" s="33">
        <v>927</v>
      </c>
      <c r="H946" s="33">
        <v>59.5</v>
      </c>
      <c r="I946" s="33">
        <v>943</v>
      </c>
      <c r="J946" s="33">
        <v>35</v>
      </c>
      <c r="K946" s="33">
        <v>929</v>
      </c>
      <c r="L946" s="33">
        <v>59</v>
      </c>
      <c r="M946" s="33">
        <v>911</v>
      </c>
      <c r="N946" s="33">
        <v>52</v>
      </c>
      <c r="O946" s="33">
        <v>849</v>
      </c>
      <c r="P946" s="1">
        <v>363.5</v>
      </c>
      <c r="Q946" s="1">
        <v>57</v>
      </c>
      <c r="R946" s="1">
        <v>945</v>
      </c>
    </row>
    <row r="947" spans="1:18">
      <c r="A947" s="33" t="s">
        <v>1984</v>
      </c>
      <c r="B947" s="1" t="s">
        <v>210</v>
      </c>
      <c r="C947" s="1" t="s">
        <v>1985</v>
      </c>
      <c r="D947" s="33">
        <v>93</v>
      </c>
      <c r="E947" s="33">
        <v>868</v>
      </c>
      <c r="F947" s="33">
        <v>51</v>
      </c>
      <c r="G947" s="33">
        <v>922</v>
      </c>
      <c r="H947" s="33">
        <v>99</v>
      </c>
      <c r="I947" s="33">
        <v>707</v>
      </c>
      <c r="J947" s="33">
        <v>30</v>
      </c>
      <c r="K947" s="33">
        <v>944</v>
      </c>
      <c r="L947" s="33">
        <v>56</v>
      </c>
      <c r="M947" s="33">
        <v>928</v>
      </c>
      <c r="N947" s="33">
        <v>34</v>
      </c>
      <c r="O947" s="33">
        <v>946</v>
      </c>
      <c r="P947" s="1">
        <v>363</v>
      </c>
      <c r="Q947" s="1">
        <v>56</v>
      </c>
      <c r="R947" s="1">
        <v>946</v>
      </c>
    </row>
    <row r="948" spans="1:18">
      <c r="A948" s="33" t="s">
        <v>1986</v>
      </c>
      <c r="B948" s="1" t="s">
        <v>106</v>
      </c>
      <c r="C948" s="1" t="s">
        <v>1987</v>
      </c>
      <c r="D948" s="33">
        <v>103</v>
      </c>
      <c r="E948" s="33">
        <v>606</v>
      </c>
      <c r="F948" s="33">
        <v>58</v>
      </c>
      <c r="G948" s="33">
        <v>894</v>
      </c>
      <c r="H948" s="33">
        <v>54</v>
      </c>
      <c r="I948" s="33">
        <v>947</v>
      </c>
      <c r="J948" s="33">
        <v>47</v>
      </c>
      <c r="K948" s="33">
        <v>863</v>
      </c>
      <c r="L948" s="33">
        <v>55</v>
      </c>
      <c r="M948" s="33">
        <v>932</v>
      </c>
      <c r="N948" s="33">
        <v>43</v>
      </c>
      <c r="O948" s="33">
        <v>922</v>
      </c>
      <c r="P948" s="1">
        <v>360</v>
      </c>
      <c r="Q948" s="1">
        <v>56</v>
      </c>
      <c r="R948" s="1">
        <v>947</v>
      </c>
    </row>
    <row r="949" spans="1:18">
      <c r="A949" s="33" t="s">
        <v>1988</v>
      </c>
      <c r="B949" s="1" t="s">
        <v>111</v>
      </c>
      <c r="C949" s="1" t="s">
        <v>1989</v>
      </c>
      <c r="D949" s="33">
        <v>74</v>
      </c>
      <c r="E949" s="33">
        <v>943</v>
      </c>
      <c r="F949" s="33">
        <v>35</v>
      </c>
      <c r="G949" s="33">
        <v>950</v>
      </c>
      <c r="H949" s="33">
        <v>109.5</v>
      </c>
      <c r="I949" s="33">
        <v>490</v>
      </c>
      <c r="J949" s="33">
        <v>37</v>
      </c>
      <c r="K949" s="33">
        <v>921</v>
      </c>
      <c r="L949" s="33">
        <v>63</v>
      </c>
      <c r="M949" s="33">
        <v>888</v>
      </c>
      <c r="N949" s="33">
        <v>39</v>
      </c>
      <c r="O949" s="33">
        <v>940</v>
      </c>
      <c r="P949" s="1">
        <v>357.5</v>
      </c>
      <c r="Q949" s="1">
        <v>55</v>
      </c>
      <c r="R949" s="1">
        <v>948</v>
      </c>
    </row>
    <row r="950" spans="1:18">
      <c r="A950" s="33" t="s">
        <v>1990</v>
      </c>
      <c r="B950" s="1" t="s">
        <v>92</v>
      </c>
      <c r="C950" s="1" t="s">
        <v>1991</v>
      </c>
      <c r="D950" s="33">
        <v>87</v>
      </c>
      <c r="E950" s="33">
        <v>922</v>
      </c>
      <c r="F950" s="33">
        <v>46</v>
      </c>
      <c r="G950" s="33">
        <v>935</v>
      </c>
      <c r="H950" s="33">
        <v>81.5</v>
      </c>
      <c r="I950" s="33">
        <v>886</v>
      </c>
      <c r="J950" s="33">
        <v>11</v>
      </c>
      <c r="K950" s="33">
        <v>951</v>
      </c>
      <c r="L950" s="33">
        <v>78</v>
      </c>
      <c r="M950" s="33">
        <v>577</v>
      </c>
      <c r="N950" s="33">
        <v>39</v>
      </c>
      <c r="O950" s="33">
        <v>940</v>
      </c>
      <c r="P950" s="1">
        <v>342.5</v>
      </c>
      <c r="Q950" s="1">
        <v>57</v>
      </c>
      <c r="R950" s="1">
        <v>949</v>
      </c>
    </row>
    <row r="951" spans="1:18">
      <c r="A951" s="33" t="s">
        <v>1992</v>
      </c>
      <c r="B951" s="1" t="s">
        <v>111</v>
      </c>
      <c r="C951" s="1" t="s">
        <v>1993</v>
      </c>
      <c r="D951" s="33">
        <v>60</v>
      </c>
      <c r="E951" s="33">
        <v>950</v>
      </c>
      <c r="F951" s="33">
        <v>40</v>
      </c>
      <c r="G951" s="33">
        <v>947</v>
      </c>
      <c r="H951" s="33">
        <v>65</v>
      </c>
      <c r="I951" s="33">
        <v>937</v>
      </c>
      <c r="J951" s="33">
        <v>18</v>
      </c>
      <c r="K951" s="33">
        <v>950</v>
      </c>
      <c r="L951" s="33">
        <v>66</v>
      </c>
      <c r="M951" s="33">
        <v>849</v>
      </c>
      <c r="N951" s="33">
        <v>57</v>
      </c>
      <c r="O951" s="33">
        <v>770</v>
      </c>
      <c r="P951" s="1">
        <v>306</v>
      </c>
      <c r="Q951" s="1">
        <v>56</v>
      </c>
      <c r="R951" s="1">
        <v>950</v>
      </c>
    </row>
    <row r="952" spans="1:18">
      <c r="A952" s="33" t="s">
        <v>1994</v>
      </c>
      <c r="B952" s="1" t="s">
        <v>203</v>
      </c>
      <c r="C952" s="1" t="s">
        <v>1995</v>
      </c>
      <c r="D952" s="33">
        <v>97</v>
      </c>
      <c r="E952" s="33">
        <v>795</v>
      </c>
      <c r="F952" s="33">
        <v>15</v>
      </c>
      <c r="G952" s="33">
        <v>951</v>
      </c>
      <c r="H952" s="33">
        <v>35</v>
      </c>
      <c r="I952" s="33">
        <v>951</v>
      </c>
      <c r="J952" s="33">
        <v>26</v>
      </c>
      <c r="K952" s="33">
        <v>947</v>
      </c>
      <c r="L952" s="33">
        <v>21</v>
      </c>
      <c r="M952" s="33">
        <v>951</v>
      </c>
      <c r="N952" s="33">
        <v>33</v>
      </c>
      <c r="O952" s="33">
        <v>949</v>
      </c>
      <c r="P952" s="1">
        <v>227</v>
      </c>
      <c r="Q952" s="1">
        <v>57</v>
      </c>
      <c r="R952" s="1">
        <v>951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workbookViewId="0">
      <pane xSplit="3" ySplit="1" topLeftCell="D58" activePane="bottomRight" state="frozen"/>
      <selection pane="topRight" activeCell="D1" sqref="D1"/>
      <selection pane="bottomLeft" activeCell="A2" sqref="A2"/>
      <selection pane="bottomRight" activeCell="K77" sqref="K77"/>
    </sheetView>
  </sheetViews>
  <sheetFormatPr defaultRowHeight="14.25"/>
  <cols>
    <col min="1" max="1" width="9" style="1"/>
    <col min="2" max="2" width="9" style="33"/>
    <col min="3" max="3" width="9" style="1"/>
    <col min="4" max="6" width="5.75" style="33" customWidth="1"/>
    <col min="7" max="15" width="5.75" style="1" customWidth="1"/>
    <col min="16" max="16" width="6.5" style="1" customWidth="1"/>
    <col min="17" max="18" width="5.75" style="1" customWidth="1"/>
    <col min="19" max="16384" width="9" style="1"/>
  </cols>
  <sheetData>
    <row r="1" spans="1:18">
      <c r="A1" s="1" t="s">
        <v>14</v>
      </c>
      <c r="B1" s="33" t="s">
        <v>13</v>
      </c>
      <c r="C1" s="1" t="s">
        <v>15</v>
      </c>
      <c r="D1" s="33" t="s">
        <v>22</v>
      </c>
      <c r="E1" s="33" t="s">
        <v>76</v>
      </c>
      <c r="F1" s="33" t="s">
        <v>23</v>
      </c>
      <c r="G1" s="33" t="s">
        <v>76</v>
      </c>
      <c r="H1" s="1" t="s">
        <v>24</v>
      </c>
      <c r="I1" s="33" t="s">
        <v>76</v>
      </c>
      <c r="J1" s="1" t="s">
        <v>36</v>
      </c>
      <c r="K1" s="33" t="s">
        <v>76</v>
      </c>
      <c r="L1" s="1" t="s">
        <v>34</v>
      </c>
      <c r="M1" s="33" t="s">
        <v>76</v>
      </c>
      <c r="N1" s="1" t="s">
        <v>35</v>
      </c>
      <c r="O1" s="33" t="s">
        <v>76</v>
      </c>
      <c r="P1" s="1" t="s">
        <v>0</v>
      </c>
      <c r="Q1" s="1" t="s">
        <v>75</v>
      </c>
      <c r="R1" s="1" t="s">
        <v>76</v>
      </c>
    </row>
    <row r="2" spans="1:18">
      <c r="A2" s="1" t="s">
        <v>1996</v>
      </c>
      <c r="B2" s="33" t="s">
        <v>1998</v>
      </c>
      <c r="C2" s="1" t="s">
        <v>1997</v>
      </c>
      <c r="D2" s="33">
        <v>126</v>
      </c>
      <c r="E2" s="33">
        <v>2</v>
      </c>
      <c r="F2" s="33">
        <v>142</v>
      </c>
      <c r="G2" s="1">
        <v>2</v>
      </c>
      <c r="H2" s="1">
        <v>133.5</v>
      </c>
      <c r="I2" s="1">
        <v>4</v>
      </c>
      <c r="J2" s="1">
        <v>88</v>
      </c>
      <c r="K2" s="1">
        <v>4</v>
      </c>
      <c r="L2" s="1">
        <v>88</v>
      </c>
      <c r="M2" s="1">
        <v>4</v>
      </c>
      <c r="N2" s="1">
        <v>76</v>
      </c>
      <c r="O2" s="1">
        <v>3</v>
      </c>
      <c r="P2" s="1">
        <v>653.5</v>
      </c>
      <c r="Q2" s="1">
        <v>1</v>
      </c>
      <c r="R2" s="1">
        <v>1</v>
      </c>
    </row>
    <row r="3" spans="1:18">
      <c r="A3" s="1" t="s">
        <v>1999</v>
      </c>
      <c r="B3" s="33" t="s">
        <v>1998</v>
      </c>
      <c r="C3" s="1" t="s">
        <v>2000</v>
      </c>
      <c r="D3" s="33">
        <v>119</v>
      </c>
      <c r="E3" s="33">
        <v>21</v>
      </c>
      <c r="F3" s="33">
        <v>126</v>
      </c>
      <c r="G3" s="1">
        <v>4</v>
      </c>
      <c r="H3" s="1">
        <v>141</v>
      </c>
      <c r="I3" s="1">
        <v>1</v>
      </c>
      <c r="J3" s="1">
        <v>98</v>
      </c>
      <c r="K3" s="1">
        <v>1</v>
      </c>
      <c r="L3" s="1">
        <v>90</v>
      </c>
      <c r="M3" s="1">
        <v>2</v>
      </c>
      <c r="N3" s="1">
        <v>67</v>
      </c>
      <c r="O3" s="1">
        <v>12</v>
      </c>
      <c r="P3" s="1">
        <v>641</v>
      </c>
      <c r="Q3" s="1">
        <v>2</v>
      </c>
      <c r="R3" s="1">
        <v>2</v>
      </c>
    </row>
    <row r="4" spans="1:18">
      <c r="A4" s="1" t="s">
        <v>2001</v>
      </c>
      <c r="B4" s="33" t="s">
        <v>1998</v>
      </c>
      <c r="C4" s="1" t="s">
        <v>2002</v>
      </c>
      <c r="D4" s="33">
        <v>117</v>
      </c>
      <c r="E4" s="33">
        <v>27</v>
      </c>
      <c r="F4" s="33">
        <v>137</v>
      </c>
      <c r="G4" s="1">
        <v>3</v>
      </c>
      <c r="H4" s="1">
        <v>129.5</v>
      </c>
      <c r="I4" s="1">
        <v>9</v>
      </c>
      <c r="J4" s="1">
        <v>87</v>
      </c>
      <c r="K4" s="1">
        <v>6</v>
      </c>
      <c r="L4" s="1">
        <v>96</v>
      </c>
      <c r="M4" s="1">
        <v>1</v>
      </c>
      <c r="N4" s="1">
        <v>71</v>
      </c>
      <c r="O4" s="1">
        <v>7</v>
      </c>
      <c r="P4" s="1">
        <v>637.5</v>
      </c>
      <c r="Q4" s="1">
        <v>3</v>
      </c>
      <c r="R4" s="1">
        <v>3</v>
      </c>
    </row>
    <row r="5" spans="1:18">
      <c r="A5" s="1" t="s">
        <v>2003</v>
      </c>
      <c r="B5" s="33" t="s">
        <v>1998</v>
      </c>
      <c r="C5" s="1" t="s">
        <v>2004</v>
      </c>
      <c r="D5" s="33">
        <v>129</v>
      </c>
      <c r="E5" s="33">
        <v>1</v>
      </c>
      <c r="F5" s="33">
        <v>121</v>
      </c>
      <c r="G5" s="1">
        <v>5</v>
      </c>
      <c r="H5" s="1">
        <v>131.5</v>
      </c>
      <c r="I5" s="1">
        <v>7</v>
      </c>
      <c r="J5" s="1">
        <v>83</v>
      </c>
      <c r="K5" s="1">
        <v>16</v>
      </c>
      <c r="L5" s="1">
        <v>81</v>
      </c>
      <c r="M5" s="1">
        <v>22</v>
      </c>
      <c r="N5" s="1">
        <v>70</v>
      </c>
      <c r="O5" s="1">
        <v>9</v>
      </c>
      <c r="P5" s="1">
        <v>615.5</v>
      </c>
      <c r="Q5" s="1">
        <v>4</v>
      </c>
      <c r="R5" s="1">
        <v>4</v>
      </c>
    </row>
    <row r="6" spans="1:18">
      <c r="A6" s="1" t="s">
        <v>2005</v>
      </c>
      <c r="B6" s="33" t="s">
        <v>1998</v>
      </c>
      <c r="C6" s="1" t="s">
        <v>2006</v>
      </c>
      <c r="D6" s="33">
        <v>114</v>
      </c>
      <c r="E6" s="33">
        <v>44</v>
      </c>
      <c r="F6" s="33">
        <v>143</v>
      </c>
      <c r="G6" s="1">
        <v>1</v>
      </c>
      <c r="H6" s="1">
        <v>118</v>
      </c>
      <c r="I6" s="1">
        <v>49</v>
      </c>
      <c r="J6" s="1">
        <v>90</v>
      </c>
      <c r="K6" s="1">
        <v>2</v>
      </c>
      <c r="L6" s="1">
        <v>77</v>
      </c>
      <c r="M6" s="1">
        <v>48</v>
      </c>
      <c r="N6" s="1">
        <v>73</v>
      </c>
      <c r="O6" s="1">
        <v>4</v>
      </c>
      <c r="P6" s="1">
        <v>615</v>
      </c>
      <c r="Q6" s="1">
        <v>5</v>
      </c>
      <c r="R6" s="1">
        <v>5</v>
      </c>
    </row>
    <row r="7" spans="1:18">
      <c r="A7" s="1" t="s">
        <v>2007</v>
      </c>
      <c r="B7" s="33" t="s">
        <v>1998</v>
      </c>
      <c r="C7" s="1" t="s">
        <v>2008</v>
      </c>
      <c r="D7" s="33">
        <v>123</v>
      </c>
      <c r="E7" s="33">
        <v>5</v>
      </c>
      <c r="F7" s="33">
        <v>118</v>
      </c>
      <c r="G7" s="1">
        <v>8</v>
      </c>
      <c r="H7" s="1">
        <v>129</v>
      </c>
      <c r="I7" s="1">
        <v>12</v>
      </c>
      <c r="J7" s="1">
        <v>79</v>
      </c>
      <c r="K7" s="1">
        <v>35</v>
      </c>
      <c r="L7" s="1">
        <v>90</v>
      </c>
      <c r="M7" s="1">
        <v>2</v>
      </c>
      <c r="N7" s="1">
        <v>71</v>
      </c>
      <c r="O7" s="1">
        <v>7</v>
      </c>
      <c r="P7" s="1">
        <v>610</v>
      </c>
      <c r="Q7" s="1">
        <v>6</v>
      </c>
      <c r="R7" s="1">
        <v>6</v>
      </c>
    </row>
    <row r="8" spans="1:18">
      <c r="A8" s="1" t="s">
        <v>2009</v>
      </c>
      <c r="B8" s="33" t="s">
        <v>2010</v>
      </c>
      <c r="C8" s="1" t="s">
        <v>38</v>
      </c>
      <c r="D8" s="33">
        <v>121</v>
      </c>
      <c r="E8" s="33">
        <v>8</v>
      </c>
      <c r="F8" s="33">
        <v>112</v>
      </c>
      <c r="G8" s="1">
        <v>14</v>
      </c>
      <c r="H8" s="1">
        <v>125</v>
      </c>
      <c r="I8" s="1">
        <v>31</v>
      </c>
      <c r="J8" s="1">
        <v>78</v>
      </c>
      <c r="K8" s="1">
        <v>46</v>
      </c>
      <c r="L8" s="1">
        <v>84</v>
      </c>
      <c r="M8" s="1">
        <v>11</v>
      </c>
      <c r="N8" s="1">
        <v>79</v>
      </c>
      <c r="O8" s="1">
        <v>1</v>
      </c>
      <c r="P8" s="1">
        <v>599</v>
      </c>
      <c r="Q8" s="1">
        <v>1</v>
      </c>
      <c r="R8" s="1">
        <v>7</v>
      </c>
    </row>
    <row r="9" spans="1:18">
      <c r="A9" s="1" t="s">
        <v>2011</v>
      </c>
      <c r="B9" s="33" t="s">
        <v>1998</v>
      </c>
      <c r="C9" s="1" t="s">
        <v>2012</v>
      </c>
      <c r="D9" s="33">
        <v>110</v>
      </c>
      <c r="E9" s="33">
        <v>68</v>
      </c>
      <c r="F9" s="33">
        <v>119</v>
      </c>
      <c r="G9" s="1">
        <v>6</v>
      </c>
      <c r="H9" s="1">
        <v>132.5</v>
      </c>
      <c r="I9" s="1">
        <v>5</v>
      </c>
      <c r="J9" s="1">
        <v>86</v>
      </c>
      <c r="K9" s="1">
        <v>9</v>
      </c>
      <c r="L9" s="1">
        <v>79</v>
      </c>
      <c r="M9" s="1">
        <v>35</v>
      </c>
      <c r="N9" s="1">
        <v>72</v>
      </c>
      <c r="O9" s="1">
        <v>5</v>
      </c>
      <c r="P9" s="1">
        <v>598.5</v>
      </c>
      <c r="Q9" s="1">
        <v>7</v>
      </c>
      <c r="R9" s="1">
        <v>8</v>
      </c>
    </row>
    <row r="10" spans="1:18">
      <c r="A10" s="1" t="s">
        <v>2013</v>
      </c>
      <c r="B10" s="33" t="s">
        <v>1998</v>
      </c>
      <c r="C10" s="1" t="s">
        <v>2014</v>
      </c>
      <c r="D10" s="33">
        <v>117</v>
      </c>
      <c r="E10" s="33">
        <v>27</v>
      </c>
      <c r="F10" s="33">
        <v>117</v>
      </c>
      <c r="G10" s="1">
        <v>11</v>
      </c>
      <c r="H10" s="1">
        <v>129.5</v>
      </c>
      <c r="I10" s="1">
        <v>9</v>
      </c>
      <c r="J10" s="1">
        <v>83</v>
      </c>
      <c r="K10" s="1">
        <v>16</v>
      </c>
      <c r="L10" s="1">
        <v>83</v>
      </c>
      <c r="M10" s="1">
        <v>13</v>
      </c>
      <c r="N10" s="1">
        <v>66</v>
      </c>
      <c r="O10" s="1">
        <v>13</v>
      </c>
      <c r="P10" s="1">
        <v>595.5</v>
      </c>
      <c r="Q10" s="1">
        <v>8</v>
      </c>
      <c r="R10" s="1">
        <v>9</v>
      </c>
    </row>
    <row r="11" spans="1:18">
      <c r="A11" s="1" t="s">
        <v>2015</v>
      </c>
      <c r="B11" s="33" t="s">
        <v>1998</v>
      </c>
      <c r="C11" s="1" t="s">
        <v>2016</v>
      </c>
      <c r="D11" s="33">
        <v>115</v>
      </c>
      <c r="E11" s="33">
        <v>38</v>
      </c>
      <c r="F11" s="33">
        <v>110</v>
      </c>
      <c r="G11" s="1">
        <v>16</v>
      </c>
      <c r="H11" s="1">
        <v>132.5</v>
      </c>
      <c r="I11" s="1">
        <v>5</v>
      </c>
      <c r="J11" s="1">
        <v>84</v>
      </c>
      <c r="K11" s="1">
        <v>12</v>
      </c>
      <c r="L11" s="1">
        <v>84</v>
      </c>
      <c r="M11" s="1">
        <v>11</v>
      </c>
      <c r="N11" s="1">
        <v>66</v>
      </c>
      <c r="O11" s="1">
        <v>13</v>
      </c>
      <c r="P11" s="1">
        <v>591.5</v>
      </c>
      <c r="Q11" s="1">
        <v>9</v>
      </c>
      <c r="R11" s="1">
        <v>10</v>
      </c>
    </row>
    <row r="12" spans="1:18">
      <c r="A12" s="1" t="s">
        <v>2017</v>
      </c>
      <c r="B12" s="33" t="s">
        <v>1998</v>
      </c>
      <c r="C12" s="1" t="s">
        <v>2018</v>
      </c>
      <c r="D12" s="33">
        <v>116</v>
      </c>
      <c r="E12" s="33">
        <v>32</v>
      </c>
      <c r="F12" s="33">
        <v>98</v>
      </c>
      <c r="G12" s="1">
        <v>26</v>
      </c>
      <c r="H12" s="1">
        <v>139.5</v>
      </c>
      <c r="I12" s="1">
        <v>2</v>
      </c>
      <c r="J12" s="1">
        <v>84</v>
      </c>
      <c r="K12" s="1">
        <v>12</v>
      </c>
      <c r="L12" s="1">
        <v>83</v>
      </c>
      <c r="M12" s="1">
        <v>13</v>
      </c>
      <c r="N12" s="1">
        <v>58</v>
      </c>
      <c r="O12" s="1">
        <v>33</v>
      </c>
      <c r="P12" s="1">
        <v>578.5</v>
      </c>
      <c r="Q12" s="1">
        <v>10</v>
      </c>
      <c r="R12" s="1">
        <v>11</v>
      </c>
    </row>
    <row r="13" spans="1:18">
      <c r="A13" s="1" t="s">
        <v>2019</v>
      </c>
      <c r="B13" s="33" t="s">
        <v>1998</v>
      </c>
      <c r="C13" s="1" t="s">
        <v>2020</v>
      </c>
      <c r="D13" s="33">
        <v>124</v>
      </c>
      <c r="E13" s="33">
        <v>4</v>
      </c>
      <c r="F13" s="33">
        <v>111</v>
      </c>
      <c r="G13" s="1">
        <v>15</v>
      </c>
      <c r="H13" s="1">
        <v>125.5</v>
      </c>
      <c r="I13" s="1">
        <v>27</v>
      </c>
      <c r="J13" s="1">
        <v>83</v>
      </c>
      <c r="K13" s="1">
        <v>16</v>
      </c>
      <c r="L13" s="1">
        <v>77</v>
      </c>
      <c r="M13" s="1">
        <v>48</v>
      </c>
      <c r="N13" s="1">
        <v>56</v>
      </c>
      <c r="O13" s="1">
        <v>43</v>
      </c>
      <c r="P13" s="1">
        <v>576.5</v>
      </c>
      <c r="Q13" s="1">
        <v>11</v>
      </c>
      <c r="R13" s="1">
        <v>12</v>
      </c>
    </row>
    <row r="14" spans="1:18">
      <c r="A14" s="1" t="s">
        <v>2021</v>
      </c>
      <c r="B14" s="33" t="s">
        <v>1998</v>
      </c>
      <c r="C14" s="1" t="s">
        <v>2022</v>
      </c>
      <c r="D14" s="33">
        <v>121</v>
      </c>
      <c r="E14" s="33">
        <v>8</v>
      </c>
      <c r="F14" s="33">
        <v>118</v>
      </c>
      <c r="G14" s="1">
        <v>8</v>
      </c>
      <c r="H14" s="1">
        <v>120</v>
      </c>
      <c r="I14" s="1">
        <v>43</v>
      </c>
      <c r="J14" s="1">
        <v>76</v>
      </c>
      <c r="K14" s="1">
        <v>59</v>
      </c>
      <c r="L14" s="1">
        <v>63</v>
      </c>
      <c r="M14" s="1">
        <v>106</v>
      </c>
      <c r="N14" s="1">
        <v>78</v>
      </c>
      <c r="O14" s="1">
        <v>2</v>
      </c>
      <c r="P14" s="1">
        <v>576</v>
      </c>
      <c r="Q14" s="1">
        <v>12</v>
      </c>
      <c r="R14" s="1">
        <v>13</v>
      </c>
    </row>
    <row r="15" spans="1:18">
      <c r="A15" s="1" t="s">
        <v>2023</v>
      </c>
      <c r="B15" s="33" t="s">
        <v>1998</v>
      </c>
      <c r="C15" s="1" t="s">
        <v>2024</v>
      </c>
      <c r="D15" s="33">
        <v>110</v>
      </c>
      <c r="E15" s="33">
        <v>68</v>
      </c>
      <c r="F15" s="33">
        <v>118</v>
      </c>
      <c r="G15" s="1">
        <v>8</v>
      </c>
      <c r="H15" s="1">
        <v>129</v>
      </c>
      <c r="I15" s="1">
        <v>12</v>
      </c>
      <c r="J15" s="1">
        <v>76</v>
      </c>
      <c r="K15" s="1">
        <v>59</v>
      </c>
      <c r="L15" s="1">
        <v>80</v>
      </c>
      <c r="M15" s="1">
        <v>30</v>
      </c>
      <c r="N15" s="1">
        <v>58</v>
      </c>
      <c r="O15" s="1">
        <v>33</v>
      </c>
      <c r="P15" s="1">
        <v>571</v>
      </c>
      <c r="Q15" s="1">
        <v>13</v>
      </c>
      <c r="R15" s="1">
        <v>14</v>
      </c>
    </row>
    <row r="16" spans="1:18">
      <c r="A16" s="1" t="s">
        <v>2025</v>
      </c>
      <c r="B16" s="33" t="s">
        <v>1998</v>
      </c>
      <c r="C16" s="1" t="s">
        <v>2026</v>
      </c>
      <c r="D16" s="33">
        <v>114</v>
      </c>
      <c r="E16" s="33">
        <v>44</v>
      </c>
      <c r="F16" s="33">
        <v>106</v>
      </c>
      <c r="G16" s="1">
        <v>19</v>
      </c>
      <c r="H16" s="1">
        <v>127</v>
      </c>
      <c r="I16" s="1">
        <v>22</v>
      </c>
      <c r="J16" s="1">
        <v>78</v>
      </c>
      <c r="K16" s="1">
        <v>46</v>
      </c>
      <c r="L16" s="1">
        <v>81</v>
      </c>
      <c r="M16" s="1">
        <v>22</v>
      </c>
      <c r="N16" s="1">
        <v>63</v>
      </c>
      <c r="O16" s="1">
        <v>20</v>
      </c>
      <c r="P16" s="1">
        <v>569</v>
      </c>
      <c r="Q16" s="1">
        <v>14</v>
      </c>
      <c r="R16" s="1">
        <v>15</v>
      </c>
    </row>
    <row r="17" spans="1:18">
      <c r="A17" s="1" t="s">
        <v>2027</v>
      </c>
      <c r="B17" s="33" t="s">
        <v>1998</v>
      </c>
      <c r="C17" s="1" t="s">
        <v>2028</v>
      </c>
      <c r="D17" s="33">
        <v>120</v>
      </c>
      <c r="E17" s="33">
        <v>12</v>
      </c>
      <c r="F17" s="33">
        <v>116</v>
      </c>
      <c r="G17" s="1">
        <v>12</v>
      </c>
      <c r="H17" s="1">
        <v>127.5</v>
      </c>
      <c r="I17" s="1">
        <v>20</v>
      </c>
      <c r="J17" s="1">
        <v>75</v>
      </c>
      <c r="K17" s="1">
        <v>66</v>
      </c>
      <c r="L17" s="1">
        <v>72</v>
      </c>
      <c r="M17" s="1">
        <v>71</v>
      </c>
      <c r="N17" s="1">
        <v>58</v>
      </c>
      <c r="O17" s="1">
        <v>33</v>
      </c>
      <c r="P17" s="1">
        <v>568.5</v>
      </c>
      <c r="Q17" s="1">
        <v>15</v>
      </c>
      <c r="R17" s="1">
        <v>16</v>
      </c>
    </row>
    <row r="18" spans="1:18">
      <c r="A18" s="1" t="s">
        <v>2031</v>
      </c>
      <c r="B18" s="33" t="s">
        <v>1998</v>
      </c>
      <c r="C18" s="1" t="s">
        <v>2032</v>
      </c>
      <c r="D18" s="33">
        <v>110</v>
      </c>
      <c r="E18" s="33">
        <v>68</v>
      </c>
      <c r="F18" s="33">
        <v>103</v>
      </c>
      <c r="G18" s="1">
        <v>22</v>
      </c>
      <c r="H18" s="1">
        <v>123</v>
      </c>
      <c r="I18" s="1">
        <v>37</v>
      </c>
      <c r="J18" s="1">
        <v>87</v>
      </c>
      <c r="K18" s="1">
        <v>6</v>
      </c>
      <c r="L18" s="1">
        <v>81</v>
      </c>
      <c r="M18" s="1">
        <v>22</v>
      </c>
      <c r="N18" s="1">
        <v>64</v>
      </c>
      <c r="O18" s="1">
        <v>18</v>
      </c>
      <c r="P18" s="1">
        <v>568</v>
      </c>
      <c r="Q18" s="1">
        <v>16</v>
      </c>
      <c r="R18" s="1">
        <v>17</v>
      </c>
    </row>
    <row r="19" spans="1:18">
      <c r="A19" s="1" t="s">
        <v>2029</v>
      </c>
      <c r="B19" s="33" t="s">
        <v>1998</v>
      </c>
      <c r="C19" s="1" t="s">
        <v>2030</v>
      </c>
      <c r="D19" s="33">
        <v>120</v>
      </c>
      <c r="E19" s="33">
        <v>12</v>
      </c>
      <c r="F19" s="33">
        <v>105</v>
      </c>
      <c r="G19" s="1">
        <v>20</v>
      </c>
      <c r="H19" s="1">
        <v>125</v>
      </c>
      <c r="I19" s="1">
        <v>31</v>
      </c>
      <c r="J19" s="1">
        <v>86</v>
      </c>
      <c r="K19" s="1">
        <v>9</v>
      </c>
      <c r="L19" s="1">
        <v>77</v>
      </c>
      <c r="M19" s="1">
        <v>48</v>
      </c>
      <c r="N19" s="1">
        <v>55</v>
      </c>
      <c r="O19" s="1">
        <v>49</v>
      </c>
      <c r="P19" s="1">
        <v>568</v>
      </c>
      <c r="Q19" s="1">
        <v>16</v>
      </c>
      <c r="R19" s="1">
        <v>17</v>
      </c>
    </row>
    <row r="20" spans="1:18">
      <c r="A20" s="1" t="s">
        <v>2033</v>
      </c>
      <c r="B20" s="33" t="s">
        <v>1998</v>
      </c>
      <c r="C20" s="1" t="s">
        <v>2034</v>
      </c>
      <c r="D20" s="33">
        <v>112</v>
      </c>
      <c r="E20" s="33">
        <v>51</v>
      </c>
      <c r="F20" s="33">
        <v>107</v>
      </c>
      <c r="G20" s="1">
        <v>17</v>
      </c>
      <c r="H20" s="1">
        <v>128.5</v>
      </c>
      <c r="I20" s="1">
        <v>14</v>
      </c>
      <c r="J20" s="1">
        <v>75</v>
      </c>
      <c r="K20" s="1">
        <v>66</v>
      </c>
      <c r="L20" s="1">
        <v>87</v>
      </c>
      <c r="M20" s="1">
        <v>6</v>
      </c>
      <c r="N20" s="1">
        <v>58</v>
      </c>
      <c r="O20" s="1">
        <v>33</v>
      </c>
      <c r="P20" s="1">
        <v>567.5</v>
      </c>
      <c r="Q20" s="1">
        <v>18</v>
      </c>
      <c r="R20" s="1">
        <v>19</v>
      </c>
    </row>
    <row r="21" spans="1:18">
      <c r="A21" s="1" t="s">
        <v>2035</v>
      </c>
      <c r="B21" s="33" t="s">
        <v>1998</v>
      </c>
      <c r="C21" s="1" t="s">
        <v>2036</v>
      </c>
      <c r="D21" s="33">
        <v>123</v>
      </c>
      <c r="E21" s="33">
        <v>5</v>
      </c>
      <c r="F21" s="33">
        <v>89</v>
      </c>
      <c r="G21" s="1">
        <v>36</v>
      </c>
      <c r="H21" s="1">
        <v>128</v>
      </c>
      <c r="I21" s="1">
        <v>18</v>
      </c>
      <c r="J21" s="1">
        <v>82</v>
      </c>
      <c r="K21" s="1">
        <v>20</v>
      </c>
      <c r="L21" s="1">
        <v>79</v>
      </c>
      <c r="M21" s="1">
        <v>35</v>
      </c>
      <c r="N21" s="1">
        <v>63</v>
      </c>
      <c r="O21" s="1">
        <v>20</v>
      </c>
      <c r="P21" s="1">
        <v>564</v>
      </c>
      <c r="Q21" s="1">
        <v>19</v>
      </c>
      <c r="R21" s="1">
        <v>20</v>
      </c>
    </row>
    <row r="22" spans="1:18">
      <c r="A22" s="1" t="s">
        <v>2037</v>
      </c>
      <c r="B22" s="33" t="s">
        <v>2039</v>
      </c>
      <c r="C22" s="1" t="s">
        <v>2038</v>
      </c>
      <c r="D22" s="33">
        <v>120</v>
      </c>
      <c r="E22" s="33">
        <v>12</v>
      </c>
      <c r="F22" s="33">
        <v>105</v>
      </c>
      <c r="G22" s="1">
        <v>20</v>
      </c>
      <c r="H22" s="1">
        <v>103.5</v>
      </c>
      <c r="I22" s="1">
        <v>92</v>
      </c>
      <c r="J22" s="1">
        <v>85</v>
      </c>
      <c r="K22" s="1">
        <v>11</v>
      </c>
      <c r="L22" s="1">
        <v>79</v>
      </c>
      <c r="M22" s="1">
        <v>35</v>
      </c>
      <c r="N22" s="1">
        <v>70</v>
      </c>
      <c r="O22" s="1">
        <v>9</v>
      </c>
      <c r="P22" s="1">
        <v>562.5</v>
      </c>
      <c r="Q22" s="1">
        <v>1</v>
      </c>
      <c r="R22" s="1">
        <v>21</v>
      </c>
    </row>
    <row r="23" spans="1:18">
      <c r="A23" s="1" t="s">
        <v>2040</v>
      </c>
      <c r="B23" s="33" t="s">
        <v>1998</v>
      </c>
      <c r="C23" s="1" t="s">
        <v>2041</v>
      </c>
      <c r="D23" s="33">
        <v>120</v>
      </c>
      <c r="E23" s="33">
        <v>12</v>
      </c>
      <c r="F23" s="33">
        <v>107</v>
      </c>
      <c r="G23" s="1">
        <v>17</v>
      </c>
      <c r="H23" s="1">
        <v>120</v>
      </c>
      <c r="I23" s="1">
        <v>43</v>
      </c>
      <c r="J23" s="1">
        <v>77</v>
      </c>
      <c r="K23" s="1">
        <v>52</v>
      </c>
      <c r="L23" s="1">
        <v>74</v>
      </c>
      <c r="M23" s="1">
        <v>62</v>
      </c>
      <c r="N23" s="1">
        <v>64</v>
      </c>
      <c r="O23" s="1">
        <v>18</v>
      </c>
      <c r="P23" s="1">
        <v>562</v>
      </c>
      <c r="Q23" s="1">
        <v>20</v>
      </c>
      <c r="R23" s="1">
        <v>22</v>
      </c>
    </row>
    <row r="24" spans="1:18">
      <c r="A24" s="1" t="s">
        <v>2042</v>
      </c>
      <c r="B24" s="33" t="s">
        <v>1998</v>
      </c>
      <c r="C24" s="1" t="s">
        <v>2043</v>
      </c>
      <c r="D24" s="33">
        <v>116</v>
      </c>
      <c r="E24" s="33">
        <v>32</v>
      </c>
      <c r="F24" s="33">
        <v>98</v>
      </c>
      <c r="G24" s="1">
        <v>26</v>
      </c>
      <c r="H24" s="1">
        <v>126.5</v>
      </c>
      <c r="I24" s="1">
        <v>24</v>
      </c>
      <c r="J24" s="1">
        <v>73</v>
      </c>
      <c r="K24" s="1">
        <v>83</v>
      </c>
      <c r="L24" s="1">
        <v>83</v>
      </c>
      <c r="M24" s="1">
        <v>13</v>
      </c>
      <c r="N24" s="1">
        <v>61</v>
      </c>
      <c r="O24" s="1">
        <v>25</v>
      </c>
      <c r="P24" s="1">
        <v>557.5</v>
      </c>
      <c r="Q24" s="1">
        <v>21</v>
      </c>
      <c r="R24" s="1">
        <v>23</v>
      </c>
    </row>
    <row r="25" spans="1:18">
      <c r="A25" s="1" t="s">
        <v>2044</v>
      </c>
      <c r="B25" s="33" t="s">
        <v>1998</v>
      </c>
      <c r="C25" s="1" t="s">
        <v>2045</v>
      </c>
      <c r="D25" s="33">
        <v>115</v>
      </c>
      <c r="E25" s="33">
        <v>38</v>
      </c>
      <c r="F25" s="33">
        <v>103</v>
      </c>
      <c r="G25" s="1">
        <v>22</v>
      </c>
      <c r="H25" s="1">
        <v>114.5</v>
      </c>
      <c r="I25" s="1">
        <v>57</v>
      </c>
      <c r="J25" s="1">
        <v>89</v>
      </c>
      <c r="K25" s="1">
        <v>3</v>
      </c>
      <c r="L25" s="1">
        <v>61</v>
      </c>
      <c r="M25" s="1">
        <v>110</v>
      </c>
      <c r="N25" s="1">
        <v>68</v>
      </c>
      <c r="O25" s="1">
        <v>11</v>
      </c>
      <c r="P25" s="1">
        <v>550.5</v>
      </c>
      <c r="Q25" s="1">
        <v>22</v>
      </c>
      <c r="R25" s="1">
        <v>24</v>
      </c>
    </row>
    <row r="26" spans="1:18">
      <c r="A26" s="1" t="s">
        <v>2046</v>
      </c>
      <c r="B26" s="33" t="s">
        <v>1998</v>
      </c>
      <c r="C26" s="1" t="s">
        <v>2047</v>
      </c>
      <c r="D26" s="33">
        <v>108</v>
      </c>
      <c r="E26" s="33">
        <v>78</v>
      </c>
      <c r="F26" s="33">
        <v>119</v>
      </c>
      <c r="G26" s="1">
        <v>6</v>
      </c>
      <c r="H26" s="1">
        <v>118.5</v>
      </c>
      <c r="I26" s="1">
        <v>47</v>
      </c>
      <c r="J26" s="1">
        <v>74</v>
      </c>
      <c r="K26" s="1">
        <v>77</v>
      </c>
      <c r="L26" s="1">
        <v>77</v>
      </c>
      <c r="M26" s="1">
        <v>48</v>
      </c>
      <c r="N26" s="1">
        <v>53</v>
      </c>
      <c r="O26" s="1">
        <v>59</v>
      </c>
      <c r="P26" s="1">
        <v>549.5</v>
      </c>
      <c r="Q26" s="1">
        <v>23</v>
      </c>
      <c r="R26" s="1">
        <v>25</v>
      </c>
    </row>
    <row r="27" spans="1:18">
      <c r="A27" s="1" t="s">
        <v>2048</v>
      </c>
      <c r="B27" s="33" t="s">
        <v>1998</v>
      </c>
      <c r="C27" s="1" t="s">
        <v>2049</v>
      </c>
      <c r="D27" s="33">
        <v>120</v>
      </c>
      <c r="E27" s="33">
        <v>12</v>
      </c>
      <c r="F27" s="33">
        <v>84</v>
      </c>
      <c r="G27" s="1">
        <v>45</v>
      </c>
      <c r="H27" s="1">
        <v>125.5</v>
      </c>
      <c r="I27" s="1">
        <v>27</v>
      </c>
      <c r="J27" s="1">
        <v>76</v>
      </c>
      <c r="K27" s="1">
        <v>59</v>
      </c>
      <c r="L27" s="1">
        <v>85</v>
      </c>
      <c r="M27" s="1">
        <v>8</v>
      </c>
      <c r="N27" s="1">
        <v>57</v>
      </c>
      <c r="O27" s="1">
        <v>38</v>
      </c>
      <c r="P27" s="1">
        <v>547.5</v>
      </c>
      <c r="Q27" s="1">
        <v>24</v>
      </c>
      <c r="R27" s="1">
        <v>26</v>
      </c>
    </row>
    <row r="28" spans="1:18">
      <c r="A28" s="1" t="s">
        <v>2050</v>
      </c>
      <c r="B28" s="33" t="s">
        <v>2010</v>
      </c>
      <c r="C28" s="1" t="s">
        <v>2051</v>
      </c>
      <c r="D28" s="33">
        <v>116</v>
      </c>
      <c r="E28" s="33">
        <v>32</v>
      </c>
      <c r="F28" s="33">
        <v>89</v>
      </c>
      <c r="G28" s="1">
        <v>36</v>
      </c>
      <c r="H28" s="1">
        <v>125.5</v>
      </c>
      <c r="I28" s="1">
        <v>27</v>
      </c>
      <c r="J28" s="1">
        <v>77</v>
      </c>
      <c r="K28" s="1">
        <v>52</v>
      </c>
      <c r="L28" s="1">
        <v>76</v>
      </c>
      <c r="M28" s="1">
        <v>54</v>
      </c>
      <c r="N28" s="1">
        <v>59</v>
      </c>
      <c r="O28" s="1">
        <v>29</v>
      </c>
      <c r="P28" s="1">
        <v>542.5</v>
      </c>
      <c r="Q28" s="1">
        <v>2</v>
      </c>
      <c r="R28" s="1">
        <v>27</v>
      </c>
    </row>
    <row r="29" spans="1:18">
      <c r="A29" s="1" t="s">
        <v>2052</v>
      </c>
      <c r="B29" s="33" t="s">
        <v>1998</v>
      </c>
      <c r="C29" s="1" t="s">
        <v>2053</v>
      </c>
      <c r="D29" s="33">
        <v>117</v>
      </c>
      <c r="E29" s="33">
        <v>27</v>
      </c>
      <c r="F29" s="33">
        <v>97</v>
      </c>
      <c r="G29" s="1">
        <v>29</v>
      </c>
      <c r="H29" s="1">
        <v>106.5</v>
      </c>
      <c r="I29" s="1">
        <v>81</v>
      </c>
      <c r="J29" s="1">
        <v>84</v>
      </c>
      <c r="K29" s="1">
        <v>12</v>
      </c>
      <c r="L29" s="1">
        <v>74</v>
      </c>
      <c r="M29" s="1">
        <v>62</v>
      </c>
      <c r="N29" s="1">
        <v>60</v>
      </c>
      <c r="O29" s="1">
        <v>26</v>
      </c>
      <c r="P29" s="1">
        <v>538.5</v>
      </c>
      <c r="Q29" s="1">
        <v>25</v>
      </c>
      <c r="R29" s="1">
        <v>28</v>
      </c>
    </row>
    <row r="30" spans="1:18">
      <c r="A30" s="1" t="s">
        <v>2054</v>
      </c>
      <c r="B30" s="33" t="s">
        <v>1998</v>
      </c>
      <c r="C30" s="1" t="s">
        <v>2055</v>
      </c>
      <c r="D30" s="33">
        <v>119</v>
      </c>
      <c r="E30" s="33">
        <v>21</v>
      </c>
      <c r="F30" s="33">
        <v>71</v>
      </c>
      <c r="G30" s="1">
        <v>70</v>
      </c>
      <c r="H30" s="1">
        <v>127.5</v>
      </c>
      <c r="I30" s="1">
        <v>20</v>
      </c>
      <c r="J30" s="1">
        <v>81</v>
      </c>
      <c r="K30" s="1">
        <v>23</v>
      </c>
      <c r="L30" s="1">
        <v>83</v>
      </c>
      <c r="M30" s="1">
        <v>13</v>
      </c>
      <c r="N30" s="1">
        <v>57</v>
      </c>
      <c r="O30" s="1">
        <v>38</v>
      </c>
      <c r="P30" s="1">
        <v>538.5</v>
      </c>
      <c r="Q30" s="1">
        <v>25</v>
      </c>
      <c r="R30" s="1">
        <v>28</v>
      </c>
    </row>
    <row r="31" spans="1:18">
      <c r="A31" s="1" t="s">
        <v>2056</v>
      </c>
      <c r="B31" s="33" t="s">
        <v>1998</v>
      </c>
      <c r="C31" s="1" t="s">
        <v>2057</v>
      </c>
      <c r="D31" s="33">
        <v>118</v>
      </c>
      <c r="E31" s="33">
        <v>24</v>
      </c>
      <c r="F31" s="33">
        <v>93</v>
      </c>
      <c r="G31" s="1">
        <v>30</v>
      </c>
      <c r="H31" s="1">
        <v>101.5</v>
      </c>
      <c r="I31" s="1">
        <v>99</v>
      </c>
      <c r="J31" s="1">
        <v>80</v>
      </c>
      <c r="K31" s="1">
        <v>31</v>
      </c>
      <c r="L31" s="1">
        <v>77</v>
      </c>
      <c r="M31" s="1">
        <v>48</v>
      </c>
      <c r="N31" s="1">
        <v>65</v>
      </c>
      <c r="O31" s="1">
        <v>15</v>
      </c>
      <c r="P31" s="1">
        <v>534.5</v>
      </c>
      <c r="Q31" s="1">
        <v>27</v>
      </c>
      <c r="R31" s="1">
        <v>30</v>
      </c>
    </row>
    <row r="32" spans="1:18">
      <c r="A32" s="1" t="s">
        <v>2058</v>
      </c>
      <c r="B32" s="33" t="s">
        <v>1998</v>
      </c>
      <c r="C32" s="1" t="s">
        <v>2059</v>
      </c>
      <c r="D32" s="33">
        <v>120</v>
      </c>
      <c r="E32" s="33">
        <v>12</v>
      </c>
      <c r="F32" s="33">
        <v>90</v>
      </c>
      <c r="G32" s="1">
        <v>34</v>
      </c>
      <c r="H32" s="1">
        <v>118.5</v>
      </c>
      <c r="I32" s="1">
        <v>47</v>
      </c>
      <c r="J32" s="1">
        <v>73</v>
      </c>
      <c r="K32" s="1">
        <v>83</v>
      </c>
      <c r="L32" s="1">
        <v>82</v>
      </c>
      <c r="M32" s="1">
        <v>19</v>
      </c>
      <c r="N32" s="1">
        <v>49</v>
      </c>
      <c r="O32" s="1">
        <v>81</v>
      </c>
      <c r="P32" s="1">
        <v>532.5</v>
      </c>
      <c r="Q32" s="1">
        <v>28</v>
      </c>
      <c r="R32" s="1">
        <v>31</v>
      </c>
    </row>
    <row r="33" spans="1:18">
      <c r="A33" s="1" t="s">
        <v>2060</v>
      </c>
      <c r="B33" s="33" t="s">
        <v>2010</v>
      </c>
      <c r="C33" s="1" t="s">
        <v>2061</v>
      </c>
      <c r="D33" s="33">
        <v>126</v>
      </c>
      <c r="E33" s="33">
        <v>2</v>
      </c>
      <c r="F33" s="33">
        <v>84</v>
      </c>
      <c r="G33" s="1">
        <v>45</v>
      </c>
      <c r="H33" s="1">
        <v>113</v>
      </c>
      <c r="I33" s="1">
        <v>61</v>
      </c>
      <c r="J33" s="1">
        <v>79</v>
      </c>
      <c r="K33" s="1">
        <v>35</v>
      </c>
      <c r="L33" s="1">
        <v>77</v>
      </c>
      <c r="M33" s="1">
        <v>48</v>
      </c>
      <c r="N33" s="1">
        <v>53</v>
      </c>
      <c r="O33" s="1">
        <v>59</v>
      </c>
      <c r="P33" s="1">
        <v>532</v>
      </c>
      <c r="Q33" s="1">
        <v>3</v>
      </c>
      <c r="R33" s="1">
        <v>32</v>
      </c>
    </row>
    <row r="34" spans="1:18">
      <c r="A34" s="1" t="s">
        <v>2062</v>
      </c>
      <c r="B34" s="33" t="s">
        <v>2010</v>
      </c>
      <c r="C34" s="1" t="s">
        <v>2063</v>
      </c>
      <c r="D34" s="33">
        <v>112</v>
      </c>
      <c r="E34" s="33">
        <v>51</v>
      </c>
      <c r="F34" s="33">
        <v>100</v>
      </c>
      <c r="G34" s="1">
        <v>25</v>
      </c>
      <c r="H34" s="1">
        <v>111</v>
      </c>
      <c r="I34" s="1">
        <v>67</v>
      </c>
      <c r="J34" s="1">
        <v>79</v>
      </c>
      <c r="K34" s="1">
        <v>35</v>
      </c>
      <c r="L34" s="1">
        <v>81</v>
      </c>
      <c r="M34" s="1">
        <v>22</v>
      </c>
      <c r="N34" s="1">
        <v>48</v>
      </c>
      <c r="O34" s="1">
        <v>87</v>
      </c>
      <c r="P34" s="1">
        <v>531</v>
      </c>
      <c r="Q34" s="1">
        <v>4</v>
      </c>
      <c r="R34" s="1">
        <v>33</v>
      </c>
    </row>
    <row r="35" spans="1:18">
      <c r="A35" s="1" t="s">
        <v>2064</v>
      </c>
      <c r="B35" s="33" t="s">
        <v>2039</v>
      </c>
      <c r="C35" s="1" t="s">
        <v>2065</v>
      </c>
      <c r="D35" s="33">
        <v>109</v>
      </c>
      <c r="E35" s="33">
        <v>74</v>
      </c>
      <c r="F35" s="33">
        <v>113</v>
      </c>
      <c r="G35" s="1">
        <v>13</v>
      </c>
      <c r="H35" s="1">
        <v>103.5</v>
      </c>
      <c r="I35" s="1">
        <v>92</v>
      </c>
      <c r="J35" s="1">
        <v>78</v>
      </c>
      <c r="K35" s="1">
        <v>46</v>
      </c>
      <c r="L35" s="1">
        <v>75</v>
      </c>
      <c r="M35" s="1">
        <v>59</v>
      </c>
      <c r="N35" s="1">
        <v>52</v>
      </c>
      <c r="O35" s="1">
        <v>68</v>
      </c>
      <c r="P35" s="1">
        <v>530.5</v>
      </c>
      <c r="Q35" s="1">
        <v>2</v>
      </c>
      <c r="R35" s="1">
        <v>34</v>
      </c>
    </row>
    <row r="36" spans="1:18">
      <c r="A36" s="1" t="s">
        <v>2066</v>
      </c>
      <c r="B36" s="33" t="s">
        <v>1998</v>
      </c>
      <c r="C36" s="1" t="s">
        <v>2067</v>
      </c>
      <c r="D36" s="33">
        <v>112</v>
      </c>
      <c r="E36" s="33">
        <v>51</v>
      </c>
      <c r="F36" s="33">
        <v>73</v>
      </c>
      <c r="G36" s="1">
        <v>69</v>
      </c>
      <c r="H36" s="1">
        <v>117</v>
      </c>
      <c r="I36" s="1">
        <v>51</v>
      </c>
      <c r="J36" s="1">
        <v>81</v>
      </c>
      <c r="K36" s="1">
        <v>23</v>
      </c>
      <c r="L36" s="1">
        <v>82</v>
      </c>
      <c r="M36" s="1">
        <v>19</v>
      </c>
      <c r="N36" s="1">
        <v>65</v>
      </c>
      <c r="O36" s="1">
        <v>15</v>
      </c>
      <c r="P36" s="1">
        <v>530</v>
      </c>
      <c r="Q36" s="1">
        <v>29</v>
      </c>
      <c r="R36" s="1">
        <v>35</v>
      </c>
    </row>
    <row r="37" spans="1:18">
      <c r="A37" s="1" t="s">
        <v>2068</v>
      </c>
      <c r="B37" s="33" t="s">
        <v>1998</v>
      </c>
      <c r="C37" s="1" t="s">
        <v>2069</v>
      </c>
      <c r="D37" s="33">
        <v>120</v>
      </c>
      <c r="E37" s="33">
        <v>12</v>
      </c>
      <c r="F37" s="33">
        <v>84</v>
      </c>
      <c r="G37" s="1">
        <v>45</v>
      </c>
      <c r="H37" s="1">
        <v>115.5</v>
      </c>
      <c r="I37" s="1">
        <v>52</v>
      </c>
      <c r="J37" s="1">
        <v>84</v>
      </c>
      <c r="K37" s="1">
        <v>12</v>
      </c>
      <c r="L37" s="1">
        <v>79</v>
      </c>
      <c r="M37" s="1">
        <v>35</v>
      </c>
      <c r="N37" s="1">
        <v>47</v>
      </c>
      <c r="O37" s="1">
        <v>91</v>
      </c>
      <c r="P37" s="1">
        <v>529.5</v>
      </c>
      <c r="Q37" s="1">
        <v>30</v>
      </c>
      <c r="R37" s="1">
        <v>36</v>
      </c>
    </row>
    <row r="38" spans="1:18">
      <c r="A38" s="1" t="s">
        <v>2070</v>
      </c>
      <c r="B38" s="33" t="s">
        <v>2039</v>
      </c>
      <c r="C38" s="1" t="s">
        <v>2071</v>
      </c>
      <c r="D38" s="33">
        <v>117</v>
      </c>
      <c r="E38" s="33">
        <v>27</v>
      </c>
      <c r="F38" s="33">
        <v>98</v>
      </c>
      <c r="G38" s="1">
        <v>26</v>
      </c>
      <c r="H38" s="1">
        <v>129.5</v>
      </c>
      <c r="I38" s="1">
        <v>9</v>
      </c>
      <c r="J38" s="1">
        <v>82</v>
      </c>
      <c r="K38" s="1">
        <v>20</v>
      </c>
      <c r="L38" s="1">
        <v>59</v>
      </c>
      <c r="M38" s="1">
        <v>113</v>
      </c>
      <c r="N38" s="1">
        <v>44</v>
      </c>
      <c r="O38" s="1">
        <v>101</v>
      </c>
      <c r="P38" s="1">
        <v>529.5</v>
      </c>
      <c r="Q38" s="1">
        <v>3</v>
      </c>
      <c r="R38" s="1">
        <v>36</v>
      </c>
    </row>
    <row r="39" spans="1:18">
      <c r="A39" s="1" t="s">
        <v>2072</v>
      </c>
      <c r="B39" s="33" t="s">
        <v>1998</v>
      </c>
      <c r="C39" s="1" t="s">
        <v>2073</v>
      </c>
      <c r="D39" s="33">
        <v>118</v>
      </c>
      <c r="E39" s="33">
        <v>24</v>
      </c>
      <c r="F39" s="33">
        <v>80</v>
      </c>
      <c r="G39" s="1">
        <v>56</v>
      </c>
      <c r="H39" s="1">
        <v>121.5</v>
      </c>
      <c r="I39" s="1">
        <v>40</v>
      </c>
      <c r="J39" s="1">
        <v>77</v>
      </c>
      <c r="K39" s="1">
        <v>52</v>
      </c>
      <c r="L39" s="1">
        <v>76</v>
      </c>
      <c r="M39" s="1">
        <v>54</v>
      </c>
      <c r="N39" s="1">
        <v>55</v>
      </c>
      <c r="O39" s="1">
        <v>49</v>
      </c>
      <c r="P39" s="1">
        <v>527.5</v>
      </c>
      <c r="Q39" s="1">
        <v>31</v>
      </c>
      <c r="R39" s="1">
        <v>38</v>
      </c>
    </row>
    <row r="40" spans="1:18">
      <c r="A40" s="1" t="s">
        <v>2074</v>
      </c>
      <c r="B40" s="33" t="s">
        <v>2039</v>
      </c>
      <c r="C40" s="1" t="s">
        <v>2075</v>
      </c>
      <c r="D40" s="33">
        <v>112</v>
      </c>
      <c r="E40" s="33">
        <v>51</v>
      </c>
      <c r="F40" s="33">
        <v>80</v>
      </c>
      <c r="G40" s="1">
        <v>56</v>
      </c>
      <c r="H40" s="1">
        <v>115.5</v>
      </c>
      <c r="I40" s="1">
        <v>52</v>
      </c>
      <c r="J40" s="1">
        <v>87</v>
      </c>
      <c r="K40" s="1">
        <v>6</v>
      </c>
      <c r="L40" s="1">
        <v>73</v>
      </c>
      <c r="M40" s="1">
        <v>66</v>
      </c>
      <c r="N40" s="1">
        <v>59</v>
      </c>
      <c r="O40" s="1">
        <v>29</v>
      </c>
      <c r="P40" s="1">
        <v>526.5</v>
      </c>
      <c r="Q40" s="1">
        <v>4</v>
      </c>
      <c r="R40" s="1">
        <v>39</v>
      </c>
    </row>
    <row r="41" spans="1:18">
      <c r="A41" s="1" t="s">
        <v>2076</v>
      </c>
      <c r="B41" s="33" t="s">
        <v>1998</v>
      </c>
      <c r="C41" s="1" t="s">
        <v>2077</v>
      </c>
      <c r="D41" s="33">
        <v>108</v>
      </c>
      <c r="E41" s="33">
        <v>78</v>
      </c>
      <c r="F41" s="33">
        <v>90</v>
      </c>
      <c r="G41" s="1">
        <v>34</v>
      </c>
      <c r="H41" s="1">
        <v>108</v>
      </c>
      <c r="I41" s="1">
        <v>74</v>
      </c>
      <c r="J41" s="1">
        <v>82</v>
      </c>
      <c r="K41" s="1">
        <v>20</v>
      </c>
      <c r="L41" s="1">
        <v>79</v>
      </c>
      <c r="M41" s="1">
        <v>35</v>
      </c>
      <c r="N41" s="1">
        <v>55</v>
      </c>
      <c r="O41" s="1">
        <v>49</v>
      </c>
      <c r="P41" s="1">
        <v>522</v>
      </c>
      <c r="Q41" s="1">
        <v>32</v>
      </c>
      <c r="R41" s="1">
        <v>40</v>
      </c>
    </row>
    <row r="42" spans="1:18">
      <c r="A42" s="1" t="s">
        <v>2078</v>
      </c>
      <c r="B42" s="33" t="s">
        <v>2010</v>
      </c>
      <c r="C42" s="1" t="s">
        <v>2079</v>
      </c>
      <c r="D42" s="33">
        <v>113</v>
      </c>
      <c r="E42" s="33">
        <v>46</v>
      </c>
      <c r="F42" s="33">
        <v>88</v>
      </c>
      <c r="G42" s="1">
        <v>38</v>
      </c>
      <c r="H42" s="1">
        <v>118</v>
      </c>
      <c r="I42" s="1">
        <v>49</v>
      </c>
      <c r="J42" s="1">
        <v>75</v>
      </c>
      <c r="K42" s="1">
        <v>66</v>
      </c>
      <c r="L42" s="1">
        <v>72</v>
      </c>
      <c r="M42" s="1">
        <v>71</v>
      </c>
      <c r="N42" s="1">
        <v>55</v>
      </c>
      <c r="O42" s="1">
        <v>49</v>
      </c>
      <c r="P42" s="1">
        <v>521</v>
      </c>
      <c r="Q42" s="1">
        <v>5</v>
      </c>
      <c r="R42" s="1">
        <v>41</v>
      </c>
    </row>
    <row r="43" spans="1:18">
      <c r="A43" s="1" t="s">
        <v>2080</v>
      </c>
      <c r="B43" s="33" t="s">
        <v>1998</v>
      </c>
      <c r="C43" s="1" t="s">
        <v>2081</v>
      </c>
      <c r="D43" s="33">
        <v>115</v>
      </c>
      <c r="E43" s="33">
        <v>38</v>
      </c>
      <c r="F43" s="33">
        <v>74</v>
      </c>
      <c r="G43" s="1">
        <v>66</v>
      </c>
      <c r="H43" s="1">
        <v>110.5</v>
      </c>
      <c r="I43" s="1">
        <v>68</v>
      </c>
      <c r="J43" s="1">
        <v>80</v>
      </c>
      <c r="K43" s="1">
        <v>31</v>
      </c>
      <c r="L43" s="1">
        <v>83</v>
      </c>
      <c r="M43" s="1">
        <v>13</v>
      </c>
      <c r="N43" s="1">
        <v>58</v>
      </c>
      <c r="O43" s="1">
        <v>33</v>
      </c>
      <c r="P43" s="1">
        <v>520.5</v>
      </c>
      <c r="Q43" s="1">
        <v>33</v>
      </c>
      <c r="R43" s="1">
        <v>42</v>
      </c>
    </row>
    <row r="44" spans="1:18">
      <c r="A44" s="1" t="s">
        <v>2082</v>
      </c>
      <c r="B44" s="33" t="s">
        <v>2039</v>
      </c>
      <c r="C44" s="1" t="s">
        <v>2083</v>
      </c>
      <c r="D44" s="33">
        <v>120</v>
      </c>
      <c r="E44" s="33">
        <v>12</v>
      </c>
      <c r="F44" s="33">
        <v>78</v>
      </c>
      <c r="G44" s="1">
        <v>60</v>
      </c>
      <c r="H44" s="1">
        <v>104</v>
      </c>
      <c r="I44" s="1">
        <v>91</v>
      </c>
      <c r="J44" s="1">
        <v>79</v>
      </c>
      <c r="K44" s="1">
        <v>35</v>
      </c>
      <c r="L44" s="1">
        <v>74</v>
      </c>
      <c r="M44" s="1">
        <v>62</v>
      </c>
      <c r="N44" s="1">
        <v>65</v>
      </c>
      <c r="O44" s="1">
        <v>15</v>
      </c>
      <c r="P44" s="1">
        <v>520</v>
      </c>
      <c r="Q44" s="1">
        <v>5</v>
      </c>
      <c r="R44" s="1">
        <v>43</v>
      </c>
    </row>
    <row r="45" spans="1:18">
      <c r="A45" s="1" t="s">
        <v>2086</v>
      </c>
      <c r="B45" s="33" t="s">
        <v>1998</v>
      </c>
      <c r="C45" s="1" t="s">
        <v>2087</v>
      </c>
      <c r="D45" s="33">
        <v>112</v>
      </c>
      <c r="E45" s="33">
        <v>51</v>
      </c>
      <c r="F45" s="33">
        <v>92</v>
      </c>
      <c r="G45" s="1">
        <v>32</v>
      </c>
      <c r="H45" s="1">
        <v>109</v>
      </c>
      <c r="I45" s="1">
        <v>70</v>
      </c>
      <c r="J45" s="1">
        <v>69</v>
      </c>
      <c r="K45" s="1">
        <v>100</v>
      </c>
      <c r="L45" s="1">
        <v>80</v>
      </c>
      <c r="M45" s="1">
        <v>30</v>
      </c>
      <c r="N45" s="1">
        <v>57</v>
      </c>
      <c r="O45" s="1">
        <v>38</v>
      </c>
      <c r="P45" s="1">
        <v>519</v>
      </c>
      <c r="Q45" s="1">
        <v>34</v>
      </c>
      <c r="R45" s="1">
        <v>44</v>
      </c>
    </row>
    <row r="46" spans="1:18">
      <c r="A46" s="1" t="s">
        <v>2084</v>
      </c>
      <c r="B46" s="33" t="s">
        <v>1998</v>
      </c>
      <c r="C46" s="1" t="s">
        <v>2085</v>
      </c>
      <c r="D46" s="33">
        <v>108</v>
      </c>
      <c r="E46" s="33">
        <v>78</v>
      </c>
      <c r="F46" s="33">
        <v>83</v>
      </c>
      <c r="G46" s="1">
        <v>49</v>
      </c>
      <c r="H46" s="1">
        <v>124</v>
      </c>
      <c r="I46" s="1">
        <v>36</v>
      </c>
      <c r="J46" s="1">
        <v>88</v>
      </c>
      <c r="K46" s="1">
        <v>4</v>
      </c>
      <c r="L46" s="1">
        <v>69</v>
      </c>
      <c r="M46" s="1">
        <v>85</v>
      </c>
      <c r="N46" s="1">
        <v>47</v>
      </c>
      <c r="O46" s="1">
        <v>91</v>
      </c>
      <c r="P46" s="1">
        <v>519</v>
      </c>
      <c r="Q46" s="1">
        <v>34</v>
      </c>
      <c r="R46" s="1">
        <v>44</v>
      </c>
    </row>
    <row r="47" spans="1:18">
      <c r="A47" s="1" t="s">
        <v>2088</v>
      </c>
      <c r="B47" s="33" t="s">
        <v>2039</v>
      </c>
      <c r="C47" s="1" t="s">
        <v>2089</v>
      </c>
      <c r="D47" s="33">
        <v>116</v>
      </c>
      <c r="E47" s="33">
        <v>32</v>
      </c>
      <c r="F47" s="33">
        <v>75</v>
      </c>
      <c r="G47" s="1">
        <v>64</v>
      </c>
      <c r="H47" s="1">
        <v>94.5</v>
      </c>
      <c r="I47" s="1">
        <v>113</v>
      </c>
      <c r="J47" s="1">
        <v>81</v>
      </c>
      <c r="K47" s="1">
        <v>23</v>
      </c>
      <c r="L47" s="1">
        <v>80</v>
      </c>
      <c r="M47" s="1">
        <v>30</v>
      </c>
      <c r="N47" s="1">
        <v>72</v>
      </c>
      <c r="O47" s="1">
        <v>5</v>
      </c>
      <c r="P47" s="1">
        <v>518.5</v>
      </c>
      <c r="Q47" s="1">
        <v>6</v>
      </c>
      <c r="R47" s="1">
        <v>46</v>
      </c>
    </row>
    <row r="48" spans="1:18">
      <c r="A48" s="1" t="s">
        <v>2090</v>
      </c>
      <c r="B48" s="33" t="s">
        <v>2010</v>
      </c>
      <c r="C48" s="1" t="s">
        <v>2091</v>
      </c>
      <c r="D48" s="33">
        <v>107</v>
      </c>
      <c r="E48" s="33">
        <v>83</v>
      </c>
      <c r="F48" s="33">
        <v>78</v>
      </c>
      <c r="G48" s="1">
        <v>60</v>
      </c>
      <c r="H48" s="1">
        <v>122.5</v>
      </c>
      <c r="I48" s="1">
        <v>39</v>
      </c>
      <c r="J48" s="1">
        <v>79</v>
      </c>
      <c r="K48" s="1">
        <v>35</v>
      </c>
      <c r="L48" s="1">
        <v>79</v>
      </c>
      <c r="M48" s="1">
        <v>35</v>
      </c>
      <c r="N48" s="1">
        <v>53</v>
      </c>
      <c r="O48" s="1">
        <v>59</v>
      </c>
      <c r="P48" s="1">
        <v>518.5</v>
      </c>
      <c r="Q48" s="1">
        <v>6</v>
      </c>
      <c r="R48" s="1">
        <v>46</v>
      </c>
    </row>
    <row r="49" spans="1:18">
      <c r="A49" s="1" t="s">
        <v>2092</v>
      </c>
      <c r="B49" s="33" t="s">
        <v>2039</v>
      </c>
      <c r="C49" s="1" t="s">
        <v>2093</v>
      </c>
      <c r="D49" s="33">
        <v>100</v>
      </c>
      <c r="E49" s="33">
        <v>102</v>
      </c>
      <c r="F49" s="33">
        <v>103</v>
      </c>
      <c r="G49" s="1">
        <v>22</v>
      </c>
      <c r="H49" s="1">
        <v>113</v>
      </c>
      <c r="I49" s="1">
        <v>61</v>
      </c>
      <c r="J49" s="1">
        <v>68</v>
      </c>
      <c r="K49" s="1">
        <v>102</v>
      </c>
      <c r="L49" s="1">
        <v>78</v>
      </c>
      <c r="M49" s="1">
        <v>46</v>
      </c>
      <c r="N49" s="1">
        <v>56</v>
      </c>
      <c r="O49" s="1">
        <v>43</v>
      </c>
      <c r="P49" s="1">
        <v>518</v>
      </c>
      <c r="Q49" s="1">
        <v>7</v>
      </c>
      <c r="R49" s="1">
        <v>48</v>
      </c>
    </row>
    <row r="50" spans="1:18">
      <c r="A50" s="1" t="s">
        <v>2094</v>
      </c>
      <c r="B50" s="33" t="s">
        <v>1998</v>
      </c>
      <c r="C50" s="1" t="s">
        <v>2095</v>
      </c>
      <c r="D50" s="33">
        <v>118</v>
      </c>
      <c r="E50" s="33">
        <v>24</v>
      </c>
      <c r="F50" s="33">
        <v>85</v>
      </c>
      <c r="G50" s="1">
        <v>42</v>
      </c>
      <c r="H50" s="1">
        <v>125.5</v>
      </c>
      <c r="I50" s="1">
        <v>27</v>
      </c>
      <c r="J50" s="1">
        <v>78</v>
      </c>
      <c r="K50" s="1">
        <v>46</v>
      </c>
      <c r="L50" s="1">
        <v>68</v>
      </c>
      <c r="M50" s="1">
        <v>93</v>
      </c>
      <c r="N50" s="1">
        <v>43</v>
      </c>
      <c r="O50" s="1">
        <v>104</v>
      </c>
      <c r="P50" s="1">
        <v>517.5</v>
      </c>
      <c r="Q50" s="1">
        <v>36</v>
      </c>
      <c r="R50" s="1">
        <v>49</v>
      </c>
    </row>
    <row r="51" spans="1:18">
      <c r="A51" s="1" t="s">
        <v>2096</v>
      </c>
      <c r="B51" s="33" t="s">
        <v>1998</v>
      </c>
      <c r="C51" s="1" t="s">
        <v>2097</v>
      </c>
      <c r="D51" s="33">
        <v>115</v>
      </c>
      <c r="E51" s="33">
        <v>38</v>
      </c>
      <c r="F51" s="33">
        <v>93</v>
      </c>
      <c r="G51" s="1">
        <v>30</v>
      </c>
      <c r="H51" s="1">
        <v>87</v>
      </c>
      <c r="I51" s="1">
        <v>118</v>
      </c>
      <c r="J51" s="1">
        <v>77</v>
      </c>
      <c r="K51" s="1">
        <v>52</v>
      </c>
      <c r="L51" s="1">
        <v>88</v>
      </c>
      <c r="M51" s="1">
        <v>4</v>
      </c>
      <c r="N51" s="1">
        <v>57</v>
      </c>
      <c r="O51" s="1">
        <v>38</v>
      </c>
      <c r="P51" s="1">
        <v>517</v>
      </c>
      <c r="Q51" s="1">
        <v>37</v>
      </c>
      <c r="R51" s="1">
        <v>50</v>
      </c>
    </row>
    <row r="52" spans="1:18">
      <c r="A52" s="1" t="s">
        <v>2098</v>
      </c>
      <c r="B52" s="33" t="s">
        <v>1998</v>
      </c>
      <c r="C52" s="1" t="s">
        <v>2099</v>
      </c>
      <c r="D52" s="33">
        <v>111</v>
      </c>
      <c r="E52" s="33">
        <v>61</v>
      </c>
      <c r="F52" s="33">
        <v>59</v>
      </c>
      <c r="G52" s="1">
        <v>91</v>
      </c>
      <c r="H52" s="1">
        <v>126</v>
      </c>
      <c r="I52" s="1">
        <v>26</v>
      </c>
      <c r="J52" s="1">
        <v>79</v>
      </c>
      <c r="K52" s="1">
        <v>35</v>
      </c>
      <c r="L52" s="1">
        <v>85</v>
      </c>
      <c r="M52" s="1">
        <v>8</v>
      </c>
      <c r="N52" s="1">
        <v>56</v>
      </c>
      <c r="O52" s="1">
        <v>43</v>
      </c>
      <c r="P52" s="1">
        <v>516</v>
      </c>
      <c r="Q52" s="1">
        <v>38</v>
      </c>
      <c r="R52" s="1">
        <v>51</v>
      </c>
    </row>
    <row r="53" spans="1:18">
      <c r="A53" s="1" t="s">
        <v>2100</v>
      </c>
      <c r="B53" s="33" t="s">
        <v>1998</v>
      </c>
      <c r="C53" s="1" t="s">
        <v>2101</v>
      </c>
      <c r="D53" s="33">
        <v>111</v>
      </c>
      <c r="E53" s="33">
        <v>61</v>
      </c>
      <c r="F53" s="33">
        <v>64</v>
      </c>
      <c r="G53" s="1">
        <v>81</v>
      </c>
      <c r="H53" s="1">
        <v>121.5</v>
      </c>
      <c r="I53" s="1">
        <v>40</v>
      </c>
      <c r="J53" s="1">
        <v>78</v>
      </c>
      <c r="K53" s="1">
        <v>46</v>
      </c>
      <c r="L53" s="1">
        <v>81</v>
      </c>
      <c r="M53" s="1">
        <v>22</v>
      </c>
      <c r="N53" s="1">
        <v>59</v>
      </c>
      <c r="O53" s="1">
        <v>29</v>
      </c>
      <c r="P53" s="1">
        <v>514.5</v>
      </c>
      <c r="Q53" s="1">
        <v>39</v>
      </c>
      <c r="R53" s="1">
        <v>52</v>
      </c>
    </row>
    <row r="54" spans="1:18">
      <c r="A54" s="1" t="s">
        <v>2102</v>
      </c>
      <c r="B54" s="33" t="s">
        <v>1998</v>
      </c>
      <c r="C54" s="1" t="s">
        <v>2103</v>
      </c>
      <c r="D54" s="33">
        <v>113</v>
      </c>
      <c r="E54" s="33">
        <v>46</v>
      </c>
      <c r="F54" s="33">
        <v>80</v>
      </c>
      <c r="G54" s="1">
        <v>56</v>
      </c>
      <c r="H54" s="1">
        <v>114.5</v>
      </c>
      <c r="I54" s="1">
        <v>57</v>
      </c>
      <c r="J54" s="1">
        <v>75</v>
      </c>
      <c r="K54" s="1">
        <v>66</v>
      </c>
      <c r="L54" s="1">
        <v>79</v>
      </c>
      <c r="M54" s="1">
        <v>35</v>
      </c>
      <c r="N54" s="1">
        <v>52</v>
      </c>
      <c r="O54" s="1">
        <v>68</v>
      </c>
      <c r="P54" s="1">
        <v>513.5</v>
      </c>
      <c r="Q54" s="1">
        <v>40</v>
      </c>
      <c r="R54" s="1">
        <v>53</v>
      </c>
    </row>
    <row r="55" spans="1:18">
      <c r="A55" s="1" t="s">
        <v>2104</v>
      </c>
      <c r="B55" s="33" t="s">
        <v>2010</v>
      </c>
      <c r="C55" s="1" t="s">
        <v>2105</v>
      </c>
      <c r="D55" s="33">
        <v>119</v>
      </c>
      <c r="E55" s="33">
        <v>21</v>
      </c>
      <c r="F55" s="33">
        <v>82</v>
      </c>
      <c r="G55" s="1">
        <v>50</v>
      </c>
      <c r="H55" s="1">
        <v>96.5</v>
      </c>
      <c r="I55" s="1">
        <v>107</v>
      </c>
      <c r="J55" s="1">
        <v>75</v>
      </c>
      <c r="K55" s="1">
        <v>66</v>
      </c>
      <c r="L55" s="1">
        <v>85</v>
      </c>
      <c r="M55" s="1">
        <v>8</v>
      </c>
      <c r="N55" s="1">
        <v>55</v>
      </c>
      <c r="O55" s="1">
        <v>49</v>
      </c>
      <c r="P55" s="1">
        <v>512.5</v>
      </c>
      <c r="Q55" s="1">
        <v>7</v>
      </c>
      <c r="R55" s="1">
        <v>54</v>
      </c>
    </row>
    <row r="56" spans="1:18">
      <c r="A56" s="1" t="s">
        <v>2106</v>
      </c>
      <c r="B56" s="33" t="s">
        <v>1998</v>
      </c>
      <c r="C56" s="1" t="s">
        <v>2107</v>
      </c>
      <c r="D56" s="33">
        <v>113</v>
      </c>
      <c r="E56" s="33">
        <v>46</v>
      </c>
      <c r="F56" s="33">
        <v>63</v>
      </c>
      <c r="G56" s="1">
        <v>83</v>
      </c>
      <c r="H56" s="1">
        <v>121.5</v>
      </c>
      <c r="I56" s="1">
        <v>40</v>
      </c>
      <c r="J56" s="1">
        <v>81</v>
      </c>
      <c r="K56" s="1">
        <v>23</v>
      </c>
      <c r="L56" s="1">
        <v>71</v>
      </c>
      <c r="M56" s="1">
        <v>77</v>
      </c>
      <c r="N56" s="1">
        <v>62</v>
      </c>
      <c r="O56" s="1">
        <v>22</v>
      </c>
      <c r="P56" s="1">
        <v>511.5</v>
      </c>
      <c r="Q56" s="1">
        <v>41</v>
      </c>
      <c r="R56" s="1">
        <v>55</v>
      </c>
    </row>
    <row r="57" spans="1:18">
      <c r="A57" s="1" t="s">
        <v>2108</v>
      </c>
      <c r="B57" s="33" t="s">
        <v>2010</v>
      </c>
      <c r="C57" s="1" t="s">
        <v>2109</v>
      </c>
      <c r="D57" s="33">
        <v>110</v>
      </c>
      <c r="E57" s="33">
        <v>68</v>
      </c>
      <c r="F57" s="33">
        <v>68</v>
      </c>
      <c r="G57" s="1">
        <v>74</v>
      </c>
      <c r="H57" s="1">
        <v>124.5</v>
      </c>
      <c r="I57" s="1">
        <v>33</v>
      </c>
      <c r="J57" s="1">
        <v>74</v>
      </c>
      <c r="K57" s="1">
        <v>77</v>
      </c>
      <c r="L57" s="1">
        <v>76</v>
      </c>
      <c r="M57" s="1">
        <v>54</v>
      </c>
      <c r="N57" s="1">
        <v>51</v>
      </c>
      <c r="O57" s="1">
        <v>74</v>
      </c>
      <c r="P57" s="1">
        <v>503.5</v>
      </c>
      <c r="Q57" s="1">
        <v>8</v>
      </c>
      <c r="R57" s="1">
        <v>56</v>
      </c>
    </row>
    <row r="58" spans="1:18">
      <c r="A58" s="1" t="s">
        <v>2110</v>
      </c>
      <c r="B58" s="33" t="s">
        <v>1998</v>
      </c>
      <c r="C58" s="1" t="s">
        <v>2111</v>
      </c>
      <c r="D58" s="33">
        <v>120</v>
      </c>
      <c r="E58" s="33">
        <v>12</v>
      </c>
      <c r="F58" s="33">
        <v>60</v>
      </c>
      <c r="G58" s="1">
        <v>88</v>
      </c>
      <c r="H58" s="1">
        <v>128.5</v>
      </c>
      <c r="I58" s="1">
        <v>14</v>
      </c>
      <c r="J58" s="1">
        <v>73</v>
      </c>
      <c r="K58" s="1">
        <v>83</v>
      </c>
      <c r="L58" s="1">
        <v>65</v>
      </c>
      <c r="M58" s="1">
        <v>103</v>
      </c>
      <c r="N58" s="1">
        <v>56</v>
      </c>
      <c r="O58" s="1">
        <v>43</v>
      </c>
      <c r="P58" s="1">
        <v>502.5</v>
      </c>
      <c r="Q58" s="1">
        <v>42</v>
      </c>
      <c r="R58" s="1">
        <v>57</v>
      </c>
    </row>
    <row r="59" spans="1:18">
      <c r="A59" s="1" t="s">
        <v>2112</v>
      </c>
      <c r="B59" s="33" t="s">
        <v>2010</v>
      </c>
      <c r="C59" s="1" t="s">
        <v>2113</v>
      </c>
      <c r="D59" s="33">
        <v>116</v>
      </c>
      <c r="E59" s="33">
        <v>32</v>
      </c>
      <c r="F59" s="33">
        <v>82</v>
      </c>
      <c r="G59" s="1">
        <v>50</v>
      </c>
      <c r="H59" s="1">
        <v>114</v>
      </c>
      <c r="I59" s="1">
        <v>60</v>
      </c>
      <c r="J59" s="1">
        <v>75</v>
      </c>
      <c r="K59" s="1">
        <v>66</v>
      </c>
      <c r="L59" s="1">
        <v>70</v>
      </c>
      <c r="M59" s="1">
        <v>80</v>
      </c>
      <c r="N59" s="1">
        <v>45</v>
      </c>
      <c r="O59" s="1">
        <v>96</v>
      </c>
      <c r="P59" s="1">
        <v>502</v>
      </c>
      <c r="Q59" s="1">
        <v>9</v>
      </c>
      <c r="R59" s="1">
        <v>58</v>
      </c>
    </row>
    <row r="60" spans="1:18">
      <c r="A60" s="1" t="s">
        <v>2114</v>
      </c>
      <c r="B60" s="33" t="s">
        <v>2039</v>
      </c>
      <c r="C60" s="1" t="s">
        <v>2115</v>
      </c>
      <c r="D60" s="33">
        <v>110</v>
      </c>
      <c r="E60" s="33">
        <v>68</v>
      </c>
      <c r="F60" s="33">
        <v>86</v>
      </c>
      <c r="G60" s="1">
        <v>41</v>
      </c>
      <c r="H60" s="1">
        <v>102.5</v>
      </c>
      <c r="I60" s="1">
        <v>95</v>
      </c>
      <c r="J60" s="1">
        <v>83</v>
      </c>
      <c r="K60" s="1">
        <v>16</v>
      </c>
      <c r="L60" s="1">
        <v>70</v>
      </c>
      <c r="M60" s="1">
        <v>80</v>
      </c>
      <c r="N60" s="1">
        <v>50</v>
      </c>
      <c r="O60" s="1">
        <v>76</v>
      </c>
      <c r="P60" s="1">
        <v>501.5</v>
      </c>
      <c r="Q60" s="1">
        <v>8</v>
      </c>
      <c r="R60" s="1">
        <v>59</v>
      </c>
    </row>
    <row r="61" spans="1:18">
      <c r="A61" s="1" t="s">
        <v>2116</v>
      </c>
      <c r="B61" s="33" t="s">
        <v>2039</v>
      </c>
      <c r="C61" s="1" t="s">
        <v>2117</v>
      </c>
      <c r="D61" s="33">
        <v>121</v>
      </c>
      <c r="E61" s="33">
        <v>8</v>
      </c>
      <c r="F61" s="33">
        <v>65</v>
      </c>
      <c r="G61" s="1">
        <v>79</v>
      </c>
      <c r="H61" s="1">
        <v>128.5</v>
      </c>
      <c r="I61" s="1">
        <v>14</v>
      </c>
      <c r="J61" s="1">
        <v>67</v>
      </c>
      <c r="K61" s="1">
        <v>107</v>
      </c>
      <c r="L61" s="1">
        <v>69</v>
      </c>
      <c r="M61" s="1">
        <v>85</v>
      </c>
      <c r="N61" s="1">
        <v>50</v>
      </c>
      <c r="O61" s="1">
        <v>76</v>
      </c>
      <c r="P61" s="1">
        <v>500.5</v>
      </c>
      <c r="Q61" s="1">
        <v>9</v>
      </c>
      <c r="R61" s="1">
        <v>60</v>
      </c>
    </row>
    <row r="62" spans="1:18">
      <c r="A62" s="1" t="s">
        <v>2120</v>
      </c>
      <c r="B62" s="33" t="s">
        <v>1998</v>
      </c>
      <c r="C62" s="1" t="s">
        <v>2121</v>
      </c>
      <c r="D62" s="33">
        <v>100</v>
      </c>
      <c r="E62" s="33">
        <v>102</v>
      </c>
      <c r="F62" s="33">
        <v>87</v>
      </c>
      <c r="G62" s="1">
        <v>39</v>
      </c>
      <c r="H62" s="1">
        <v>100.5</v>
      </c>
      <c r="I62" s="1">
        <v>100</v>
      </c>
      <c r="J62" s="1">
        <v>75</v>
      </c>
      <c r="K62" s="1">
        <v>66</v>
      </c>
      <c r="L62" s="1">
        <v>81</v>
      </c>
      <c r="M62" s="1">
        <v>22</v>
      </c>
      <c r="N62" s="1">
        <v>55</v>
      </c>
      <c r="O62" s="1">
        <v>49</v>
      </c>
      <c r="P62" s="1">
        <v>498.5</v>
      </c>
      <c r="Q62" s="1">
        <v>43</v>
      </c>
      <c r="R62" s="1">
        <v>61</v>
      </c>
    </row>
    <row r="63" spans="1:18">
      <c r="A63" s="1" t="s">
        <v>2118</v>
      </c>
      <c r="B63" s="33" t="s">
        <v>1998</v>
      </c>
      <c r="C63" s="1" t="s">
        <v>2119</v>
      </c>
      <c r="D63" s="33">
        <v>109</v>
      </c>
      <c r="E63" s="33">
        <v>74</v>
      </c>
      <c r="F63" s="33">
        <v>66</v>
      </c>
      <c r="G63" s="1">
        <v>77</v>
      </c>
      <c r="H63" s="1">
        <v>108.5</v>
      </c>
      <c r="I63" s="1">
        <v>71</v>
      </c>
      <c r="J63" s="1">
        <v>81</v>
      </c>
      <c r="K63" s="1">
        <v>23</v>
      </c>
      <c r="L63" s="1">
        <v>86</v>
      </c>
      <c r="M63" s="1">
        <v>7</v>
      </c>
      <c r="N63" s="1">
        <v>48</v>
      </c>
      <c r="O63" s="1">
        <v>87</v>
      </c>
      <c r="P63" s="1">
        <v>498.5</v>
      </c>
      <c r="Q63" s="1">
        <v>43</v>
      </c>
      <c r="R63" s="1">
        <v>61</v>
      </c>
    </row>
    <row r="64" spans="1:18">
      <c r="A64" s="1" t="s">
        <v>2122</v>
      </c>
      <c r="B64" s="33" t="s">
        <v>2039</v>
      </c>
      <c r="C64" s="1" t="s">
        <v>2123</v>
      </c>
      <c r="D64" s="33">
        <v>112</v>
      </c>
      <c r="E64" s="33">
        <v>51</v>
      </c>
      <c r="F64" s="33">
        <v>81</v>
      </c>
      <c r="G64" s="1">
        <v>53</v>
      </c>
      <c r="H64" s="1">
        <v>115</v>
      </c>
      <c r="I64" s="1">
        <v>54</v>
      </c>
      <c r="J64" s="1">
        <v>77</v>
      </c>
      <c r="K64" s="1">
        <v>52</v>
      </c>
      <c r="L64" s="1">
        <v>61</v>
      </c>
      <c r="M64" s="1">
        <v>110</v>
      </c>
      <c r="N64" s="1">
        <v>52</v>
      </c>
      <c r="O64" s="1">
        <v>68</v>
      </c>
      <c r="P64" s="1">
        <v>498</v>
      </c>
      <c r="Q64" s="1">
        <v>10</v>
      </c>
      <c r="R64" s="1">
        <v>63</v>
      </c>
    </row>
    <row r="65" spans="1:18">
      <c r="A65" s="1" t="s">
        <v>2124</v>
      </c>
      <c r="B65" s="33" t="s">
        <v>2010</v>
      </c>
      <c r="C65" s="1" t="s">
        <v>2125</v>
      </c>
      <c r="D65" s="33">
        <v>112</v>
      </c>
      <c r="E65" s="33">
        <v>51</v>
      </c>
      <c r="F65" s="33">
        <v>67</v>
      </c>
      <c r="G65" s="1">
        <v>76</v>
      </c>
      <c r="H65" s="1">
        <v>97.5</v>
      </c>
      <c r="I65" s="1">
        <v>105</v>
      </c>
      <c r="J65" s="1">
        <v>80</v>
      </c>
      <c r="K65" s="1">
        <v>31</v>
      </c>
      <c r="L65" s="1">
        <v>79</v>
      </c>
      <c r="M65" s="1">
        <v>35</v>
      </c>
      <c r="N65" s="1">
        <v>62</v>
      </c>
      <c r="O65" s="1">
        <v>22</v>
      </c>
      <c r="P65" s="1">
        <v>497.5</v>
      </c>
      <c r="Q65" s="1">
        <v>10</v>
      </c>
      <c r="R65" s="1">
        <v>64</v>
      </c>
    </row>
    <row r="66" spans="1:18">
      <c r="A66" s="1" t="s">
        <v>2126</v>
      </c>
      <c r="B66" s="33" t="s">
        <v>2010</v>
      </c>
      <c r="C66" s="1" t="s">
        <v>2127</v>
      </c>
      <c r="D66" s="33">
        <v>97</v>
      </c>
      <c r="E66" s="33">
        <v>111</v>
      </c>
      <c r="F66" s="33">
        <v>45</v>
      </c>
      <c r="G66" s="1">
        <v>107</v>
      </c>
      <c r="H66" s="1">
        <v>134</v>
      </c>
      <c r="I66" s="1">
        <v>3</v>
      </c>
      <c r="J66" s="1">
        <v>78</v>
      </c>
      <c r="K66" s="1">
        <v>46</v>
      </c>
      <c r="L66" s="1">
        <v>82</v>
      </c>
      <c r="M66" s="1">
        <v>19</v>
      </c>
      <c r="N66" s="1">
        <v>59</v>
      </c>
      <c r="O66" s="1">
        <v>29</v>
      </c>
      <c r="P66" s="1">
        <v>495</v>
      </c>
      <c r="Q66" s="1">
        <v>11</v>
      </c>
      <c r="R66" s="1">
        <v>65</v>
      </c>
    </row>
    <row r="67" spans="1:18">
      <c r="A67" s="1" t="s">
        <v>2130</v>
      </c>
      <c r="B67" s="33" t="s">
        <v>2039</v>
      </c>
      <c r="C67" s="1" t="s">
        <v>2131</v>
      </c>
      <c r="D67" s="33">
        <v>121</v>
      </c>
      <c r="E67" s="33">
        <v>8</v>
      </c>
      <c r="F67" s="33">
        <v>60</v>
      </c>
      <c r="G67" s="1">
        <v>88</v>
      </c>
      <c r="H67" s="1">
        <v>99</v>
      </c>
      <c r="I67" s="1">
        <v>102</v>
      </c>
      <c r="J67" s="1">
        <v>79</v>
      </c>
      <c r="K67" s="1">
        <v>35</v>
      </c>
      <c r="L67" s="1">
        <v>78</v>
      </c>
      <c r="M67" s="1">
        <v>46</v>
      </c>
      <c r="N67" s="1">
        <v>57</v>
      </c>
      <c r="O67" s="1">
        <v>38</v>
      </c>
      <c r="P67" s="1">
        <v>494</v>
      </c>
      <c r="Q67" s="1">
        <v>11</v>
      </c>
      <c r="R67" s="1">
        <v>66</v>
      </c>
    </row>
    <row r="68" spans="1:18">
      <c r="A68" s="1" t="s">
        <v>2128</v>
      </c>
      <c r="B68" s="33" t="s">
        <v>2039</v>
      </c>
      <c r="C68" s="1" t="s">
        <v>2129</v>
      </c>
      <c r="D68" s="33">
        <v>99</v>
      </c>
      <c r="E68" s="33">
        <v>107</v>
      </c>
      <c r="F68" s="33">
        <v>80</v>
      </c>
      <c r="G68" s="1">
        <v>56</v>
      </c>
      <c r="H68" s="1">
        <v>115</v>
      </c>
      <c r="I68" s="1">
        <v>54</v>
      </c>
      <c r="J68" s="1">
        <v>75</v>
      </c>
      <c r="K68" s="1">
        <v>66</v>
      </c>
      <c r="L68" s="1">
        <v>69</v>
      </c>
      <c r="M68" s="1">
        <v>85</v>
      </c>
      <c r="N68" s="1">
        <v>56</v>
      </c>
      <c r="O68" s="1">
        <v>43</v>
      </c>
      <c r="P68" s="1">
        <v>494</v>
      </c>
      <c r="Q68" s="1">
        <v>11</v>
      </c>
      <c r="R68" s="1">
        <v>66</v>
      </c>
    </row>
    <row r="69" spans="1:18">
      <c r="A69" s="1" t="s">
        <v>2132</v>
      </c>
      <c r="B69" s="33" t="s">
        <v>1998</v>
      </c>
      <c r="C69" s="1" t="s">
        <v>2133</v>
      </c>
      <c r="D69" s="33">
        <v>102</v>
      </c>
      <c r="E69" s="33">
        <v>99</v>
      </c>
      <c r="F69" s="33">
        <v>78</v>
      </c>
      <c r="G69" s="1">
        <v>60</v>
      </c>
      <c r="H69" s="1">
        <v>105.5</v>
      </c>
      <c r="I69" s="1">
        <v>84</v>
      </c>
      <c r="J69" s="1">
        <v>79</v>
      </c>
      <c r="K69" s="1">
        <v>35</v>
      </c>
      <c r="L69" s="1">
        <v>73</v>
      </c>
      <c r="M69" s="1">
        <v>66</v>
      </c>
      <c r="N69" s="1">
        <v>56</v>
      </c>
      <c r="O69" s="1">
        <v>43</v>
      </c>
      <c r="P69" s="1">
        <v>493.5</v>
      </c>
      <c r="Q69" s="1">
        <v>45</v>
      </c>
      <c r="R69" s="1">
        <v>68</v>
      </c>
    </row>
    <row r="70" spans="1:18">
      <c r="A70" s="1" t="s">
        <v>2134</v>
      </c>
      <c r="B70" s="33" t="s">
        <v>1998</v>
      </c>
      <c r="C70" s="1" t="s">
        <v>2135</v>
      </c>
      <c r="D70" s="33">
        <v>117</v>
      </c>
      <c r="E70" s="33">
        <v>27</v>
      </c>
      <c r="F70" s="33">
        <v>81</v>
      </c>
      <c r="G70" s="1">
        <v>53</v>
      </c>
      <c r="H70" s="1">
        <v>105.5</v>
      </c>
      <c r="I70" s="1">
        <v>84</v>
      </c>
      <c r="J70" s="1">
        <v>63</v>
      </c>
      <c r="K70" s="1">
        <v>113</v>
      </c>
      <c r="L70" s="1">
        <v>71</v>
      </c>
      <c r="M70" s="1">
        <v>77</v>
      </c>
      <c r="N70" s="1">
        <v>51</v>
      </c>
      <c r="O70" s="1">
        <v>74</v>
      </c>
      <c r="P70" s="1">
        <v>488.5</v>
      </c>
      <c r="Q70" s="1">
        <v>46</v>
      </c>
      <c r="R70" s="1">
        <v>69</v>
      </c>
    </row>
    <row r="71" spans="1:18">
      <c r="A71" s="1" t="s">
        <v>2136</v>
      </c>
      <c r="B71" s="33" t="s">
        <v>2039</v>
      </c>
      <c r="C71" s="1" t="s">
        <v>2137</v>
      </c>
      <c r="D71" s="33">
        <v>108</v>
      </c>
      <c r="E71" s="33">
        <v>78</v>
      </c>
      <c r="F71" s="33">
        <v>74</v>
      </c>
      <c r="G71" s="1">
        <v>66</v>
      </c>
      <c r="H71" s="1">
        <v>103.5</v>
      </c>
      <c r="I71" s="1">
        <v>92</v>
      </c>
      <c r="J71" s="1">
        <v>72</v>
      </c>
      <c r="K71" s="1">
        <v>89</v>
      </c>
      <c r="L71" s="1">
        <v>79</v>
      </c>
      <c r="M71" s="1">
        <v>35</v>
      </c>
      <c r="N71" s="1">
        <v>50</v>
      </c>
      <c r="O71" s="1">
        <v>76</v>
      </c>
      <c r="P71" s="1">
        <v>486.5</v>
      </c>
      <c r="Q71" s="1">
        <v>13</v>
      </c>
      <c r="R71" s="1">
        <v>70</v>
      </c>
    </row>
    <row r="72" spans="1:18">
      <c r="A72" s="1" t="s">
        <v>2138</v>
      </c>
      <c r="B72" s="33" t="s">
        <v>2039</v>
      </c>
      <c r="C72" s="1" t="s">
        <v>2139</v>
      </c>
      <c r="D72" s="33">
        <v>115</v>
      </c>
      <c r="E72" s="33">
        <v>38</v>
      </c>
      <c r="F72" s="33">
        <v>46</v>
      </c>
      <c r="G72" s="1">
        <v>103</v>
      </c>
      <c r="H72" s="1">
        <v>128.5</v>
      </c>
      <c r="I72" s="1">
        <v>14</v>
      </c>
      <c r="J72" s="1">
        <v>72</v>
      </c>
      <c r="K72" s="1">
        <v>89</v>
      </c>
      <c r="L72" s="1">
        <v>76</v>
      </c>
      <c r="M72" s="1">
        <v>54</v>
      </c>
      <c r="N72" s="1">
        <v>48</v>
      </c>
      <c r="O72" s="1">
        <v>87</v>
      </c>
      <c r="P72" s="1">
        <v>485.5</v>
      </c>
      <c r="Q72" s="1">
        <v>14</v>
      </c>
      <c r="R72" s="1">
        <v>71</v>
      </c>
    </row>
    <row r="73" spans="1:18">
      <c r="A73" s="1" t="s">
        <v>2140</v>
      </c>
      <c r="B73" s="33" t="s">
        <v>2039</v>
      </c>
      <c r="C73" s="1" t="s">
        <v>2141</v>
      </c>
      <c r="D73" s="33">
        <v>109</v>
      </c>
      <c r="E73" s="33">
        <v>74</v>
      </c>
      <c r="F73" s="33">
        <v>68</v>
      </c>
      <c r="G73" s="1">
        <v>74</v>
      </c>
      <c r="H73" s="1">
        <v>106</v>
      </c>
      <c r="I73" s="1">
        <v>82</v>
      </c>
      <c r="J73" s="1">
        <v>73</v>
      </c>
      <c r="K73" s="1">
        <v>83</v>
      </c>
      <c r="L73" s="1">
        <v>76</v>
      </c>
      <c r="M73" s="1">
        <v>54</v>
      </c>
      <c r="N73" s="1">
        <v>53</v>
      </c>
      <c r="O73" s="1">
        <v>59</v>
      </c>
      <c r="P73" s="1">
        <v>485</v>
      </c>
      <c r="Q73" s="1">
        <v>15</v>
      </c>
      <c r="R73" s="1">
        <v>72</v>
      </c>
    </row>
    <row r="74" spans="1:18">
      <c r="A74" s="1" t="s">
        <v>2142</v>
      </c>
      <c r="B74" s="33" t="s">
        <v>2010</v>
      </c>
      <c r="C74" s="1" t="s">
        <v>2143</v>
      </c>
      <c r="D74" s="33">
        <v>98</v>
      </c>
      <c r="E74" s="33">
        <v>109</v>
      </c>
      <c r="F74" s="33">
        <v>75</v>
      </c>
      <c r="G74" s="1">
        <v>64</v>
      </c>
      <c r="H74" s="1">
        <v>108.5</v>
      </c>
      <c r="I74" s="1">
        <v>71</v>
      </c>
      <c r="J74" s="1">
        <v>74</v>
      </c>
      <c r="K74" s="1">
        <v>77</v>
      </c>
      <c r="L74" s="1">
        <v>69</v>
      </c>
      <c r="M74" s="1">
        <v>85</v>
      </c>
      <c r="N74" s="1">
        <v>60</v>
      </c>
      <c r="O74" s="1">
        <v>26</v>
      </c>
      <c r="P74" s="1">
        <v>484.5</v>
      </c>
      <c r="Q74" s="1">
        <v>12</v>
      </c>
      <c r="R74" s="1">
        <v>73</v>
      </c>
    </row>
    <row r="75" spans="1:18">
      <c r="A75" s="1" t="s">
        <v>2144</v>
      </c>
      <c r="B75" s="33" t="s">
        <v>1998</v>
      </c>
      <c r="C75" s="1" t="s">
        <v>2145</v>
      </c>
      <c r="D75" s="33">
        <v>108</v>
      </c>
      <c r="E75" s="33">
        <v>78</v>
      </c>
      <c r="F75" s="33">
        <v>53</v>
      </c>
      <c r="G75" s="1">
        <v>98</v>
      </c>
      <c r="H75" s="1">
        <v>128</v>
      </c>
      <c r="I75" s="1">
        <v>18</v>
      </c>
      <c r="J75" s="1">
        <v>70</v>
      </c>
      <c r="K75" s="1">
        <v>96</v>
      </c>
      <c r="L75" s="1">
        <v>73</v>
      </c>
      <c r="M75" s="1">
        <v>66</v>
      </c>
      <c r="N75" s="1">
        <v>52</v>
      </c>
      <c r="O75" s="1">
        <v>68</v>
      </c>
      <c r="P75" s="1">
        <v>484</v>
      </c>
      <c r="Q75" s="1">
        <v>47</v>
      </c>
      <c r="R75" s="1">
        <v>74</v>
      </c>
    </row>
    <row r="76" spans="1:18">
      <c r="A76" s="1" t="s">
        <v>2146</v>
      </c>
      <c r="B76" s="33" t="s">
        <v>2039</v>
      </c>
      <c r="C76" s="1" t="s">
        <v>2147</v>
      </c>
      <c r="D76" s="33">
        <v>113</v>
      </c>
      <c r="E76" s="33">
        <v>46</v>
      </c>
      <c r="F76" s="33">
        <v>43</v>
      </c>
      <c r="G76" s="1">
        <v>109</v>
      </c>
      <c r="H76" s="1">
        <v>124.5</v>
      </c>
      <c r="I76" s="1">
        <v>33</v>
      </c>
      <c r="J76" s="1">
        <v>77</v>
      </c>
      <c r="K76" s="1">
        <v>52</v>
      </c>
      <c r="L76" s="1">
        <v>66</v>
      </c>
      <c r="M76" s="1">
        <v>99</v>
      </c>
      <c r="N76" s="1">
        <v>60</v>
      </c>
      <c r="O76" s="1">
        <v>26</v>
      </c>
      <c r="P76" s="1">
        <v>483.5</v>
      </c>
      <c r="Q76" s="1">
        <v>16</v>
      </c>
      <c r="R76" s="1">
        <v>75</v>
      </c>
    </row>
    <row r="77" spans="1:18">
      <c r="A77" s="1" t="s">
        <v>2148</v>
      </c>
      <c r="B77" s="33" t="s">
        <v>2010</v>
      </c>
      <c r="C77" s="1" t="s">
        <v>2149</v>
      </c>
      <c r="D77" s="33">
        <v>106</v>
      </c>
      <c r="E77" s="33">
        <v>86</v>
      </c>
      <c r="F77" s="33">
        <v>48</v>
      </c>
      <c r="G77" s="1">
        <v>102</v>
      </c>
      <c r="H77" s="1">
        <v>123</v>
      </c>
      <c r="I77" s="1">
        <v>37</v>
      </c>
      <c r="J77" s="1">
        <v>81</v>
      </c>
      <c r="K77" s="1">
        <v>23</v>
      </c>
      <c r="L77" s="1">
        <v>79</v>
      </c>
      <c r="M77" s="1">
        <v>35</v>
      </c>
      <c r="N77" s="1">
        <v>46</v>
      </c>
      <c r="O77" s="1">
        <v>94</v>
      </c>
      <c r="P77" s="1">
        <v>483</v>
      </c>
      <c r="Q77" s="1">
        <v>13</v>
      </c>
      <c r="R77" s="1">
        <v>76</v>
      </c>
    </row>
    <row r="78" spans="1:18">
      <c r="A78" s="1" t="s">
        <v>2150</v>
      </c>
      <c r="B78" s="33" t="s">
        <v>1998</v>
      </c>
      <c r="C78" s="1" t="s">
        <v>2151</v>
      </c>
      <c r="D78" s="33">
        <v>107</v>
      </c>
      <c r="E78" s="33">
        <v>83</v>
      </c>
      <c r="F78" s="33">
        <v>63</v>
      </c>
      <c r="G78" s="1">
        <v>83</v>
      </c>
      <c r="H78" s="1">
        <v>111.5</v>
      </c>
      <c r="I78" s="1">
        <v>66</v>
      </c>
      <c r="J78" s="1">
        <v>70</v>
      </c>
      <c r="K78" s="1">
        <v>96</v>
      </c>
      <c r="L78" s="1">
        <v>74</v>
      </c>
      <c r="M78" s="1">
        <v>62</v>
      </c>
      <c r="N78" s="1">
        <v>55</v>
      </c>
      <c r="O78" s="1">
        <v>49</v>
      </c>
      <c r="P78" s="1">
        <v>480.5</v>
      </c>
      <c r="Q78" s="1">
        <v>48</v>
      </c>
      <c r="R78" s="1">
        <v>77</v>
      </c>
    </row>
    <row r="79" spans="1:18">
      <c r="A79" s="1" t="s">
        <v>2152</v>
      </c>
      <c r="B79" s="33" t="s">
        <v>2010</v>
      </c>
      <c r="C79" s="1" t="s">
        <v>2153</v>
      </c>
      <c r="D79" s="33">
        <v>100</v>
      </c>
      <c r="E79" s="33">
        <v>102</v>
      </c>
      <c r="F79" s="33">
        <v>85</v>
      </c>
      <c r="G79" s="1">
        <v>42</v>
      </c>
      <c r="H79" s="1">
        <v>96.5</v>
      </c>
      <c r="I79" s="1">
        <v>107</v>
      </c>
      <c r="J79" s="1">
        <v>81</v>
      </c>
      <c r="K79" s="1">
        <v>23</v>
      </c>
      <c r="L79" s="1">
        <v>67</v>
      </c>
      <c r="M79" s="1">
        <v>97</v>
      </c>
      <c r="N79" s="1">
        <v>49</v>
      </c>
      <c r="O79" s="1">
        <v>81</v>
      </c>
      <c r="P79" s="1">
        <v>478.5</v>
      </c>
      <c r="Q79" s="1">
        <v>14</v>
      </c>
      <c r="R79" s="1">
        <v>78</v>
      </c>
    </row>
    <row r="80" spans="1:18">
      <c r="A80" s="1" t="s">
        <v>2156</v>
      </c>
      <c r="B80" s="33" t="s">
        <v>1998</v>
      </c>
      <c r="C80" s="1" t="s">
        <v>2157</v>
      </c>
      <c r="D80" s="33">
        <v>103</v>
      </c>
      <c r="E80" s="33">
        <v>96</v>
      </c>
      <c r="F80" s="33">
        <v>87</v>
      </c>
      <c r="G80" s="1">
        <v>39</v>
      </c>
      <c r="H80" s="1">
        <v>110</v>
      </c>
      <c r="I80" s="1">
        <v>69</v>
      </c>
      <c r="J80" s="1">
        <v>68</v>
      </c>
      <c r="K80" s="1">
        <v>102</v>
      </c>
      <c r="L80" s="1">
        <v>56</v>
      </c>
      <c r="M80" s="1">
        <v>115</v>
      </c>
      <c r="N80" s="1">
        <v>53</v>
      </c>
      <c r="O80" s="1">
        <v>59</v>
      </c>
      <c r="P80" s="1">
        <v>477</v>
      </c>
      <c r="Q80" s="1">
        <v>49</v>
      </c>
      <c r="R80" s="1">
        <v>79</v>
      </c>
    </row>
    <row r="81" spans="1:18">
      <c r="A81" s="1" t="s">
        <v>2154</v>
      </c>
      <c r="B81" s="33" t="s">
        <v>2010</v>
      </c>
      <c r="C81" s="1" t="s">
        <v>2155</v>
      </c>
      <c r="D81" s="33">
        <v>112</v>
      </c>
      <c r="E81" s="33">
        <v>51</v>
      </c>
      <c r="F81" s="33">
        <v>61</v>
      </c>
      <c r="G81" s="1">
        <v>85</v>
      </c>
      <c r="H81" s="1">
        <v>120</v>
      </c>
      <c r="I81" s="1">
        <v>43</v>
      </c>
      <c r="J81" s="1">
        <v>74</v>
      </c>
      <c r="K81" s="1">
        <v>77</v>
      </c>
      <c r="L81" s="1">
        <v>67</v>
      </c>
      <c r="M81" s="1">
        <v>97</v>
      </c>
      <c r="N81" s="1">
        <v>43</v>
      </c>
      <c r="O81" s="1">
        <v>104</v>
      </c>
      <c r="P81" s="1">
        <v>477</v>
      </c>
      <c r="Q81" s="1">
        <v>15</v>
      </c>
      <c r="R81" s="1">
        <v>79</v>
      </c>
    </row>
    <row r="82" spans="1:18">
      <c r="A82" s="1" t="s">
        <v>2158</v>
      </c>
      <c r="B82" s="33" t="s">
        <v>2010</v>
      </c>
      <c r="C82" s="1" t="s">
        <v>2159</v>
      </c>
      <c r="D82" s="33">
        <v>106</v>
      </c>
      <c r="E82" s="33">
        <v>86</v>
      </c>
      <c r="F82" s="33">
        <v>60</v>
      </c>
      <c r="G82" s="1">
        <v>88</v>
      </c>
      <c r="H82" s="1">
        <v>119.5</v>
      </c>
      <c r="I82" s="1">
        <v>46</v>
      </c>
      <c r="J82" s="1">
        <v>79</v>
      </c>
      <c r="K82" s="1">
        <v>35</v>
      </c>
      <c r="L82" s="1">
        <v>63</v>
      </c>
      <c r="M82" s="1">
        <v>106</v>
      </c>
      <c r="N82" s="1">
        <v>49</v>
      </c>
      <c r="O82" s="1">
        <v>81</v>
      </c>
      <c r="P82" s="1">
        <v>476.5</v>
      </c>
      <c r="Q82" s="1">
        <v>16</v>
      </c>
      <c r="R82" s="1">
        <v>81</v>
      </c>
    </row>
    <row r="83" spans="1:18">
      <c r="A83" s="1" t="s">
        <v>2160</v>
      </c>
      <c r="B83" s="33" t="s">
        <v>1998</v>
      </c>
      <c r="C83" s="1" t="s">
        <v>2161</v>
      </c>
      <c r="D83" s="33">
        <v>97</v>
      </c>
      <c r="E83" s="33">
        <v>111</v>
      </c>
      <c r="F83" s="33">
        <v>71</v>
      </c>
      <c r="G83" s="1">
        <v>70</v>
      </c>
      <c r="H83" s="1">
        <v>114.5</v>
      </c>
      <c r="I83" s="1">
        <v>57</v>
      </c>
      <c r="J83" s="1">
        <v>68</v>
      </c>
      <c r="K83" s="1">
        <v>102</v>
      </c>
      <c r="L83" s="1">
        <v>73</v>
      </c>
      <c r="M83" s="1">
        <v>66</v>
      </c>
      <c r="N83" s="1">
        <v>52</v>
      </c>
      <c r="O83" s="1">
        <v>68</v>
      </c>
      <c r="P83" s="1">
        <v>475.5</v>
      </c>
      <c r="Q83" s="1">
        <v>50</v>
      </c>
      <c r="R83" s="1">
        <v>82</v>
      </c>
    </row>
    <row r="84" spans="1:18">
      <c r="A84" s="1" t="s">
        <v>2162</v>
      </c>
      <c r="B84" s="33" t="s">
        <v>2039</v>
      </c>
      <c r="C84" s="1" t="s">
        <v>2163</v>
      </c>
      <c r="D84" s="33">
        <v>105</v>
      </c>
      <c r="E84" s="33">
        <v>92</v>
      </c>
      <c r="F84" s="33">
        <v>84</v>
      </c>
      <c r="G84" s="1">
        <v>45</v>
      </c>
      <c r="H84" s="1">
        <v>95</v>
      </c>
      <c r="I84" s="1">
        <v>112</v>
      </c>
      <c r="J84" s="1">
        <v>70</v>
      </c>
      <c r="K84" s="1">
        <v>96</v>
      </c>
      <c r="L84" s="1">
        <v>59</v>
      </c>
      <c r="M84" s="1">
        <v>113</v>
      </c>
      <c r="N84" s="1">
        <v>62</v>
      </c>
      <c r="O84" s="1">
        <v>22</v>
      </c>
      <c r="P84" s="1">
        <v>475</v>
      </c>
      <c r="Q84" s="1">
        <v>17</v>
      </c>
      <c r="R84" s="1">
        <v>83</v>
      </c>
    </row>
    <row r="85" spans="1:18">
      <c r="A85" s="1" t="s">
        <v>2164</v>
      </c>
      <c r="B85" s="33" t="s">
        <v>2010</v>
      </c>
      <c r="C85" s="1" t="s">
        <v>2165</v>
      </c>
      <c r="D85" s="33">
        <v>116</v>
      </c>
      <c r="E85" s="33">
        <v>32</v>
      </c>
      <c r="F85" s="33">
        <v>54</v>
      </c>
      <c r="G85" s="1">
        <v>97</v>
      </c>
      <c r="H85" s="1">
        <v>102.5</v>
      </c>
      <c r="I85" s="1">
        <v>95</v>
      </c>
      <c r="J85" s="1">
        <v>72</v>
      </c>
      <c r="K85" s="1">
        <v>89</v>
      </c>
      <c r="L85" s="1">
        <v>79</v>
      </c>
      <c r="M85" s="1">
        <v>35</v>
      </c>
      <c r="N85" s="1">
        <v>49</v>
      </c>
      <c r="O85" s="1">
        <v>81</v>
      </c>
      <c r="P85" s="1">
        <v>472.5</v>
      </c>
      <c r="Q85" s="1">
        <v>17</v>
      </c>
      <c r="R85" s="1">
        <v>84</v>
      </c>
    </row>
    <row r="86" spans="1:18">
      <c r="A86" s="1" t="s">
        <v>2166</v>
      </c>
      <c r="B86" s="33" t="s">
        <v>2010</v>
      </c>
      <c r="C86" s="1" t="s">
        <v>2167</v>
      </c>
      <c r="D86" s="33">
        <v>100</v>
      </c>
      <c r="E86" s="33">
        <v>102</v>
      </c>
      <c r="F86" s="33">
        <v>69</v>
      </c>
      <c r="G86" s="1">
        <v>72</v>
      </c>
      <c r="H86" s="1">
        <v>107</v>
      </c>
      <c r="I86" s="1">
        <v>79</v>
      </c>
      <c r="J86" s="1">
        <v>79</v>
      </c>
      <c r="K86" s="1">
        <v>35</v>
      </c>
      <c r="L86" s="1">
        <v>66</v>
      </c>
      <c r="M86" s="1">
        <v>99</v>
      </c>
      <c r="N86" s="1">
        <v>49</v>
      </c>
      <c r="O86" s="1">
        <v>81</v>
      </c>
      <c r="P86" s="1">
        <v>470</v>
      </c>
      <c r="Q86" s="1">
        <v>18</v>
      </c>
      <c r="R86" s="1">
        <v>85</v>
      </c>
    </row>
    <row r="87" spans="1:18">
      <c r="A87" s="1" t="s">
        <v>2168</v>
      </c>
      <c r="B87" s="33" t="s">
        <v>2010</v>
      </c>
      <c r="C87" s="1" t="s">
        <v>2169</v>
      </c>
      <c r="D87" s="33">
        <v>96</v>
      </c>
      <c r="E87" s="33">
        <v>113</v>
      </c>
      <c r="F87" s="33">
        <v>81</v>
      </c>
      <c r="G87" s="1">
        <v>53</v>
      </c>
      <c r="H87" s="1">
        <v>105.5</v>
      </c>
      <c r="I87" s="1">
        <v>84</v>
      </c>
      <c r="J87" s="1">
        <v>68</v>
      </c>
      <c r="K87" s="1">
        <v>102</v>
      </c>
      <c r="L87" s="1">
        <v>69</v>
      </c>
      <c r="M87" s="1">
        <v>85</v>
      </c>
      <c r="N87" s="1">
        <v>50</v>
      </c>
      <c r="O87" s="1">
        <v>76</v>
      </c>
      <c r="P87" s="1">
        <v>469.5</v>
      </c>
      <c r="Q87" s="1">
        <v>19</v>
      </c>
      <c r="R87" s="1">
        <v>86</v>
      </c>
    </row>
    <row r="88" spans="1:18">
      <c r="A88" s="1" t="s">
        <v>2170</v>
      </c>
      <c r="B88" s="33" t="s">
        <v>2010</v>
      </c>
      <c r="C88" s="1" t="s">
        <v>2171</v>
      </c>
      <c r="D88" s="33">
        <v>106</v>
      </c>
      <c r="E88" s="33">
        <v>86</v>
      </c>
      <c r="F88" s="33">
        <v>92</v>
      </c>
      <c r="G88" s="1">
        <v>32</v>
      </c>
      <c r="H88" s="1">
        <v>88.5</v>
      </c>
      <c r="I88" s="1">
        <v>116</v>
      </c>
      <c r="J88" s="1">
        <v>71</v>
      </c>
      <c r="K88" s="1">
        <v>94</v>
      </c>
      <c r="L88" s="1">
        <v>63</v>
      </c>
      <c r="M88" s="1">
        <v>106</v>
      </c>
      <c r="N88" s="1">
        <v>49</v>
      </c>
      <c r="O88" s="1">
        <v>81</v>
      </c>
      <c r="P88" s="1">
        <v>469.5</v>
      </c>
      <c r="Q88" s="1">
        <v>19</v>
      </c>
      <c r="R88" s="1">
        <v>86</v>
      </c>
    </row>
    <row r="89" spans="1:18">
      <c r="A89" s="1" t="s">
        <v>2172</v>
      </c>
      <c r="B89" s="33" t="s">
        <v>2010</v>
      </c>
      <c r="C89" s="1" t="s">
        <v>2173</v>
      </c>
      <c r="D89" s="33">
        <v>102</v>
      </c>
      <c r="E89" s="33">
        <v>99</v>
      </c>
      <c r="F89" s="33">
        <v>38</v>
      </c>
      <c r="G89" s="1">
        <v>114</v>
      </c>
      <c r="H89" s="1">
        <v>131.5</v>
      </c>
      <c r="I89" s="1">
        <v>7</v>
      </c>
      <c r="J89" s="1">
        <v>75</v>
      </c>
      <c r="K89" s="1">
        <v>66</v>
      </c>
      <c r="L89" s="1">
        <v>81</v>
      </c>
      <c r="M89" s="1">
        <v>22</v>
      </c>
      <c r="N89" s="1">
        <v>42</v>
      </c>
      <c r="O89" s="1">
        <v>106</v>
      </c>
      <c r="P89" s="1">
        <v>469.5</v>
      </c>
      <c r="Q89" s="1">
        <v>19</v>
      </c>
      <c r="R89" s="1">
        <v>86</v>
      </c>
    </row>
    <row r="90" spans="1:18">
      <c r="A90" s="1" t="s">
        <v>2174</v>
      </c>
      <c r="B90" s="33" t="s">
        <v>2039</v>
      </c>
      <c r="C90" s="1" t="s">
        <v>2175</v>
      </c>
      <c r="D90" s="33">
        <v>113</v>
      </c>
      <c r="E90" s="33">
        <v>46</v>
      </c>
      <c r="F90" s="33">
        <v>43</v>
      </c>
      <c r="G90" s="1">
        <v>109</v>
      </c>
      <c r="H90" s="1">
        <v>124.5</v>
      </c>
      <c r="I90" s="1">
        <v>33</v>
      </c>
      <c r="J90" s="1">
        <v>80</v>
      </c>
      <c r="K90" s="1">
        <v>31</v>
      </c>
      <c r="L90" s="1">
        <v>64</v>
      </c>
      <c r="M90" s="1">
        <v>104</v>
      </c>
      <c r="N90" s="1">
        <v>42</v>
      </c>
      <c r="O90" s="1">
        <v>106</v>
      </c>
      <c r="P90" s="1">
        <v>466.5</v>
      </c>
      <c r="Q90" s="1">
        <v>18</v>
      </c>
      <c r="R90" s="1">
        <v>89</v>
      </c>
    </row>
    <row r="91" spans="1:18">
      <c r="A91" s="1" t="s">
        <v>2176</v>
      </c>
      <c r="B91" s="33" t="s">
        <v>2039</v>
      </c>
      <c r="C91" s="1" t="s">
        <v>2177</v>
      </c>
      <c r="D91" s="33">
        <v>112</v>
      </c>
      <c r="E91" s="33">
        <v>51</v>
      </c>
      <c r="F91" s="33">
        <v>85</v>
      </c>
      <c r="G91" s="1">
        <v>42</v>
      </c>
      <c r="H91" s="1">
        <v>99</v>
      </c>
      <c r="I91" s="1">
        <v>102</v>
      </c>
      <c r="J91" s="1">
        <v>74</v>
      </c>
      <c r="K91" s="1">
        <v>77</v>
      </c>
      <c r="L91" s="1">
        <v>53</v>
      </c>
      <c r="M91" s="1">
        <v>118</v>
      </c>
      <c r="N91" s="1">
        <v>42</v>
      </c>
      <c r="O91" s="1">
        <v>106</v>
      </c>
      <c r="P91" s="1">
        <v>465</v>
      </c>
      <c r="Q91" s="1">
        <v>19</v>
      </c>
      <c r="R91" s="1">
        <v>90</v>
      </c>
    </row>
    <row r="92" spans="1:18">
      <c r="A92" s="1" t="s">
        <v>2178</v>
      </c>
      <c r="B92" s="33" t="s">
        <v>2039</v>
      </c>
      <c r="C92" s="1" t="s">
        <v>2179</v>
      </c>
      <c r="D92" s="33">
        <v>109</v>
      </c>
      <c r="E92" s="33">
        <v>74</v>
      </c>
      <c r="F92" s="33">
        <v>56</v>
      </c>
      <c r="G92" s="1">
        <v>95</v>
      </c>
      <c r="H92" s="1">
        <v>105.5</v>
      </c>
      <c r="I92" s="1">
        <v>84</v>
      </c>
      <c r="J92" s="1">
        <v>76</v>
      </c>
      <c r="K92" s="1">
        <v>59</v>
      </c>
      <c r="L92" s="1">
        <v>70</v>
      </c>
      <c r="M92" s="1">
        <v>80</v>
      </c>
      <c r="N92" s="1">
        <v>48</v>
      </c>
      <c r="O92" s="1">
        <v>87</v>
      </c>
      <c r="P92" s="1">
        <v>464.5</v>
      </c>
      <c r="Q92" s="1">
        <v>20</v>
      </c>
      <c r="R92" s="1">
        <v>91</v>
      </c>
    </row>
    <row r="93" spans="1:18">
      <c r="A93" s="1" t="s">
        <v>2180</v>
      </c>
      <c r="B93" s="33" t="s">
        <v>2010</v>
      </c>
      <c r="C93" s="1" t="s">
        <v>2181</v>
      </c>
      <c r="D93" s="33">
        <v>106</v>
      </c>
      <c r="E93" s="33">
        <v>86</v>
      </c>
      <c r="F93" s="33">
        <v>76</v>
      </c>
      <c r="G93" s="1">
        <v>63</v>
      </c>
      <c r="H93" s="1">
        <v>102.5</v>
      </c>
      <c r="I93" s="1">
        <v>95</v>
      </c>
      <c r="J93" s="1">
        <v>66</v>
      </c>
      <c r="K93" s="1">
        <v>108</v>
      </c>
      <c r="L93" s="1">
        <v>69</v>
      </c>
      <c r="M93" s="1">
        <v>85</v>
      </c>
      <c r="N93" s="1">
        <v>44</v>
      </c>
      <c r="O93" s="1">
        <v>101</v>
      </c>
      <c r="P93" s="1">
        <v>463.5</v>
      </c>
      <c r="Q93" s="1">
        <v>22</v>
      </c>
      <c r="R93" s="1">
        <v>92</v>
      </c>
    </row>
    <row r="94" spans="1:18">
      <c r="A94" s="1" t="s">
        <v>2182</v>
      </c>
      <c r="B94" s="33" t="s">
        <v>1998</v>
      </c>
      <c r="C94" s="1" t="s">
        <v>2183</v>
      </c>
      <c r="D94" s="33">
        <v>93</v>
      </c>
      <c r="E94" s="33">
        <v>116</v>
      </c>
      <c r="F94" s="33">
        <v>69</v>
      </c>
      <c r="G94" s="1">
        <v>72</v>
      </c>
      <c r="H94" s="1">
        <v>108</v>
      </c>
      <c r="I94" s="1">
        <v>74</v>
      </c>
      <c r="J94" s="1">
        <v>68</v>
      </c>
      <c r="K94" s="1">
        <v>102</v>
      </c>
      <c r="L94" s="1">
        <v>69</v>
      </c>
      <c r="M94" s="1">
        <v>85</v>
      </c>
      <c r="N94" s="1">
        <v>53</v>
      </c>
      <c r="O94" s="1">
        <v>59</v>
      </c>
      <c r="P94" s="1">
        <v>460</v>
      </c>
      <c r="Q94" s="1">
        <v>51</v>
      </c>
      <c r="R94" s="1">
        <v>93</v>
      </c>
    </row>
    <row r="95" spans="1:18">
      <c r="A95" s="1" t="s">
        <v>2184</v>
      </c>
      <c r="B95" s="33" t="s">
        <v>1998</v>
      </c>
      <c r="C95" s="1" t="s">
        <v>2185</v>
      </c>
      <c r="D95" s="33">
        <v>112</v>
      </c>
      <c r="E95" s="33">
        <v>51</v>
      </c>
      <c r="F95" s="33">
        <v>58</v>
      </c>
      <c r="G95" s="1">
        <v>92</v>
      </c>
      <c r="H95" s="1">
        <v>88.5</v>
      </c>
      <c r="I95" s="1">
        <v>116</v>
      </c>
      <c r="J95" s="1">
        <v>73</v>
      </c>
      <c r="K95" s="1">
        <v>83</v>
      </c>
      <c r="L95" s="1">
        <v>72</v>
      </c>
      <c r="M95" s="1">
        <v>71</v>
      </c>
      <c r="N95" s="1">
        <v>54</v>
      </c>
      <c r="O95" s="1">
        <v>58</v>
      </c>
      <c r="P95" s="1">
        <v>457.5</v>
      </c>
      <c r="Q95" s="1">
        <v>52</v>
      </c>
      <c r="R95" s="1">
        <v>94</v>
      </c>
    </row>
    <row r="96" spans="1:18">
      <c r="A96" s="1" t="s">
        <v>2186</v>
      </c>
      <c r="B96" s="33" t="s">
        <v>2039</v>
      </c>
      <c r="C96" s="1" t="s">
        <v>2187</v>
      </c>
      <c r="D96" s="33">
        <v>111</v>
      </c>
      <c r="E96" s="33">
        <v>61</v>
      </c>
      <c r="F96" s="33">
        <v>57</v>
      </c>
      <c r="G96" s="1">
        <v>93</v>
      </c>
      <c r="H96" s="1">
        <v>98.5</v>
      </c>
      <c r="I96" s="1">
        <v>104</v>
      </c>
      <c r="J96" s="1">
        <v>76</v>
      </c>
      <c r="K96" s="1">
        <v>59</v>
      </c>
      <c r="L96" s="1">
        <v>62</v>
      </c>
      <c r="M96" s="1">
        <v>109</v>
      </c>
      <c r="N96" s="1">
        <v>53</v>
      </c>
      <c r="O96" s="1">
        <v>59</v>
      </c>
      <c r="P96" s="1">
        <v>457.5</v>
      </c>
      <c r="Q96" s="1">
        <v>21</v>
      </c>
      <c r="R96" s="1">
        <v>94</v>
      </c>
    </row>
    <row r="97" spans="1:18">
      <c r="A97" s="1" t="s">
        <v>2188</v>
      </c>
      <c r="B97" s="33" t="s">
        <v>2010</v>
      </c>
      <c r="C97" s="1" t="s">
        <v>2189</v>
      </c>
      <c r="D97" s="33">
        <v>111</v>
      </c>
      <c r="E97" s="33">
        <v>61</v>
      </c>
      <c r="F97" s="33">
        <v>74</v>
      </c>
      <c r="G97" s="1">
        <v>66</v>
      </c>
      <c r="H97" s="1">
        <v>112</v>
      </c>
      <c r="I97" s="1">
        <v>64</v>
      </c>
      <c r="J97" s="1">
        <v>55</v>
      </c>
      <c r="K97" s="1">
        <v>119</v>
      </c>
      <c r="L97" s="1">
        <v>51</v>
      </c>
      <c r="M97" s="1">
        <v>120</v>
      </c>
      <c r="N97" s="1">
        <v>53</v>
      </c>
      <c r="O97" s="1">
        <v>59</v>
      </c>
      <c r="P97" s="1">
        <v>456</v>
      </c>
      <c r="Q97" s="1">
        <v>23</v>
      </c>
      <c r="R97" s="1">
        <v>96</v>
      </c>
    </row>
    <row r="98" spans="1:18">
      <c r="A98" s="1" t="s">
        <v>2190</v>
      </c>
      <c r="B98" s="33" t="s">
        <v>2010</v>
      </c>
      <c r="C98" s="1" t="s">
        <v>2191</v>
      </c>
      <c r="D98" s="33">
        <v>122</v>
      </c>
      <c r="E98" s="33">
        <v>7</v>
      </c>
      <c r="F98" s="33">
        <v>61</v>
      </c>
      <c r="G98" s="1">
        <v>85</v>
      </c>
      <c r="H98" s="1">
        <v>115</v>
      </c>
      <c r="I98" s="1">
        <v>54</v>
      </c>
      <c r="J98" s="1">
        <v>62</v>
      </c>
      <c r="K98" s="1">
        <v>114</v>
      </c>
      <c r="L98" s="1">
        <v>54</v>
      </c>
      <c r="M98" s="1">
        <v>117</v>
      </c>
      <c r="N98" s="1">
        <v>41</v>
      </c>
      <c r="O98" s="1">
        <v>110</v>
      </c>
      <c r="P98" s="1">
        <v>455</v>
      </c>
      <c r="Q98" s="1">
        <v>24</v>
      </c>
      <c r="R98" s="1">
        <v>97</v>
      </c>
    </row>
    <row r="99" spans="1:18">
      <c r="A99" s="1" t="s">
        <v>2192</v>
      </c>
      <c r="B99" s="33" t="s">
        <v>2010</v>
      </c>
      <c r="C99" s="1" t="s">
        <v>2193</v>
      </c>
      <c r="D99" s="33">
        <v>104</v>
      </c>
      <c r="E99" s="33">
        <v>94</v>
      </c>
      <c r="F99" s="33">
        <v>50</v>
      </c>
      <c r="G99" s="1">
        <v>100</v>
      </c>
      <c r="H99" s="1">
        <v>112</v>
      </c>
      <c r="I99" s="1">
        <v>64</v>
      </c>
      <c r="J99" s="1">
        <v>72</v>
      </c>
      <c r="K99" s="1">
        <v>89</v>
      </c>
      <c r="L99" s="1">
        <v>70</v>
      </c>
      <c r="M99" s="1">
        <v>80</v>
      </c>
      <c r="N99" s="1">
        <v>46</v>
      </c>
      <c r="O99" s="1">
        <v>94</v>
      </c>
      <c r="P99" s="1">
        <v>454</v>
      </c>
      <c r="Q99" s="1">
        <v>25</v>
      </c>
      <c r="R99" s="1">
        <v>98</v>
      </c>
    </row>
    <row r="100" spans="1:18">
      <c r="A100" s="1" t="s">
        <v>2194</v>
      </c>
      <c r="B100" s="33" t="s">
        <v>2039</v>
      </c>
      <c r="C100" s="1" t="s">
        <v>2195</v>
      </c>
      <c r="D100" s="33">
        <v>106</v>
      </c>
      <c r="E100" s="33">
        <v>86</v>
      </c>
      <c r="F100" s="33">
        <v>38</v>
      </c>
      <c r="G100" s="1">
        <v>114</v>
      </c>
      <c r="H100" s="1">
        <v>108.5</v>
      </c>
      <c r="I100" s="1">
        <v>71</v>
      </c>
      <c r="J100" s="1">
        <v>71</v>
      </c>
      <c r="K100" s="1">
        <v>94</v>
      </c>
      <c r="L100" s="1">
        <v>80</v>
      </c>
      <c r="M100" s="1">
        <v>30</v>
      </c>
      <c r="N100" s="1">
        <v>50</v>
      </c>
      <c r="O100" s="1">
        <v>76</v>
      </c>
      <c r="P100" s="1">
        <v>453.5</v>
      </c>
      <c r="Q100" s="1">
        <v>22</v>
      </c>
      <c r="R100" s="1">
        <v>99</v>
      </c>
    </row>
    <row r="101" spans="1:18">
      <c r="A101" s="1" t="s">
        <v>2196</v>
      </c>
      <c r="B101" s="33" t="s">
        <v>2010</v>
      </c>
      <c r="C101" s="1" t="s">
        <v>2197</v>
      </c>
      <c r="D101" s="33">
        <v>111</v>
      </c>
      <c r="E101" s="33">
        <v>61</v>
      </c>
      <c r="F101" s="33">
        <v>39</v>
      </c>
      <c r="G101" s="1">
        <v>113</v>
      </c>
      <c r="H101" s="1">
        <v>107.5</v>
      </c>
      <c r="I101" s="1">
        <v>76</v>
      </c>
      <c r="J101" s="1">
        <v>75</v>
      </c>
      <c r="K101" s="1">
        <v>66</v>
      </c>
      <c r="L101" s="1">
        <v>75</v>
      </c>
      <c r="M101" s="1">
        <v>59</v>
      </c>
      <c r="N101" s="1">
        <v>45</v>
      </c>
      <c r="O101" s="1">
        <v>96</v>
      </c>
      <c r="P101" s="1">
        <v>452.5</v>
      </c>
      <c r="Q101" s="1">
        <v>26</v>
      </c>
      <c r="R101" s="1">
        <v>100</v>
      </c>
    </row>
    <row r="102" spans="1:18">
      <c r="A102" s="1" t="s">
        <v>2198</v>
      </c>
      <c r="B102" s="33" t="s">
        <v>2010</v>
      </c>
      <c r="C102" s="1" t="s">
        <v>2199</v>
      </c>
      <c r="D102" s="33">
        <v>111</v>
      </c>
      <c r="E102" s="33">
        <v>61</v>
      </c>
      <c r="F102" s="33">
        <v>64</v>
      </c>
      <c r="G102" s="1">
        <v>81</v>
      </c>
      <c r="H102" s="1">
        <v>90</v>
      </c>
      <c r="I102" s="1">
        <v>115</v>
      </c>
      <c r="J102" s="1">
        <v>79</v>
      </c>
      <c r="K102" s="1">
        <v>35</v>
      </c>
      <c r="L102" s="1">
        <v>68</v>
      </c>
      <c r="M102" s="1">
        <v>93</v>
      </c>
      <c r="N102" s="1">
        <v>40</v>
      </c>
      <c r="O102" s="1">
        <v>113</v>
      </c>
      <c r="P102" s="1">
        <v>452</v>
      </c>
      <c r="Q102" s="1">
        <v>27</v>
      </c>
      <c r="R102" s="1">
        <v>101</v>
      </c>
    </row>
    <row r="103" spans="1:18">
      <c r="A103" s="1" t="s">
        <v>2200</v>
      </c>
      <c r="B103" s="33" t="s">
        <v>2010</v>
      </c>
      <c r="C103" s="1" t="s">
        <v>2201</v>
      </c>
      <c r="D103" s="33">
        <v>106</v>
      </c>
      <c r="E103" s="33">
        <v>86</v>
      </c>
      <c r="F103" s="33">
        <v>65</v>
      </c>
      <c r="G103" s="1">
        <v>79</v>
      </c>
      <c r="H103" s="1">
        <v>105.5</v>
      </c>
      <c r="I103" s="1">
        <v>84</v>
      </c>
      <c r="J103" s="1">
        <v>50</v>
      </c>
      <c r="K103" s="1">
        <v>120</v>
      </c>
      <c r="L103" s="1">
        <v>69</v>
      </c>
      <c r="M103" s="1">
        <v>85</v>
      </c>
      <c r="N103" s="1">
        <v>53</v>
      </c>
      <c r="O103" s="1">
        <v>59</v>
      </c>
      <c r="P103" s="1">
        <v>448.5</v>
      </c>
      <c r="Q103" s="1">
        <v>28</v>
      </c>
      <c r="R103" s="1">
        <v>102</v>
      </c>
    </row>
    <row r="104" spans="1:18">
      <c r="A104" s="1" t="s">
        <v>2202</v>
      </c>
      <c r="B104" s="33" t="s">
        <v>2010</v>
      </c>
      <c r="C104" s="1" t="s">
        <v>2203</v>
      </c>
      <c r="D104" s="33">
        <v>103</v>
      </c>
      <c r="E104" s="33">
        <v>96</v>
      </c>
      <c r="F104" s="33">
        <v>46</v>
      </c>
      <c r="G104" s="1">
        <v>103</v>
      </c>
      <c r="H104" s="1">
        <v>127</v>
      </c>
      <c r="I104" s="1">
        <v>22</v>
      </c>
      <c r="J104" s="1">
        <v>72</v>
      </c>
      <c r="K104" s="1">
        <v>89</v>
      </c>
      <c r="L104" s="1">
        <v>66</v>
      </c>
      <c r="M104" s="1">
        <v>99</v>
      </c>
      <c r="N104" s="1">
        <v>33</v>
      </c>
      <c r="O104" s="1">
        <v>119</v>
      </c>
      <c r="P104" s="1">
        <v>447</v>
      </c>
      <c r="Q104" s="1">
        <v>29</v>
      </c>
      <c r="R104" s="1">
        <v>103</v>
      </c>
    </row>
    <row r="105" spans="1:18">
      <c r="A105" s="1" t="s">
        <v>2204</v>
      </c>
      <c r="B105" s="33" t="s">
        <v>2039</v>
      </c>
      <c r="C105" s="1" t="s">
        <v>2205</v>
      </c>
      <c r="D105" s="33">
        <v>115</v>
      </c>
      <c r="E105" s="33">
        <v>38</v>
      </c>
      <c r="F105" s="33">
        <v>45</v>
      </c>
      <c r="G105" s="1">
        <v>107</v>
      </c>
      <c r="H105" s="1">
        <v>105</v>
      </c>
      <c r="I105" s="1">
        <v>89</v>
      </c>
      <c r="J105" s="1">
        <v>74</v>
      </c>
      <c r="K105" s="1">
        <v>77</v>
      </c>
      <c r="L105" s="1">
        <v>72</v>
      </c>
      <c r="M105" s="1">
        <v>71</v>
      </c>
      <c r="N105" s="1">
        <v>35</v>
      </c>
      <c r="O105" s="1">
        <v>118</v>
      </c>
      <c r="P105" s="1">
        <v>446</v>
      </c>
      <c r="Q105" s="1">
        <v>23</v>
      </c>
      <c r="R105" s="1">
        <v>104</v>
      </c>
    </row>
    <row r="106" spans="1:18">
      <c r="A106" s="1" t="s">
        <v>2206</v>
      </c>
      <c r="B106" s="33" t="s">
        <v>2039</v>
      </c>
      <c r="C106" s="1" t="s">
        <v>2207</v>
      </c>
      <c r="D106" s="33">
        <v>100</v>
      </c>
      <c r="E106" s="33">
        <v>102</v>
      </c>
      <c r="F106" s="33">
        <v>55</v>
      </c>
      <c r="G106" s="1">
        <v>96</v>
      </c>
      <c r="H106" s="1">
        <v>104.5</v>
      </c>
      <c r="I106" s="1">
        <v>90</v>
      </c>
      <c r="J106" s="1">
        <v>69</v>
      </c>
      <c r="K106" s="1">
        <v>100</v>
      </c>
      <c r="L106" s="1">
        <v>75</v>
      </c>
      <c r="M106" s="1">
        <v>59</v>
      </c>
      <c r="N106" s="1">
        <v>40</v>
      </c>
      <c r="O106" s="1">
        <v>113</v>
      </c>
      <c r="P106" s="1">
        <v>443.5</v>
      </c>
      <c r="Q106" s="1">
        <v>24</v>
      </c>
      <c r="R106" s="1">
        <v>105</v>
      </c>
    </row>
    <row r="107" spans="1:18">
      <c r="A107" s="1" t="s">
        <v>2208</v>
      </c>
      <c r="B107" s="33" t="s">
        <v>2039</v>
      </c>
      <c r="C107" s="1" t="s">
        <v>2209</v>
      </c>
      <c r="D107" s="33">
        <v>87</v>
      </c>
      <c r="E107" s="33">
        <v>119</v>
      </c>
      <c r="F107" s="33">
        <v>34</v>
      </c>
      <c r="G107" s="1">
        <v>118</v>
      </c>
      <c r="H107" s="1">
        <v>126.5</v>
      </c>
      <c r="I107" s="1">
        <v>24</v>
      </c>
      <c r="J107" s="1">
        <v>66</v>
      </c>
      <c r="K107" s="1">
        <v>108</v>
      </c>
      <c r="L107" s="1">
        <v>73</v>
      </c>
      <c r="M107" s="1">
        <v>66</v>
      </c>
      <c r="N107" s="1">
        <v>55</v>
      </c>
      <c r="O107" s="1">
        <v>49</v>
      </c>
      <c r="P107" s="1">
        <v>441.5</v>
      </c>
      <c r="Q107" s="1">
        <v>25</v>
      </c>
      <c r="R107" s="1">
        <v>106</v>
      </c>
    </row>
    <row r="108" spans="1:18">
      <c r="A108" s="1" t="s">
        <v>2210</v>
      </c>
      <c r="B108" s="33" t="s">
        <v>2039</v>
      </c>
      <c r="C108" s="1" t="s">
        <v>2211</v>
      </c>
      <c r="D108" s="33">
        <v>104</v>
      </c>
      <c r="E108" s="33">
        <v>94</v>
      </c>
      <c r="F108" s="33">
        <v>34</v>
      </c>
      <c r="G108" s="1">
        <v>118</v>
      </c>
      <c r="H108" s="1">
        <v>102</v>
      </c>
      <c r="I108" s="1">
        <v>98</v>
      </c>
      <c r="J108" s="1">
        <v>62</v>
      </c>
      <c r="K108" s="1">
        <v>114</v>
      </c>
      <c r="L108" s="1">
        <v>83</v>
      </c>
      <c r="M108" s="1">
        <v>13</v>
      </c>
      <c r="N108" s="1">
        <v>55</v>
      </c>
      <c r="O108" s="1">
        <v>49</v>
      </c>
      <c r="P108" s="1">
        <v>440</v>
      </c>
      <c r="Q108" s="1">
        <v>26</v>
      </c>
      <c r="R108" s="1">
        <v>107</v>
      </c>
    </row>
    <row r="109" spans="1:18">
      <c r="A109" s="1" t="s">
        <v>2212</v>
      </c>
      <c r="B109" s="33" t="s">
        <v>2010</v>
      </c>
      <c r="C109" s="1" t="s">
        <v>2213</v>
      </c>
      <c r="D109" s="33">
        <v>110</v>
      </c>
      <c r="E109" s="33">
        <v>68</v>
      </c>
      <c r="F109" s="33">
        <v>52</v>
      </c>
      <c r="G109" s="1">
        <v>99</v>
      </c>
      <c r="H109" s="1">
        <v>92.5</v>
      </c>
      <c r="I109" s="1">
        <v>114</v>
      </c>
      <c r="J109" s="1">
        <v>81</v>
      </c>
      <c r="K109" s="1">
        <v>23</v>
      </c>
      <c r="L109" s="1">
        <v>71</v>
      </c>
      <c r="M109" s="1">
        <v>77</v>
      </c>
      <c r="N109" s="1">
        <v>33</v>
      </c>
      <c r="O109" s="1">
        <v>119</v>
      </c>
      <c r="P109" s="1">
        <v>439.5</v>
      </c>
      <c r="Q109" s="1">
        <v>30</v>
      </c>
      <c r="R109" s="1">
        <v>108</v>
      </c>
    </row>
    <row r="110" spans="1:18">
      <c r="A110" s="1" t="s">
        <v>2214</v>
      </c>
      <c r="B110" s="33" t="s">
        <v>2039</v>
      </c>
      <c r="C110" s="1" t="s">
        <v>2215</v>
      </c>
      <c r="D110" s="33">
        <v>101</v>
      </c>
      <c r="E110" s="33">
        <v>101</v>
      </c>
      <c r="F110" s="33">
        <v>50</v>
      </c>
      <c r="G110" s="1">
        <v>100</v>
      </c>
      <c r="H110" s="1">
        <v>106</v>
      </c>
      <c r="I110" s="1">
        <v>82</v>
      </c>
      <c r="J110" s="1">
        <v>77</v>
      </c>
      <c r="K110" s="1">
        <v>52</v>
      </c>
      <c r="L110" s="1">
        <v>64</v>
      </c>
      <c r="M110" s="1">
        <v>104</v>
      </c>
      <c r="N110" s="1">
        <v>41</v>
      </c>
      <c r="O110" s="1">
        <v>110</v>
      </c>
      <c r="P110" s="1">
        <v>439</v>
      </c>
      <c r="Q110" s="1">
        <v>27</v>
      </c>
      <c r="R110" s="1">
        <v>109</v>
      </c>
    </row>
    <row r="111" spans="1:18">
      <c r="A111" s="1" t="s">
        <v>2216</v>
      </c>
      <c r="B111" s="33" t="s">
        <v>2010</v>
      </c>
      <c r="C111" s="1" t="s">
        <v>2217</v>
      </c>
      <c r="D111" s="33">
        <v>78</v>
      </c>
      <c r="E111" s="33">
        <v>120</v>
      </c>
      <c r="F111" s="33">
        <v>57</v>
      </c>
      <c r="G111" s="1">
        <v>93</v>
      </c>
      <c r="H111" s="1">
        <v>113</v>
      </c>
      <c r="I111" s="1">
        <v>61</v>
      </c>
      <c r="J111" s="1">
        <v>66</v>
      </c>
      <c r="K111" s="1">
        <v>108</v>
      </c>
      <c r="L111" s="1">
        <v>70</v>
      </c>
      <c r="M111" s="1">
        <v>80</v>
      </c>
      <c r="N111" s="1">
        <v>52</v>
      </c>
      <c r="O111" s="1">
        <v>68</v>
      </c>
      <c r="P111" s="1">
        <v>436</v>
      </c>
      <c r="Q111" s="1">
        <v>31</v>
      </c>
      <c r="R111" s="1">
        <v>110</v>
      </c>
    </row>
    <row r="112" spans="1:18">
      <c r="A112" s="1" t="s">
        <v>2218</v>
      </c>
      <c r="B112" s="33" t="s">
        <v>2039</v>
      </c>
      <c r="C112" s="1" t="s">
        <v>2219</v>
      </c>
      <c r="D112" s="33">
        <v>98</v>
      </c>
      <c r="E112" s="33">
        <v>109</v>
      </c>
      <c r="F112" s="33">
        <v>46</v>
      </c>
      <c r="G112" s="1">
        <v>103</v>
      </c>
      <c r="H112" s="1">
        <v>107.5</v>
      </c>
      <c r="I112" s="1">
        <v>76</v>
      </c>
      <c r="J112" s="1">
        <v>73</v>
      </c>
      <c r="K112" s="1">
        <v>83</v>
      </c>
      <c r="L112" s="1">
        <v>66</v>
      </c>
      <c r="M112" s="1">
        <v>99</v>
      </c>
      <c r="N112" s="1">
        <v>44</v>
      </c>
      <c r="O112" s="1">
        <v>101</v>
      </c>
      <c r="P112" s="1">
        <v>434.5</v>
      </c>
      <c r="Q112" s="1">
        <v>28</v>
      </c>
      <c r="R112" s="1">
        <v>111</v>
      </c>
    </row>
    <row r="113" spans="1:18">
      <c r="A113" s="1" t="s">
        <v>2220</v>
      </c>
      <c r="B113" s="33" t="s">
        <v>2039</v>
      </c>
      <c r="C113" s="1" t="s">
        <v>2221</v>
      </c>
      <c r="D113" s="33">
        <v>105</v>
      </c>
      <c r="E113" s="33">
        <v>92</v>
      </c>
      <c r="F113" s="33">
        <v>46</v>
      </c>
      <c r="G113" s="1">
        <v>103</v>
      </c>
      <c r="H113" s="1">
        <v>96.5</v>
      </c>
      <c r="I113" s="1">
        <v>107</v>
      </c>
      <c r="J113" s="1">
        <v>76</v>
      </c>
      <c r="K113" s="1">
        <v>59</v>
      </c>
      <c r="L113" s="1">
        <v>72</v>
      </c>
      <c r="M113" s="1">
        <v>71</v>
      </c>
      <c r="N113" s="1">
        <v>38</v>
      </c>
      <c r="O113" s="1">
        <v>116</v>
      </c>
      <c r="P113" s="1">
        <v>433.5</v>
      </c>
      <c r="Q113" s="1">
        <v>29</v>
      </c>
      <c r="R113" s="1">
        <v>112</v>
      </c>
    </row>
    <row r="114" spans="1:18">
      <c r="A114" s="1" t="s">
        <v>2222</v>
      </c>
      <c r="B114" s="33" t="s">
        <v>2010</v>
      </c>
      <c r="C114" s="1" t="s">
        <v>2223</v>
      </c>
      <c r="D114" s="33">
        <v>103</v>
      </c>
      <c r="E114" s="33">
        <v>96</v>
      </c>
      <c r="F114" s="33">
        <v>41</v>
      </c>
      <c r="G114" s="1">
        <v>112</v>
      </c>
      <c r="H114" s="1">
        <v>107</v>
      </c>
      <c r="I114" s="1">
        <v>79</v>
      </c>
      <c r="J114" s="1">
        <v>65</v>
      </c>
      <c r="K114" s="1">
        <v>111</v>
      </c>
      <c r="L114" s="1">
        <v>72</v>
      </c>
      <c r="M114" s="1">
        <v>71</v>
      </c>
      <c r="N114" s="1">
        <v>45</v>
      </c>
      <c r="O114" s="1">
        <v>96</v>
      </c>
      <c r="P114" s="1">
        <v>433</v>
      </c>
      <c r="Q114" s="1">
        <v>32</v>
      </c>
      <c r="R114" s="1">
        <v>113</v>
      </c>
    </row>
    <row r="115" spans="1:18">
      <c r="A115" s="1" t="s">
        <v>2224</v>
      </c>
      <c r="B115" s="33" t="s">
        <v>2010</v>
      </c>
      <c r="C115" s="1" t="s">
        <v>2225</v>
      </c>
      <c r="D115" s="33">
        <v>99</v>
      </c>
      <c r="E115" s="33">
        <v>107</v>
      </c>
      <c r="F115" s="33">
        <v>66</v>
      </c>
      <c r="G115" s="1">
        <v>77</v>
      </c>
      <c r="H115" s="1">
        <v>81.5</v>
      </c>
      <c r="I115" s="1">
        <v>119</v>
      </c>
      <c r="J115" s="1">
        <v>75</v>
      </c>
      <c r="K115" s="1">
        <v>66</v>
      </c>
      <c r="L115" s="1">
        <v>68</v>
      </c>
      <c r="M115" s="1">
        <v>93</v>
      </c>
      <c r="N115" s="1">
        <v>42</v>
      </c>
      <c r="O115" s="1">
        <v>106</v>
      </c>
      <c r="P115" s="1">
        <v>431.5</v>
      </c>
      <c r="Q115" s="1">
        <v>33</v>
      </c>
      <c r="R115" s="1">
        <v>114</v>
      </c>
    </row>
    <row r="116" spans="1:18">
      <c r="A116" s="1" t="s">
        <v>2226</v>
      </c>
      <c r="B116" s="33" t="s">
        <v>2010</v>
      </c>
      <c r="C116" s="1" t="s">
        <v>2227</v>
      </c>
      <c r="D116" s="33">
        <v>111</v>
      </c>
      <c r="E116" s="33">
        <v>61</v>
      </c>
      <c r="F116" s="33">
        <v>31</v>
      </c>
      <c r="G116" s="1">
        <v>120</v>
      </c>
      <c r="H116" s="1">
        <v>100</v>
      </c>
      <c r="I116" s="1">
        <v>101</v>
      </c>
      <c r="J116" s="1">
        <v>61</v>
      </c>
      <c r="K116" s="1">
        <v>116</v>
      </c>
      <c r="L116" s="1">
        <v>81</v>
      </c>
      <c r="M116" s="1">
        <v>22</v>
      </c>
      <c r="N116" s="1">
        <v>41</v>
      </c>
      <c r="O116" s="1">
        <v>110</v>
      </c>
      <c r="P116" s="1">
        <v>425</v>
      </c>
      <c r="Q116" s="1">
        <v>34</v>
      </c>
      <c r="R116" s="1">
        <v>115</v>
      </c>
    </row>
    <row r="117" spans="1:18">
      <c r="A117" s="1" t="s">
        <v>2228</v>
      </c>
      <c r="B117" s="33" t="s">
        <v>2039</v>
      </c>
      <c r="C117" s="1" t="s">
        <v>2229</v>
      </c>
      <c r="D117" s="33">
        <v>94</v>
      </c>
      <c r="E117" s="33">
        <v>114</v>
      </c>
      <c r="F117" s="33">
        <v>82</v>
      </c>
      <c r="G117" s="1">
        <v>50</v>
      </c>
      <c r="H117" s="1">
        <v>69.5</v>
      </c>
      <c r="I117" s="1">
        <v>120</v>
      </c>
      <c r="J117" s="1">
        <v>76</v>
      </c>
      <c r="K117" s="1">
        <v>59</v>
      </c>
      <c r="L117" s="1">
        <v>56</v>
      </c>
      <c r="M117" s="1">
        <v>115</v>
      </c>
      <c r="N117" s="1">
        <v>47</v>
      </c>
      <c r="O117" s="1">
        <v>91</v>
      </c>
      <c r="P117" s="1">
        <v>424.5</v>
      </c>
      <c r="Q117" s="1">
        <v>30</v>
      </c>
      <c r="R117" s="1">
        <v>116</v>
      </c>
    </row>
    <row r="118" spans="1:18">
      <c r="A118" s="1" t="s">
        <v>2230</v>
      </c>
      <c r="B118" s="33" t="s">
        <v>2039</v>
      </c>
      <c r="C118" s="1" t="s">
        <v>2231</v>
      </c>
      <c r="D118" s="33">
        <v>107</v>
      </c>
      <c r="E118" s="33">
        <v>83</v>
      </c>
      <c r="F118" s="33">
        <v>35</v>
      </c>
      <c r="G118" s="1">
        <v>117</v>
      </c>
      <c r="H118" s="1">
        <v>96.5</v>
      </c>
      <c r="I118" s="1">
        <v>107</v>
      </c>
      <c r="J118" s="1">
        <v>64</v>
      </c>
      <c r="K118" s="1">
        <v>112</v>
      </c>
      <c r="L118" s="1">
        <v>80</v>
      </c>
      <c r="M118" s="1">
        <v>30</v>
      </c>
      <c r="N118" s="1">
        <v>36</v>
      </c>
      <c r="O118" s="1">
        <v>117</v>
      </c>
      <c r="P118" s="1">
        <v>418.5</v>
      </c>
      <c r="Q118" s="1">
        <v>31</v>
      </c>
      <c r="R118" s="1">
        <v>117</v>
      </c>
    </row>
    <row r="119" spans="1:18">
      <c r="A119" s="1" t="s">
        <v>2232</v>
      </c>
      <c r="B119" s="33" t="s">
        <v>2039</v>
      </c>
      <c r="C119" s="1" t="s">
        <v>2233</v>
      </c>
      <c r="D119" s="33">
        <v>94</v>
      </c>
      <c r="E119" s="33">
        <v>114</v>
      </c>
      <c r="F119" s="33">
        <v>61</v>
      </c>
      <c r="G119" s="1">
        <v>85</v>
      </c>
      <c r="H119" s="1">
        <v>97.5</v>
      </c>
      <c r="I119" s="1">
        <v>105</v>
      </c>
      <c r="J119" s="1">
        <v>61</v>
      </c>
      <c r="K119" s="1">
        <v>116</v>
      </c>
      <c r="L119" s="1">
        <v>61</v>
      </c>
      <c r="M119" s="1">
        <v>110</v>
      </c>
      <c r="N119" s="1">
        <v>39</v>
      </c>
      <c r="O119" s="1">
        <v>115</v>
      </c>
      <c r="P119" s="1">
        <v>413.5</v>
      </c>
      <c r="Q119" s="1">
        <v>32</v>
      </c>
      <c r="R119" s="1">
        <v>118</v>
      </c>
    </row>
    <row r="120" spans="1:18">
      <c r="A120" s="1" t="s">
        <v>2234</v>
      </c>
      <c r="B120" s="33" t="s">
        <v>2039</v>
      </c>
      <c r="C120" s="1" t="s">
        <v>2235</v>
      </c>
      <c r="D120" s="33">
        <v>93</v>
      </c>
      <c r="E120" s="33">
        <v>116</v>
      </c>
      <c r="F120" s="33">
        <v>37</v>
      </c>
      <c r="G120" s="1">
        <v>116</v>
      </c>
      <c r="H120" s="1">
        <v>95.5</v>
      </c>
      <c r="I120" s="1">
        <v>111</v>
      </c>
      <c r="J120" s="1">
        <v>70</v>
      </c>
      <c r="K120" s="1">
        <v>96</v>
      </c>
      <c r="L120" s="1">
        <v>68</v>
      </c>
      <c r="M120" s="1">
        <v>93</v>
      </c>
      <c r="N120" s="1">
        <v>45</v>
      </c>
      <c r="O120" s="1">
        <v>96</v>
      </c>
      <c r="P120" s="1">
        <v>408.5</v>
      </c>
      <c r="Q120" s="1">
        <v>33</v>
      </c>
      <c r="R120" s="1">
        <v>119</v>
      </c>
    </row>
    <row r="121" spans="1:18">
      <c r="A121" s="1" t="s">
        <v>2236</v>
      </c>
      <c r="B121" s="33" t="s">
        <v>2039</v>
      </c>
      <c r="C121" s="1" t="s">
        <v>2237</v>
      </c>
      <c r="D121" s="33">
        <v>92</v>
      </c>
      <c r="E121" s="33">
        <v>118</v>
      </c>
      <c r="F121" s="33">
        <v>42</v>
      </c>
      <c r="G121" s="1">
        <v>111</v>
      </c>
      <c r="H121" s="1">
        <v>107.5</v>
      </c>
      <c r="I121" s="1">
        <v>76</v>
      </c>
      <c r="J121" s="1">
        <v>61</v>
      </c>
      <c r="K121" s="1">
        <v>116</v>
      </c>
      <c r="L121" s="1">
        <v>52</v>
      </c>
      <c r="M121" s="1">
        <v>119</v>
      </c>
      <c r="N121" s="1">
        <v>45</v>
      </c>
      <c r="O121" s="1">
        <v>96</v>
      </c>
      <c r="P121" s="1">
        <v>399.5</v>
      </c>
      <c r="Q121" s="1">
        <v>34</v>
      </c>
      <c r="R121" s="1">
        <v>120</v>
      </c>
    </row>
  </sheetData>
  <autoFilter ref="A1:R1"/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1077"/>
  <sheetViews>
    <sheetView zoomScaleNormal="100" zoomScaleSheetLayoutView="100" workbookViewId="0">
      <pane xSplit="4" ySplit="2" topLeftCell="E647" activePane="bottomRight" state="frozen"/>
      <selection activeCell="N30" sqref="N30"/>
      <selection pane="topRight" activeCell="N30" sqref="N30"/>
      <selection pane="bottomLeft" activeCell="N30" sqref="N30"/>
      <selection pane="bottomRight" activeCell="I665" sqref="I665"/>
    </sheetView>
  </sheetViews>
  <sheetFormatPr defaultRowHeight="14.25"/>
  <cols>
    <col min="1" max="1" width="11.875" style="2" customWidth="1"/>
    <col min="2" max="2" width="9.375" style="2" customWidth="1"/>
    <col min="3" max="3" width="8.875" style="2" customWidth="1"/>
    <col min="4" max="4" width="9.25" style="8" customWidth="1"/>
    <col min="5" max="5" width="7.375" style="2" customWidth="1"/>
    <col min="6" max="6" width="7.25" style="2" customWidth="1"/>
    <col min="7" max="7" width="7.625" style="2" customWidth="1"/>
    <col min="8" max="8" width="7.125" style="30" customWidth="1"/>
    <col min="9" max="9" width="7" style="2" customWidth="1"/>
    <col min="10" max="10" width="7.5" style="2" customWidth="1"/>
    <col min="11" max="11" width="5.625" style="2" customWidth="1"/>
    <col min="12" max="12" width="5.625" style="13" customWidth="1"/>
    <col min="13" max="13" width="5.625" style="2" customWidth="1"/>
    <col min="14" max="14" width="6.5" style="2" customWidth="1"/>
    <col min="15" max="15" width="10.625" style="2" customWidth="1"/>
    <col min="16" max="16384" width="9" style="2"/>
  </cols>
  <sheetData>
    <row r="1" spans="1:15" s="4" customFormat="1" ht="26.25" customHeight="1">
      <c r="A1" s="95" t="s">
        <v>3309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5" ht="32.25" customHeight="1">
      <c r="A2" s="65" t="s">
        <v>3308</v>
      </c>
      <c r="B2" s="29" t="s">
        <v>13</v>
      </c>
      <c r="C2" s="26" t="s">
        <v>14</v>
      </c>
      <c r="D2" s="26" t="s">
        <v>15</v>
      </c>
      <c r="E2" s="49" t="s">
        <v>2</v>
      </c>
      <c r="F2" s="49" t="s">
        <v>3</v>
      </c>
      <c r="G2" s="49" t="s">
        <v>4</v>
      </c>
      <c r="H2" s="50" t="s">
        <v>66</v>
      </c>
      <c r="I2" s="50" t="s">
        <v>67</v>
      </c>
      <c r="J2" s="50" t="s">
        <v>68</v>
      </c>
      <c r="K2" s="51" t="s">
        <v>78</v>
      </c>
      <c r="L2" s="28" t="s">
        <v>5</v>
      </c>
      <c r="M2" s="61" t="s">
        <v>6</v>
      </c>
      <c r="N2" s="29" t="s">
        <v>2238</v>
      </c>
      <c r="O2" s="26" t="s">
        <v>2239</v>
      </c>
    </row>
    <row r="3" spans="1:15" ht="16.5" customHeight="1">
      <c r="A3" s="56" t="s">
        <v>2240</v>
      </c>
      <c r="B3" s="57" t="s">
        <v>92</v>
      </c>
      <c r="C3" s="56" t="s">
        <v>1924</v>
      </c>
      <c r="D3" s="57" t="s">
        <v>1925</v>
      </c>
      <c r="E3" s="56">
        <v>87</v>
      </c>
      <c r="F3" s="56">
        <v>80</v>
      </c>
      <c r="G3" s="56">
        <v>96.5</v>
      </c>
      <c r="H3" s="56">
        <v>39</v>
      </c>
      <c r="I3" s="56">
        <v>70</v>
      </c>
      <c r="J3" s="56">
        <v>44</v>
      </c>
      <c r="K3" s="52">
        <f>SUM(E3:J3)</f>
        <v>416.5</v>
      </c>
      <c r="L3" s="27">
        <f>RANK(K3,$K$3:$K$59)</f>
        <v>54</v>
      </c>
      <c r="M3" s="62">
        <f t="shared" ref="M3:M66" si="0">RANK(K3,$K$3:$K$953)</f>
        <v>916</v>
      </c>
      <c r="N3" s="63"/>
      <c r="O3" s="26" t="s">
        <v>44</v>
      </c>
    </row>
    <row r="4" spans="1:15" ht="16.5" customHeight="1">
      <c r="A4" s="56" t="s">
        <v>2241</v>
      </c>
      <c r="B4" s="57" t="s">
        <v>92</v>
      </c>
      <c r="C4" s="56" t="s">
        <v>224</v>
      </c>
      <c r="D4" s="57" t="s">
        <v>225</v>
      </c>
      <c r="E4" s="56">
        <v>110</v>
      </c>
      <c r="F4" s="56">
        <v>131</v>
      </c>
      <c r="G4" s="56">
        <v>99</v>
      </c>
      <c r="H4" s="56">
        <v>100</v>
      </c>
      <c r="I4" s="56">
        <v>94</v>
      </c>
      <c r="J4" s="56">
        <v>79</v>
      </c>
      <c r="K4" s="52">
        <f t="shared" ref="K4:K67" si="1">SUM(E4:J4)</f>
        <v>613</v>
      </c>
      <c r="L4" s="27">
        <f t="shared" ref="L4:L59" si="2">RANK(K4,$K$3:$K$59)</f>
        <v>3</v>
      </c>
      <c r="M4" s="62">
        <f t="shared" si="0"/>
        <v>64</v>
      </c>
      <c r="N4" s="63" t="s">
        <v>16</v>
      </c>
      <c r="O4" s="26" t="s">
        <v>42</v>
      </c>
    </row>
    <row r="5" spans="1:15" ht="16.5" customHeight="1">
      <c r="A5" s="56" t="s">
        <v>2242</v>
      </c>
      <c r="B5" s="57" t="s">
        <v>92</v>
      </c>
      <c r="C5" s="56" t="s">
        <v>452</v>
      </c>
      <c r="D5" s="57" t="s">
        <v>453</v>
      </c>
      <c r="E5" s="56">
        <v>106</v>
      </c>
      <c r="F5" s="56">
        <v>130</v>
      </c>
      <c r="G5" s="56">
        <v>113.5</v>
      </c>
      <c r="H5" s="56">
        <v>75</v>
      </c>
      <c r="I5" s="56">
        <v>79</v>
      </c>
      <c r="J5" s="56">
        <v>77</v>
      </c>
      <c r="K5" s="52">
        <f t="shared" si="1"/>
        <v>580.5</v>
      </c>
      <c r="L5" s="27">
        <f t="shared" si="2"/>
        <v>4</v>
      </c>
      <c r="M5" s="62">
        <f t="shared" si="0"/>
        <v>176</v>
      </c>
      <c r="N5" s="63" t="s">
        <v>17</v>
      </c>
      <c r="O5" s="26" t="s">
        <v>2243</v>
      </c>
    </row>
    <row r="6" spans="1:15" ht="16.5" customHeight="1">
      <c r="A6" s="56" t="s">
        <v>2244</v>
      </c>
      <c r="B6" s="57" t="s">
        <v>92</v>
      </c>
      <c r="C6" s="56" t="s">
        <v>1132</v>
      </c>
      <c r="D6" s="57" t="s">
        <v>1133</v>
      </c>
      <c r="E6" s="56">
        <v>91</v>
      </c>
      <c r="F6" s="56">
        <v>82</v>
      </c>
      <c r="G6" s="56">
        <v>120.5</v>
      </c>
      <c r="H6" s="56">
        <v>70</v>
      </c>
      <c r="I6" s="56">
        <v>93</v>
      </c>
      <c r="J6" s="56">
        <v>61</v>
      </c>
      <c r="K6" s="52">
        <f t="shared" si="1"/>
        <v>517.5</v>
      </c>
      <c r="L6" s="27">
        <f t="shared" si="2"/>
        <v>31</v>
      </c>
      <c r="M6" s="62">
        <f t="shared" si="0"/>
        <v>519</v>
      </c>
      <c r="N6" s="63" t="s">
        <v>16</v>
      </c>
      <c r="O6" s="26" t="s">
        <v>2243</v>
      </c>
    </row>
    <row r="7" spans="1:15" ht="16.5" customHeight="1">
      <c r="A7" s="56" t="s">
        <v>2245</v>
      </c>
      <c r="B7" s="57" t="s">
        <v>92</v>
      </c>
      <c r="C7" s="56" t="s">
        <v>922</v>
      </c>
      <c r="D7" s="57" t="s">
        <v>923</v>
      </c>
      <c r="E7" s="56">
        <v>111</v>
      </c>
      <c r="F7" s="56">
        <v>109</v>
      </c>
      <c r="G7" s="56">
        <v>120</v>
      </c>
      <c r="H7" s="56">
        <v>50</v>
      </c>
      <c r="I7" s="56">
        <v>78</v>
      </c>
      <c r="J7" s="56">
        <v>65</v>
      </c>
      <c r="K7" s="52">
        <f t="shared" si="1"/>
        <v>533</v>
      </c>
      <c r="L7" s="27">
        <f t="shared" si="2"/>
        <v>22</v>
      </c>
      <c r="M7" s="62">
        <f t="shared" si="0"/>
        <v>415</v>
      </c>
      <c r="N7" s="63" t="s">
        <v>16</v>
      </c>
      <c r="O7" s="26" t="s">
        <v>44</v>
      </c>
    </row>
    <row r="8" spans="1:15" ht="16.5" customHeight="1">
      <c r="A8" s="56" t="s">
        <v>2246</v>
      </c>
      <c r="B8" s="57" t="s">
        <v>92</v>
      </c>
      <c r="C8" s="56" t="s">
        <v>474</v>
      </c>
      <c r="D8" s="57" t="s">
        <v>475</v>
      </c>
      <c r="E8" s="56">
        <v>119</v>
      </c>
      <c r="F8" s="56">
        <v>85</v>
      </c>
      <c r="G8" s="56">
        <v>125</v>
      </c>
      <c r="H8" s="56">
        <v>77</v>
      </c>
      <c r="I8" s="56">
        <v>90</v>
      </c>
      <c r="J8" s="56">
        <v>83</v>
      </c>
      <c r="K8" s="52">
        <f t="shared" si="1"/>
        <v>579</v>
      </c>
      <c r="L8" s="27">
        <f t="shared" si="2"/>
        <v>5</v>
      </c>
      <c r="M8" s="62">
        <f t="shared" si="0"/>
        <v>188</v>
      </c>
      <c r="N8" s="63" t="s">
        <v>16</v>
      </c>
      <c r="O8" s="26" t="s">
        <v>2243</v>
      </c>
    </row>
    <row r="9" spans="1:15" ht="16.5" customHeight="1">
      <c r="A9" s="56" t="s">
        <v>2247</v>
      </c>
      <c r="B9" s="57" t="s">
        <v>92</v>
      </c>
      <c r="C9" s="56" t="s">
        <v>1976</v>
      </c>
      <c r="D9" s="57" t="s">
        <v>1977</v>
      </c>
      <c r="E9" s="56">
        <v>92</v>
      </c>
      <c r="F9" s="56">
        <v>61</v>
      </c>
      <c r="G9" s="56">
        <v>62</v>
      </c>
      <c r="H9" s="56">
        <v>64</v>
      </c>
      <c r="I9" s="56">
        <v>54</v>
      </c>
      <c r="J9" s="56">
        <v>46</v>
      </c>
      <c r="K9" s="52">
        <f t="shared" si="1"/>
        <v>379</v>
      </c>
      <c r="L9" s="27">
        <f t="shared" si="2"/>
        <v>56</v>
      </c>
      <c r="M9" s="62">
        <f t="shared" si="0"/>
        <v>942</v>
      </c>
      <c r="N9" s="63" t="s">
        <v>17</v>
      </c>
      <c r="O9" s="26" t="s">
        <v>2243</v>
      </c>
    </row>
    <row r="10" spans="1:15" ht="16.5" customHeight="1">
      <c r="A10" s="56" t="s">
        <v>2248</v>
      </c>
      <c r="B10" s="57" t="s">
        <v>92</v>
      </c>
      <c r="C10" s="56" t="s">
        <v>1120</v>
      </c>
      <c r="D10" s="57" t="s">
        <v>1121</v>
      </c>
      <c r="E10" s="56">
        <v>103</v>
      </c>
      <c r="F10" s="56">
        <v>97</v>
      </c>
      <c r="G10" s="56">
        <v>119.5</v>
      </c>
      <c r="H10" s="56">
        <v>62</v>
      </c>
      <c r="I10" s="56">
        <v>70</v>
      </c>
      <c r="J10" s="56">
        <v>67</v>
      </c>
      <c r="K10" s="52">
        <f t="shared" si="1"/>
        <v>518.5</v>
      </c>
      <c r="L10" s="27">
        <f t="shared" si="2"/>
        <v>29</v>
      </c>
      <c r="M10" s="62">
        <f t="shared" si="0"/>
        <v>514</v>
      </c>
      <c r="N10" s="63" t="s">
        <v>16</v>
      </c>
      <c r="O10" s="26" t="s">
        <v>42</v>
      </c>
    </row>
    <row r="11" spans="1:15" ht="16.5" customHeight="1">
      <c r="A11" s="56" t="s">
        <v>2249</v>
      </c>
      <c r="B11" s="57" t="s">
        <v>92</v>
      </c>
      <c r="C11" s="56" t="s">
        <v>1072</v>
      </c>
      <c r="D11" s="57" t="s">
        <v>1073</v>
      </c>
      <c r="E11" s="56">
        <v>101</v>
      </c>
      <c r="F11" s="56">
        <v>101</v>
      </c>
      <c r="G11" s="56">
        <v>89.5</v>
      </c>
      <c r="H11" s="56">
        <v>66</v>
      </c>
      <c r="I11" s="56">
        <v>91</v>
      </c>
      <c r="J11" s="56">
        <v>74</v>
      </c>
      <c r="K11" s="52">
        <f t="shared" si="1"/>
        <v>522.5</v>
      </c>
      <c r="L11" s="27">
        <f t="shared" si="2"/>
        <v>26</v>
      </c>
      <c r="M11" s="62">
        <f t="shared" si="0"/>
        <v>488</v>
      </c>
      <c r="N11" s="63" t="s">
        <v>16</v>
      </c>
      <c r="O11" s="26" t="s">
        <v>44</v>
      </c>
    </row>
    <row r="12" spans="1:15" ht="16.5" customHeight="1">
      <c r="A12" s="56" t="s">
        <v>2250</v>
      </c>
      <c r="B12" s="57" t="s">
        <v>92</v>
      </c>
      <c r="C12" s="56" t="s">
        <v>1306</v>
      </c>
      <c r="D12" s="57" t="s">
        <v>1307</v>
      </c>
      <c r="E12" s="56">
        <v>101</v>
      </c>
      <c r="F12" s="56">
        <v>102</v>
      </c>
      <c r="G12" s="56">
        <v>94</v>
      </c>
      <c r="H12" s="56">
        <v>58</v>
      </c>
      <c r="I12" s="56">
        <v>79</v>
      </c>
      <c r="J12" s="56">
        <v>71</v>
      </c>
      <c r="K12" s="52">
        <f t="shared" si="1"/>
        <v>505</v>
      </c>
      <c r="L12" s="27">
        <f t="shared" si="2"/>
        <v>36</v>
      </c>
      <c r="M12" s="62">
        <f t="shared" si="0"/>
        <v>606</v>
      </c>
      <c r="N12" s="63" t="s">
        <v>17</v>
      </c>
      <c r="O12" s="26" t="s">
        <v>42</v>
      </c>
    </row>
    <row r="13" spans="1:15" ht="16.5" customHeight="1">
      <c r="A13" s="56" t="s">
        <v>2251</v>
      </c>
      <c r="B13" s="57" t="s">
        <v>92</v>
      </c>
      <c r="C13" s="56" t="s">
        <v>824</v>
      </c>
      <c r="D13" s="57" t="s">
        <v>825</v>
      </c>
      <c r="E13" s="56">
        <v>114</v>
      </c>
      <c r="F13" s="56">
        <v>110</v>
      </c>
      <c r="G13" s="56">
        <v>90.5</v>
      </c>
      <c r="H13" s="56">
        <v>66</v>
      </c>
      <c r="I13" s="56">
        <v>82</v>
      </c>
      <c r="J13" s="56">
        <v>80</v>
      </c>
      <c r="K13" s="52">
        <f t="shared" si="1"/>
        <v>542.5</v>
      </c>
      <c r="L13" s="27">
        <f t="shared" si="2"/>
        <v>17</v>
      </c>
      <c r="M13" s="62">
        <f t="shared" si="0"/>
        <v>365</v>
      </c>
      <c r="N13" s="63" t="s">
        <v>17</v>
      </c>
      <c r="O13" s="26" t="s">
        <v>2243</v>
      </c>
    </row>
    <row r="14" spans="1:15" ht="16.5" customHeight="1">
      <c r="A14" s="56" t="s">
        <v>2252</v>
      </c>
      <c r="B14" s="57" t="s">
        <v>92</v>
      </c>
      <c r="C14" s="56" t="s">
        <v>1024</v>
      </c>
      <c r="D14" s="57" t="s">
        <v>1025</v>
      </c>
      <c r="E14" s="56">
        <v>112</v>
      </c>
      <c r="F14" s="56">
        <v>99</v>
      </c>
      <c r="G14" s="56">
        <v>72.5</v>
      </c>
      <c r="H14" s="56">
        <v>84</v>
      </c>
      <c r="I14" s="56">
        <v>86</v>
      </c>
      <c r="J14" s="56">
        <v>72</v>
      </c>
      <c r="K14" s="52">
        <f t="shared" si="1"/>
        <v>525.5</v>
      </c>
      <c r="L14" s="27">
        <f t="shared" si="2"/>
        <v>25</v>
      </c>
      <c r="M14" s="62">
        <f t="shared" si="0"/>
        <v>466</v>
      </c>
      <c r="N14" s="63" t="s">
        <v>17</v>
      </c>
      <c r="O14" s="26" t="s">
        <v>2243</v>
      </c>
    </row>
    <row r="15" spans="1:15" ht="16.5" customHeight="1">
      <c r="A15" s="56" t="s">
        <v>2253</v>
      </c>
      <c r="B15" s="57" t="s">
        <v>92</v>
      </c>
      <c r="C15" s="56" t="s">
        <v>494</v>
      </c>
      <c r="D15" s="57" t="s">
        <v>495</v>
      </c>
      <c r="E15" s="56">
        <v>113</v>
      </c>
      <c r="F15" s="56">
        <v>113</v>
      </c>
      <c r="G15" s="56">
        <v>104</v>
      </c>
      <c r="H15" s="56">
        <v>81</v>
      </c>
      <c r="I15" s="56">
        <v>85</v>
      </c>
      <c r="J15" s="56">
        <v>81</v>
      </c>
      <c r="K15" s="52">
        <f t="shared" si="1"/>
        <v>577</v>
      </c>
      <c r="L15" s="27">
        <f t="shared" si="2"/>
        <v>6</v>
      </c>
      <c r="M15" s="62">
        <f t="shared" si="0"/>
        <v>197</v>
      </c>
      <c r="N15" s="63"/>
      <c r="O15" s="26" t="s">
        <v>44</v>
      </c>
    </row>
    <row r="16" spans="1:15" ht="16.5" customHeight="1">
      <c r="A16" s="56" t="s">
        <v>2254</v>
      </c>
      <c r="B16" s="57" t="s">
        <v>92</v>
      </c>
      <c r="C16" s="56" t="s">
        <v>1566</v>
      </c>
      <c r="D16" s="57" t="s">
        <v>1567</v>
      </c>
      <c r="E16" s="56">
        <v>90</v>
      </c>
      <c r="F16" s="56">
        <v>72</v>
      </c>
      <c r="G16" s="56">
        <v>118</v>
      </c>
      <c r="H16" s="56">
        <v>63</v>
      </c>
      <c r="I16" s="56">
        <v>72</v>
      </c>
      <c r="J16" s="56">
        <v>66</v>
      </c>
      <c r="K16" s="52">
        <f t="shared" si="1"/>
        <v>481</v>
      </c>
      <c r="L16" s="27">
        <f t="shared" si="2"/>
        <v>42</v>
      </c>
      <c r="M16" s="62">
        <f t="shared" si="0"/>
        <v>736</v>
      </c>
      <c r="N16" s="63" t="s">
        <v>17</v>
      </c>
      <c r="O16" s="26" t="s">
        <v>2243</v>
      </c>
    </row>
    <row r="17" spans="1:15" ht="16.5" customHeight="1">
      <c r="A17" s="56" t="s">
        <v>2255</v>
      </c>
      <c r="B17" s="57" t="s">
        <v>92</v>
      </c>
      <c r="C17" s="56" t="s">
        <v>621</v>
      </c>
      <c r="D17" s="57" t="s">
        <v>622</v>
      </c>
      <c r="E17" s="56">
        <v>109</v>
      </c>
      <c r="F17" s="56">
        <v>99</v>
      </c>
      <c r="G17" s="56">
        <v>130.5</v>
      </c>
      <c r="H17" s="56">
        <v>63</v>
      </c>
      <c r="I17" s="56">
        <v>89</v>
      </c>
      <c r="J17" s="56">
        <v>73</v>
      </c>
      <c r="K17" s="52">
        <f t="shared" si="1"/>
        <v>563.5</v>
      </c>
      <c r="L17" s="27">
        <f t="shared" si="2"/>
        <v>12</v>
      </c>
      <c r="M17" s="62">
        <f t="shared" si="0"/>
        <v>263</v>
      </c>
      <c r="N17" s="63" t="s">
        <v>17</v>
      </c>
      <c r="O17" s="26" t="s">
        <v>2243</v>
      </c>
    </row>
    <row r="18" spans="1:15" ht="16.5" customHeight="1">
      <c r="A18" s="56" t="s">
        <v>2256</v>
      </c>
      <c r="B18" s="57" t="s">
        <v>92</v>
      </c>
      <c r="C18" s="56" t="s">
        <v>1074</v>
      </c>
      <c r="D18" s="57" t="s">
        <v>1075</v>
      </c>
      <c r="E18" s="56">
        <v>106</v>
      </c>
      <c r="F18" s="56">
        <v>94</v>
      </c>
      <c r="G18" s="56">
        <v>100</v>
      </c>
      <c r="H18" s="56">
        <v>64</v>
      </c>
      <c r="I18" s="56">
        <v>91</v>
      </c>
      <c r="J18" s="56">
        <v>67</v>
      </c>
      <c r="K18" s="52">
        <f t="shared" si="1"/>
        <v>522</v>
      </c>
      <c r="L18" s="27">
        <f t="shared" si="2"/>
        <v>27</v>
      </c>
      <c r="M18" s="62">
        <f t="shared" si="0"/>
        <v>491</v>
      </c>
      <c r="N18" s="63" t="s">
        <v>16</v>
      </c>
      <c r="O18" s="26" t="s">
        <v>2243</v>
      </c>
    </row>
    <row r="19" spans="1:15" ht="16.5" customHeight="1">
      <c r="A19" s="56" t="s">
        <v>2257</v>
      </c>
      <c r="B19" s="57" t="s">
        <v>92</v>
      </c>
      <c r="C19" s="56" t="s">
        <v>956</v>
      </c>
      <c r="D19" s="57" t="s">
        <v>957</v>
      </c>
      <c r="E19" s="56">
        <v>112</v>
      </c>
      <c r="F19" s="56">
        <v>90</v>
      </c>
      <c r="G19" s="56">
        <v>114.5</v>
      </c>
      <c r="H19" s="56">
        <v>64</v>
      </c>
      <c r="I19" s="56">
        <v>77</v>
      </c>
      <c r="J19" s="56">
        <v>73</v>
      </c>
      <c r="K19" s="52">
        <f t="shared" si="1"/>
        <v>530.5</v>
      </c>
      <c r="L19" s="27">
        <f t="shared" si="2"/>
        <v>23</v>
      </c>
      <c r="M19" s="62">
        <f t="shared" si="0"/>
        <v>432</v>
      </c>
      <c r="N19" s="63" t="s">
        <v>16</v>
      </c>
      <c r="O19" s="26" t="s">
        <v>42</v>
      </c>
    </row>
    <row r="20" spans="1:15" ht="16.5" customHeight="1">
      <c r="A20" s="56" t="s">
        <v>2258</v>
      </c>
      <c r="B20" s="57" t="s">
        <v>92</v>
      </c>
      <c r="C20" s="56" t="s">
        <v>1606</v>
      </c>
      <c r="D20" s="57" t="s">
        <v>1607</v>
      </c>
      <c r="E20" s="56">
        <v>104</v>
      </c>
      <c r="F20" s="56">
        <v>56</v>
      </c>
      <c r="G20" s="56">
        <v>112</v>
      </c>
      <c r="H20" s="56">
        <v>58</v>
      </c>
      <c r="I20" s="56">
        <v>83</v>
      </c>
      <c r="J20" s="56">
        <v>62</v>
      </c>
      <c r="K20" s="52">
        <f t="shared" si="1"/>
        <v>475</v>
      </c>
      <c r="L20" s="27">
        <f t="shared" si="2"/>
        <v>44</v>
      </c>
      <c r="M20" s="62">
        <f t="shared" si="0"/>
        <v>756</v>
      </c>
      <c r="N20" s="63" t="s">
        <v>17</v>
      </c>
      <c r="O20" s="26" t="s">
        <v>2243</v>
      </c>
    </row>
    <row r="21" spans="1:15" ht="16.5" customHeight="1">
      <c r="A21" s="56" t="s">
        <v>2259</v>
      </c>
      <c r="B21" s="57" t="s">
        <v>92</v>
      </c>
      <c r="C21" s="56" t="s">
        <v>1756</v>
      </c>
      <c r="D21" s="57" t="s">
        <v>1757</v>
      </c>
      <c r="E21" s="56">
        <v>99</v>
      </c>
      <c r="F21" s="56">
        <v>80</v>
      </c>
      <c r="G21" s="56">
        <v>100.5</v>
      </c>
      <c r="H21" s="56">
        <v>56</v>
      </c>
      <c r="I21" s="56">
        <v>85</v>
      </c>
      <c r="J21" s="56">
        <v>34</v>
      </c>
      <c r="K21" s="52">
        <f t="shared" si="1"/>
        <v>454.5</v>
      </c>
      <c r="L21" s="27">
        <f t="shared" si="2"/>
        <v>49</v>
      </c>
      <c r="M21" s="62">
        <f t="shared" si="0"/>
        <v>829</v>
      </c>
      <c r="N21" s="63" t="s">
        <v>17</v>
      </c>
      <c r="O21" s="26" t="s">
        <v>2243</v>
      </c>
    </row>
    <row r="22" spans="1:15" ht="16.5" customHeight="1">
      <c r="A22" s="56" t="s">
        <v>2260</v>
      </c>
      <c r="B22" s="57" t="s">
        <v>92</v>
      </c>
      <c r="C22" s="56" t="s">
        <v>1990</v>
      </c>
      <c r="D22" s="57" t="s">
        <v>1991</v>
      </c>
      <c r="E22" s="56">
        <v>87</v>
      </c>
      <c r="F22" s="56">
        <v>46</v>
      </c>
      <c r="G22" s="56">
        <v>81.5</v>
      </c>
      <c r="H22" s="56">
        <v>11</v>
      </c>
      <c r="I22" s="56">
        <v>78</v>
      </c>
      <c r="J22" s="56">
        <v>39</v>
      </c>
      <c r="K22" s="52">
        <f t="shared" si="1"/>
        <v>342.5</v>
      </c>
      <c r="L22" s="27">
        <f t="shared" si="2"/>
        <v>57</v>
      </c>
      <c r="M22" s="62">
        <f t="shared" si="0"/>
        <v>949</v>
      </c>
      <c r="N22" s="63" t="s">
        <v>16</v>
      </c>
      <c r="O22" s="26" t="s">
        <v>42</v>
      </c>
    </row>
    <row r="23" spans="1:15" ht="16.5" customHeight="1">
      <c r="A23" s="56" t="s">
        <v>2261</v>
      </c>
      <c r="B23" s="57" t="s">
        <v>92</v>
      </c>
      <c r="C23" s="56" t="s">
        <v>1176</v>
      </c>
      <c r="D23" s="57" t="s">
        <v>1177</v>
      </c>
      <c r="E23" s="56">
        <v>102</v>
      </c>
      <c r="F23" s="56">
        <v>91</v>
      </c>
      <c r="G23" s="56">
        <v>124</v>
      </c>
      <c r="H23" s="56">
        <v>65</v>
      </c>
      <c r="I23" s="56">
        <v>78</v>
      </c>
      <c r="J23" s="56">
        <v>55</v>
      </c>
      <c r="K23" s="52">
        <f t="shared" si="1"/>
        <v>515</v>
      </c>
      <c r="L23" s="27">
        <f t="shared" si="2"/>
        <v>32</v>
      </c>
      <c r="M23" s="62">
        <f t="shared" si="0"/>
        <v>542</v>
      </c>
      <c r="N23" s="63" t="s">
        <v>16</v>
      </c>
      <c r="O23" s="26" t="s">
        <v>42</v>
      </c>
    </row>
    <row r="24" spans="1:15" ht="16.5" customHeight="1">
      <c r="A24" s="56" t="s">
        <v>2262</v>
      </c>
      <c r="B24" s="57" t="s">
        <v>92</v>
      </c>
      <c r="C24" s="56" t="s">
        <v>1178</v>
      </c>
      <c r="D24" s="57" t="s">
        <v>1179</v>
      </c>
      <c r="E24" s="56">
        <v>101</v>
      </c>
      <c r="F24" s="56">
        <v>99</v>
      </c>
      <c r="G24" s="56">
        <v>97</v>
      </c>
      <c r="H24" s="56">
        <v>66</v>
      </c>
      <c r="I24" s="56">
        <v>76</v>
      </c>
      <c r="J24" s="56">
        <v>76</v>
      </c>
      <c r="K24" s="52">
        <f t="shared" si="1"/>
        <v>515</v>
      </c>
      <c r="L24" s="27">
        <f t="shared" si="2"/>
        <v>32</v>
      </c>
      <c r="M24" s="62">
        <f t="shared" si="0"/>
        <v>542</v>
      </c>
      <c r="N24" s="63" t="s">
        <v>16</v>
      </c>
      <c r="O24" s="26" t="s">
        <v>2243</v>
      </c>
    </row>
    <row r="25" spans="1:15" ht="16.5" customHeight="1">
      <c r="A25" s="56" t="s">
        <v>2263</v>
      </c>
      <c r="B25" s="57" t="s">
        <v>92</v>
      </c>
      <c r="C25" s="56" t="s">
        <v>609</v>
      </c>
      <c r="D25" s="57" t="s">
        <v>610</v>
      </c>
      <c r="E25" s="56">
        <v>110</v>
      </c>
      <c r="F25" s="56">
        <v>101</v>
      </c>
      <c r="G25" s="56">
        <v>108</v>
      </c>
      <c r="H25" s="56">
        <v>75</v>
      </c>
      <c r="I25" s="56">
        <v>85</v>
      </c>
      <c r="J25" s="56">
        <v>86</v>
      </c>
      <c r="K25" s="52">
        <f t="shared" si="1"/>
        <v>565</v>
      </c>
      <c r="L25" s="27">
        <f t="shared" si="2"/>
        <v>11</v>
      </c>
      <c r="M25" s="62">
        <f t="shared" si="0"/>
        <v>256</v>
      </c>
      <c r="N25" s="63" t="s">
        <v>16</v>
      </c>
      <c r="O25" s="26" t="s">
        <v>44</v>
      </c>
    </row>
    <row r="26" spans="1:15" ht="16.5" customHeight="1">
      <c r="A26" s="56" t="s">
        <v>2264</v>
      </c>
      <c r="B26" s="57" t="s">
        <v>92</v>
      </c>
      <c r="C26" s="56" t="s">
        <v>1952</v>
      </c>
      <c r="D26" s="57" t="s">
        <v>1953</v>
      </c>
      <c r="E26" s="56">
        <v>74</v>
      </c>
      <c r="F26" s="56">
        <v>80</v>
      </c>
      <c r="G26" s="56">
        <v>58</v>
      </c>
      <c r="H26" s="56">
        <v>49</v>
      </c>
      <c r="I26" s="56">
        <v>76</v>
      </c>
      <c r="J26" s="56">
        <v>62</v>
      </c>
      <c r="K26" s="52">
        <f t="shared" si="1"/>
        <v>399</v>
      </c>
      <c r="L26" s="27">
        <f t="shared" si="2"/>
        <v>55</v>
      </c>
      <c r="M26" s="62">
        <f t="shared" si="0"/>
        <v>930</v>
      </c>
      <c r="N26" s="63" t="s">
        <v>17</v>
      </c>
      <c r="O26" s="26" t="s">
        <v>2243</v>
      </c>
    </row>
    <row r="27" spans="1:15" ht="14.25" customHeight="1">
      <c r="A27" s="56" t="s">
        <v>2265</v>
      </c>
      <c r="B27" s="57" t="s">
        <v>92</v>
      </c>
      <c r="C27" s="56" t="s">
        <v>868</v>
      </c>
      <c r="D27" s="57" t="s">
        <v>869</v>
      </c>
      <c r="E27" s="56">
        <v>95</v>
      </c>
      <c r="F27" s="56">
        <v>102</v>
      </c>
      <c r="G27" s="56">
        <v>105.5</v>
      </c>
      <c r="H27" s="56">
        <v>74</v>
      </c>
      <c r="I27" s="56">
        <v>86</v>
      </c>
      <c r="J27" s="56">
        <v>76</v>
      </c>
      <c r="K27" s="52">
        <f t="shared" si="1"/>
        <v>538.5</v>
      </c>
      <c r="L27" s="27">
        <f t="shared" si="2"/>
        <v>19</v>
      </c>
      <c r="M27" s="62">
        <f t="shared" si="0"/>
        <v>388</v>
      </c>
      <c r="N27" s="63" t="s">
        <v>16</v>
      </c>
      <c r="O27" s="26" t="s">
        <v>44</v>
      </c>
    </row>
    <row r="28" spans="1:15" ht="14.25" customHeight="1">
      <c r="A28" s="56" t="s">
        <v>2266</v>
      </c>
      <c r="B28" s="57" t="s">
        <v>92</v>
      </c>
      <c r="C28" s="56" t="s">
        <v>992</v>
      </c>
      <c r="D28" s="57" t="s">
        <v>993</v>
      </c>
      <c r="E28" s="56">
        <v>104</v>
      </c>
      <c r="F28" s="56">
        <v>100</v>
      </c>
      <c r="G28" s="56">
        <v>118</v>
      </c>
      <c r="H28" s="56">
        <v>50</v>
      </c>
      <c r="I28" s="56">
        <v>78</v>
      </c>
      <c r="J28" s="56">
        <v>78</v>
      </c>
      <c r="K28" s="52">
        <f t="shared" si="1"/>
        <v>528</v>
      </c>
      <c r="L28" s="27">
        <f t="shared" si="2"/>
        <v>24</v>
      </c>
      <c r="M28" s="62">
        <f t="shared" si="0"/>
        <v>449</v>
      </c>
      <c r="N28" s="63" t="s">
        <v>16</v>
      </c>
      <c r="O28" s="26" t="s">
        <v>44</v>
      </c>
    </row>
    <row r="29" spans="1:15" ht="14.25" customHeight="1">
      <c r="A29" s="56" t="s">
        <v>2267</v>
      </c>
      <c r="B29" s="57" t="s">
        <v>92</v>
      </c>
      <c r="C29" s="56" t="s">
        <v>1214</v>
      </c>
      <c r="D29" s="57" t="s">
        <v>1215</v>
      </c>
      <c r="E29" s="56">
        <v>109</v>
      </c>
      <c r="F29" s="56">
        <v>98</v>
      </c>
      <c r="G29" s="56">
        <v>84.5</v>
      </c>
      <c r="H29" s="56">
        <v>65</v>
      </c>
      <c r="I29" s="56">
        <v>85</v>
      </c>
      <c r="J29" s="56">
        <v>71</v>
      </c>
      <c r="K29" s="52">
        <f t="shared" si="1"/>
        <v>512.5</v>
      </c>
      <c r="L29" s="27">
        <f t="shared" si="2"/>
        <v>34</v>
      </c>
      <c r="M29" s="62">
        <f t="shared" si="0"/>
        <v>555</v>
      </c>
      <c r="N29" s="63" t="s">
        <v>16</v>
      </c>
      <c r="O29" s="26" t="s">
        <v>42</v>
      </c>
    </row>
    <row r="30" spans="1:15" ht="14.25" customHeight="1">
      <c r="A30" s="56" t="s">
        <v>2268</v>
      </c>
      <c r="B30" s="57" t="s">
        <v>92</v>
      </c>
      <c r="C30" s="56" t="s">
        <v>1464</v>
      </c>
      <c r="D30" s="57" t="s">
        <v>1465</v>
      </c>
      <c r="E30" s="56">
        <v>90</v>
      </c>
      <c r="F30" s="56">
        <v>91</v>
      </c>
      <c r="G30" s="56">
        <v>119</v>
      </c>
      <c r="H30" s="56">
        <v>61</v>
      </c>
      <c r="I30" s="56">
        <v>76</v>
      </c>
      <c r="J30" s="56">
        <v>55</v>
      </c>
      <c r="K30" s="52">
        <f t="shared" si="1"/>
        <v>492</v>
      </c>
      <c r="L30" s="27">
        <f t="shared" si="2"/>
        <v>39</v>
      </c>
      <c r="M30" s="62">
        <f t="shared" si="0"/>
        <v>684</v>
      </c>
      <c r="N30" s="63" t="s">
        <v>17</v>
      </c>
      <c r="O30" s="26" t="s">
        <v>2243</v>
      </c>
    </row>
    <row r="31" spans="1:15" ht="14.25" customHeight="1">
      <c r="A31" s="56" t="s">
        <v>2269</v>
      </c>
      <c r="B31" s="57" t="s">
        <v>92</v>
      </c>
      <c r="C31" s="56" t="s">
        <v>90</v>
      </c>
      <c r="D31" s="57" t="s">
        <v>91</v>
      </c>
      <c r="E31" s="56">
        <v>110</v>
      </c>
      <c r="F31" s="56">
        <v>140</v>
      </c>
      <c r="G31" s="56">
        <v>137.5</v>
      </c>
      <c r="H31" s="56">
        <v>98</v>
      </c>
      <c r="I31" s="56">
        <v>100</v>
      </c>
      <c r="J31" s="56">
        <v>82</v>
      </c>
      <c r="K31" s="52">
        <f t="shared" si="1"/>
        <v>667.5</v>
      </c>
      <c r="L31" s="27">
        <f t="shared" si="2"/>
        <v>1</v>
      </c>
      <c r="M31" s="62">
        <f t="shared" si="0"/>
        <v>4</v>
      </c>
      <c r="N31" s="63" t="s">
        <v>16</v>
      </c>
      <c r="O31" s="26" t="s">
        <v>42</v>
      </c>
    </row>
    <row r="32" spans="1:15" ht="16.5" customHeight="1">
      <c r="A32" s="56" t="s">
        <v>2270</v>
      </c>
      <c r="B32" s="57" t="s">
        <v>92</v>
      </c>
      <c r="C32" s="56" t="s">
        <v>1530</v>
      </c>
      <c r="D32" s="57" t="s">
        <v>1531</v>
      </c>
      <c r="E32" s="56">
        <v>85</v>
      </c>
      <c r="F32" s="56">
        <v>103</v>
      </c>
      <c r="G32" s="56">
        <v>81</v>
      </c>
      <c r="H32" s="56">
        <v>66</v>
      </c>
      <c r="I32" s="56">
        <v>79</v>
      </c>
      <c r="J32" s="56">
        <v>70</v>
      </c>
      <c r="K32" s="52">
        <f t="shared" si="1"/>
        <v>484</v>
      </c>
      <c r="L32" s="27">
        <f t="shared" si="2"/>
        <v>41</v>
      </c>
      <c r="M32" s="62">
        <f t="shared" si="0"/>
        <v>718</v>
      </c>
      <c r="N32" s="63" t="s">
        <v>16</v>
      </c>
      <c r="O32" s="26" t="s">
        <v>44</v>
      </c>
    </row>
    <row r="33" spans="1:15" ht="16.5" customHeight="1">
      <c r="A33" s="56" t="s">
        <v>2271</v>
      </c>
      <c r="B33" s="57" t="s">
        <v>92</v>
      </c>
      <c r="C33" s="56" t="s">
        <v>1568</v>
      </c>
      <c r="D33" s="57" t="s">
        <v>1569</v>
      </c>
      <c r="E33" s="56">
        <v>100</v>
      </c>
      <c r="F33" s="56">
        <v>74</v>
      </c>
      <c r="G33" s="56">
        <v>102.5</v>
      </c>
      <c r="H33" s="56">
        <v>59</v>
      </c>
      <c r="I33" s="56">
        <v>85</v>
      </c>
      <c r="J33" s="56">
        <v>60</v>
      </c>
      <c r="K33" s="52">
        <f t="shared" si="1"/>
        <v>480.5</v>
      </c>
      <c r="L33" s="27">
        <f t="shared" si="2"/>
        <v>43</v>
      </c>
      <c r="M33" s="62">
        <f t="shared" si="0"/>
        <v>738</v>
      </c>
      <c r="N33" s="63" t="s">
        <v>16</v>
      </c>
      <c r="O33" s="26" t="s">
        <v>2243</v>
      </c>
    </row>
    <row r="34" spans="1:15" ht="16.5" customHeight="1">
      <c r="A34" s="56" t="s">
        <v>2272</v>
      </c>
      <c r="B34" s="57" t="s">
        <v>92</v>
      </c>
      <c r="C34" s="56" t="s">
        <v>844</v>
      </c>
      <c r="D34" s="57" t="s">
        <v>845</v>
      </c>
      <c r="E34" s="56">
        <v>118</v>
      </c>
      <c r="F34" s="56">
        <v>93</v>
      </c>
      <c r="G34" s="56">
        <v>114</v>
      </c>
      <c r="H34" s="56">
        <v>80</v>
      </c>
      <c r="I34" s="56">
        <v>80</v>
      </c>
      <c r="J34" s="56">
        <v>56</v>
      </c>
      <c r="K34" s="52">
        <f t="shared" si="1"/>
        <v>541</v>
      </c>
      <c r="L34" s="27">
        <f t="shared" si="2"/>
        <v>18</v>
      </c>
      <c r="M34" s="62">
        <f t="shared" si="0"/>
        <v>376</v>
      </c>
      <c r="N34" s="63" t="s">
        <v>16</v>
      </c>
      <c r="O34" s="26" t="s">
        <v>2243</v>
      </c>
    </row>
    <row r="35" spans="1:15" ht="16.5" customHeight="1">
      <c r="A35" s="56" t="s">
        <v>2273</v>
      </c>
      <c r="B35" s="57" t="s">
        <v>92</v>
      </c>
      <c r="C35" s="56" t="s">
        <v>1728</v>
      </c>
      <c r="D35" s="57" t="s">
        <v>1729</v>
      </c>
      <c r="E35" s="56">
        <v>59</v>
      </c>
      <c r="F35" s="56">
        <v>82</v>
      </c>
      <c r="G35" s="56">
        <v>99</v>
      </c>
      <c r="H35" s="56">
        <v>73</v>
      </c>
      <c r="I35" s="56">
        <v>69</v>
      </c>
      <c r="J35" s="56">
        <v>78</v>
      </c>
      <c r="K35" s="52">
        <f t="shared" si="1"/>
        <v>460</v>
      </c>
      <c r="L35" s="27">
        <f t="shared" si="2"/>
        <v>46</v>
      </c>
      <c r="M35" s="62">
        <f t="shared" si="0"/>
        <v>818</v>
      </c>
      <c r="N35" s="63" t="s">
        <v>17</v>
      </c>
      <c r="O35" s="26" t="s">
        <v>2243</v>
      </c>
    </row>
    <row r="36" spans="1:15" ht="16.5" customHeight="1">
      <c r="A36" s="56" t="s">
        <v>2274</v>
      </c>
      <c r="B36" s="57" t="s">
        <v>92</v>
      </c>
      <c r="C36" s="56" t="s">
        <v>669</v>
      </c>
      <c r="D36" s="57" t="s">
        <v>670</v>
      </c>
      <c r="E36" s="56">
        <v>101</v>
      </c>
      <c r="F36" s="56">
        <v>118</v>
      </c>
      <c r="G36" s="56">
        <v>108</v>
      </c>
      <c r="H36" s="56">
        <v>80</v>
      </c>
      <c r="I36" s="56">
        <v>79</v>
      </c>
      <c r="J36" s="56">
        <v>72</v>
      </c>
      <c r="K36" s="52">
        <f t="shared" si="1"/>
        <v>558</v>
      </c>
      <c r="L36" s="27">
        <f t="shared" si="2"/>
        <v>14</v>
      </c>
      <c r="M36" s="62">
        <f t="shared" si="0"/>
        <v>287</v>
      </c>
      <c r="N36" s="63" t="s">
        <v>16</v>
      </c>
      <c r="O36" s="26" t="s">
        <v>42</v>
      </c>
    </row>
    <row r="37" spans="1:15" ht="16.5" customHeight="1">
      <c r="A37" s="56" t="s">
        <v>2275</v>
      </c>
      <c r="B37" s="57" t="s">
        <v>92</v>
      </c>
      <c r="C37" s="56" t="s">
        <v>1870</v>
      </c>
      <c r="D37" s="57" t="s">
        <v>1871</v>
      </c>
      <c r="E37" s="56">
        <v>98</v>
      </c>
      <c r="F37" s="56">
        <v>59</v>
      </c>
      <c r="G37" s="56">
        <v>90</v>
      </c>
      <c r="H37" s="56">
        <v>43</v>
      </c>
      <c r="I37" s="56">
        <v>73</v>
      </c>
      <c r="J37" s="56">
        <v>67</v>
      </c>
      <c r="K37" s="52">
        <f t="shared" si="1"/>
        <v>430</v>
      </c>
      <c r="L37" s="27">
        <f t="shared" si="2"/>
        <v>53</v>
      </c>
      <c r="M37" s="62">
        <f t="shared" si="0"/>
        <v>886</v>
      </c>
      <c r="N37" s="63" t="s">
        <v>17</v>
      </c>
      <c r="O37" s="26" t="s">
        <v>2243</v>
      </c>
    </row>
    <row r="38" spans="1:15" ht="16.5" customHeight="1">
      <c r="A38" s="56" t="s">
        <v>2276</v>
      </c>
      <c r="B38" s="57" t="s">
        <v>92</v>
      </c>
      <c r="C38" s="56" t="s">
        <v>1076</v>
      </c>
      <c r="D38" s="57" t="s">
        <v>1077</v>
      </c>
      <c r="E38" s="56">
        <v>109</v>
      </c>
      <c r="F38" s="56">
        <v>79</v>
      </c>
      <c r="G38" s="56">
        <v>119</v>
      </c>
      <c r="H38" s="56">
        <v>56</v>
      </c>
      <c r="I38" s="56">
        <v>90</v>
      </c>
      <c r="J38" s="56">
        <v>69</v>
      </c>
      <c r="K38" s="52">
        <f t="shared" si="1"/>
        <v>522</v>
      </c>
      <c r="L38" s="27">
        <f t="shared" si="2"/>
        <v>27</v>
      </c>
      <c r="M38" s="62">
        <f t="shared" si="0"/>
        <v>491</v>
      </c>
      <c r="N38" s="63" t="s">
        <v>16</v>
      </c>
      <c r="O38" s="26" t="s">
        <v>44</v>
      </c>
    </row>
    <row r="39" spans="1:15" ht="16.5" customHeight="1">
      <c r="A39" s="56" t="s">
        <v>2277</v>
      </c>
      <c r="B39" s="57" t="s">
        <v>92</v>
      </c>
      <c r="C39" s="56" t="s">
        <v>525</v>
      </c>
      <c r="D39" s="57" t="s">
        <v>526</v>
      </c>
      <c r="E39" s="56">
        <v>103</v>
      </c>
      <c r="F39" s="56">
        <v>119</v>
      </c>
      <c r="G39" s="56">
        <v>104</v>
      </c>
      <c r="H39" s="56">
        <v>85</v>
      </c>
      <c r="I39" s="56">
        <v>89</v>
      </c>
      <c r="J39" s="56">
        <v>74</v>
      </c>
      <c r="K39" s="52">
        <f t="shared" si="1"/>
        <v>574</v>
      </c>
      <c r="L39" s="27">
        <f t="shared" si="2"/>
        <v>7</v>
      </c>
      <c r="M39" s="62">
        <f t="shared" si="0"/>
        <v>215</v>
      </c>
      <c r="N39" s="63" t="s">
        <v>16</v>
      </c>
      <c r="O39" s="26" t="s">
        <v>2243</v>
      </c>
    </row>
    <row r="40" spans="1:15" ht="16.5" customHeight="1">
      <c r="A40" s="56" t="s">
        <v>2278</v>
      </c>
      <c r="B40" s="57" t="s">
        <v>92</v>
      </c>
      <c r="C40" s="56" t="s">
        <v>912</v>
      </c>
      <c r="D40" s="57" t="s">
        <v>913</v>
      </c>
      <c r="E40" s="56">
        <v>95</v>
      </c>
      <c r="F40" s="56">
        <v>103</v>
      </c>
      <c r="G40" s="56">
        <v>100</v>
      </c>
      <c r="H40" s="56">
        <v>83</v>
      </c>
      <c r="I40" s="56">
        <v>93</v>
      </c>
      <c r="J40" s="56">
        <v>61</v>
      </c>
      <c r="K40" s="52">
        <f t="shared" si="1"/>
        <v>535</v>
      </c>
      <c r="L40" s="27">
        <f t="shared" si="2"/>
        <v>21</v>
      </c>
      <c r="M40" s="62">
        <f t="shared" si="0"/>
        <v>410</v>
      </c>
      <c r="N40" s="63" t="s">
        <v>17</v>
      </c>
      <c r="O40" s="26" t="s">
        <v>2243</v>
      </c>
    </row>
    <row r="41" spans="1:15" ht="16.5" customHeight="1">
      <c r="A41" s="56" t="s">
        <v>2279</v>
      </c>
      <c r="B41" s="57" t="s">
        <v>92</v>
      </c>
      <c r="C41" s="56" t="s">
        <v>567</v>
      </c>
      <c r="D41" s="57" t="s">
        <v>568</v>
      </c>
      <c r="E41" s="56">
        <v>115</v>
      </c>
      <c r="F41" s="56">
        <v>82</v>
      </c>
      <c r="G41" s="56">
        <v>125</v>
      </c>
      <c r="H41" s="56">
        <v>85</v>
      </c>
      <c r="I41" s="56">
        <v>84</v>
      </c>
      <c r="J41" s="56">
        <v>79</v>
      </c>
      <c r="K41" s="52">
        <f t="shared" si="1"/>
        <v>570</v>
      </c>
      <c r="L41" s="27">
        <f t="shared" si="2"/>
        <v>9</v>
      </c>
      <c r="M41" s="62">
        <f t="shared" si="0"/>
        <v>236</v>
      </c>
      <c r="N41" s="63" t="s">
        <v>16</v>
      </c>
      <c r="O41" s="26" t="s">
        <v>2243</v>
      </c>
    </row>
    <row r="42" spans="1:15" ht="16.5" customHeight="1">
      <c r="A42" s="56" t="s">
        <v>2280</v>
      </c>
      <c r="B42" s="57" t="s">
        <v>92</v>
      </c>
      <c r="C42" s="56" t="s">
        <v>159</v>
      </c>
      <c r="D42" s="57" t="s">
        <v>160</v>
      </c>
      <c r="E42" s="56">
        <v>105</v>
      </c>
      <c r="F42" s="56">
        <v>147</v>
      </c>
      <c r="G42" s="56">
        <v>124.5</v>
      </c>
      <c r="H42" s="56">
        <v>93</v>
      </c>
      <c r="I42" s="56">
        <v>84</v>
      </c>
      <c r="J42" s="56">
        <v>75</v>
      </c>
      <c r="K42" s="52">
        <f t="shared" si="1"/>
        <v>628.5</v>
      </c>
      <c r="L42" s="27">
        <f t="shared" si="2"/>
        <v>2</v>
      </c>
      <c r="M42" s="62">
        <f t="shared" si="0"/>
        <v>34</v>
      </c>
      <c r="N42" s="63" t="s">
        <v>16</v>
      </c>
      <c r="O42" s="26" t="s">
        <v>2243</v>
      </c>
    </row>
    <row r="43" spans="1:15" ht="16.5" customHeight="1">
      <c r="A43" s="56" t="s">
        <v>2281</v>
      </c>
      <c r="B43" s="57" t="s">
        <v>92</v>
      </c>
      <c r="C43" s="56" t="s">
        <v>1744</v>
      </c>
      <c r="D43" s="57" t="s">
        <v>1745</v>
      </c>
      <c r="E43" s="56">
        <v>102</v>
      </c>
      <c r="F43" s="56">
        <v>72</v>
      </c>
      <c r="G43" s="56">
        <v>88</v>
      </c>
      <c r="H43" s="56">
        <v>55</v>
      </c>
      <c r="I43" s="56">
        <v>74</v>
      </c>
      <c r="J43" s="56">
        <v>66</v>
      </c>
      <c r="K43" s="52">
        <f t="shared" si="1"/>
        <v>457</v>
      </c>
      <c r="L43" s="27">
        <f t="shared" si="2"/>
        <v>48</v>
      </c>
      <c r="M43" s="62">
        <f t="shared" si="0"/>
        <v>826</v>
      </c>
      <c r="N43" s="63" t="s">
        <v>17</v>
      </c>
      <c r="O43" s="26" t="s">
        <v>42</v>
      </c>
    </row>
    <row r="44" spans="1:15" ht="16.5" customHeight="1">
      <c r="A44" s="56" t="s">
        <v>2282</v>
      </c>
      <c r="B44" s="57" t="s">
        <v>92</v>
      </c>
      <c r="C44" s="56" t="s">
        <v>1827</v>
      </c>
      <c r="D44" s="57" t="s">
        <v>1828</v>
      </c>
      <c r="E44" s="56">
        <v>93</v>
      </c>
      <c r="F44" s="56">
        <v>61</v>
      </c>
      <c r="G44" s="56">
        <v>79.5</v>
      </c>
      <c r="H44" s="56">
        <v>64</v>
      </c>
      <c r="I44" s="56">
        <v>79</v>
      </c>
      <c r="J44" s="56">
        <v>63</v>
      </c>
      <c r="K44" s="52">
        <f t="shared" si="1"/>
        <v>439.5</v>
      </c>
      <c r="L44" s="27">
        <f t="shared" si="2"/>
        <v>51</v>
      </c>
      <c r="M44" s="62">
        <f t="shared" si="0"/>
        <v>866</v>
      </c>
      <c r="N44" s="63" t="s">
        <v>17</v>
      </c>
      <c r="O44" s="26" t="s">
        <v>42</v>
      </c>
    </row>
    <row r="45" spans="1:15" ht="16.5" customHeight="1">
      <c r="A45" s="56" t="s">
        <v>2283</v>
      </c>
      <c r="B45" s="57" t="s">
        <v>92</v>
      </c>
      <c r="C45" s="56" t="s">
        <v>1724</v>
      </c>
      <c r="D45" s="57" t="s">
        <v>1725</v>
      </c>
      <c r="E45" s="56">
        <v>115</v>
      </c>
      <c r="F45" s="56">
        <v>72</v>
      </c>
      <c r="G45" s="56">
        <v>98</v>
      </c>
      <c r="H45" s="56">
        <v>44</v>
      </c>
      <c r="I45" s="56">
        <v>66</v>
      </c>
      <c r="J45" s="56">
        <v>66</v>
      </c>
      <c r="K45" s="52">
        <f t="shared" si="1"/>
        <v>461</v>
      </c>
      <c r="L45" s="27">
        <f t="shared" si="2"/>
        <v>45</v>
      </c>
      <c r="M45" s="62">
        <f t="shared" si="0"/>
        <v>816</v>
      </c>
      <c r="N45" s="63" t="s">
        <v>17</v>
      </c>
      <c r="O45" s="26" t="s">
        <v>2243</v>
      </c>
    </row>
    <row r="46" spans="1:15" ht="16.5" customHeight="1">
      <c r="A46" s="56" t="s">
        <v>2284</v>
      </c>
      <c r="B46" s="57" t="s">
        <v>92</v>
      </c>
      <c r="C46" s="56" t="s">
        <v>1346</v>
      </c>
      <c r="D46" s="57" t="s">
        <v>1347</v>
      </c>
      <c r="E46" s="56">
        <v>107</v>
      </c>
      <c r="F46" s="56">
        <v>90</v>
      </c>
      <c r="G46" s="56">
        <v>105</v>
      </c>
      <c r="H46" s="56">
        <v>54</v>
      </c>
      <c r="I46" s="56">
        <v>85</v>
      </c>
      <c r="J46" s="56">
        <v>61</v>
      </c>
      <c r="K46" s="52">
        <f t="shared" si="1"/>
        <v>502</v>
      </c>
      <c r="L46" s="27">
        <f t="shared" si="2"/>
        <v>37</v>
      </c>
      <c r="M46" s="62">
        <f t="shared" si="0"/>
        <v>624</v>
      </c>
      <c r="N46" s="63" t="s">
        <v>16</v>
      </c>
      <c r="O46" s="26" t="s">
        <v>44</v>
      </c>
    </row>
    <row r="47" spans="1:15" ht="16.5" customHeight="1">
      <c r="A47" s="56" t="s">
        <v>2285</v>
      </c>
      <c r="B47" s="57" t="s">
        <v>92</v>
      </c>
      <c r="C47" s="56" t="s">
        <v>1808</v>
      </c>
      <c r="D47" s="57" t="s">
        <v>1809</v>
      </c>
      <c r="E47" s="56">
        <v>63</v>
      </c>
      <c r="F47" s="56">
        <v>83</v>
      </c>
      <c r="G47" s="56">
        <v>107.5</v>
      </c>
      <c r="H47" s="56">
        <v>51</v>
      </c>
      <c r="I47" s="56">
        <v>79</v>
      </c>
      <c r="J47" s="56">
        <v>60</v>
      </c>
      <c r="K47" s="52">
        <f t="shared" si="1"/>
        <v>443.5</v>
      </c>
      <c r="L47" s="27">
        <f t="shared" si="2"/>
        <v>50</v>
      </c>
      <c r="M47" s="62">
        <f t="shared" si="0"/>
        <v>854</v>
      </c>
      <c r="N47" s="63" t="s">
        <v>17</v>
      </c>
      <c r="O47" s="26" t="s">
        <v>2243</v>
      </c>
    </row>
    <row r="48" spans="1:15" ht="16.5" customHeight="1">
      <c r="A48" s="56" t="s">
        <v>2286</v>
      </c>
      <c r="B48" s="57" t="s">
        <v>92</v>
      </c>
      <c r="C48" s="56" t="s">
        <v>1730</v>
      </c>
      <c r="D48" s="57" t="s">
        <v>1731</v>
      </c>
      <c r="E48" s="56">
        <v>95</v>
      </c>
      <c r="F48" s="56">
        <v>96</v>
      </c>
      <c r="G48" s="56">
        <v>87.5</v>
      </c>
      <c r="H48" s="56">
        <v>52</v>
      </c>
      <c r="I48" s="56">
        <v>71</v>
      </c>
      <c r="J48" s="56">
        <v>58</v>
      </c>
      <c r="K48" s="52">
        <f t="shared" si="1"/>
        <v>459.5</v>
      </c>
      <c r="L48" s="27">
        <f t="shared" si="2"/>
        <v>47</v>
      </c>
      <c r="M48" s="62">
        <f t="shared" si="0"/>
        <v>819</v>
      </c>
      <c r="N48" s="63" t="s">
        <v>17</v>
      </c>
      <c r="O48" s="26" t="s">
        <v>42</v>
      </c>
    </row>
    <row r="49" spans="1:15" ht="16.5" customHeight="1">
      <c r="A49" s="56" t="s">
        <v>2287</v>
      </c>
      <c r="B49" s="57" t="s">
        <v>92</v>
      </c>
      <c r="C49" s="56" t="s">
        <v>752</v>
      </c>
      <c r="D49" s="57" t="s">
        <v>753</v>
      </c>
      <c r="E49" s="56">
        <v>94</v>
      </c>
      <c r="F49" s="56">
        <v>123</v>
      </c>
      <c r="G49" s="56">
        <v>96.5</v>
      </c>
      <c r="H49" s="56">
        <v>82</v>
      </c>
      <c r="I49" s="56">
        <v>84</v>
      </c>
      <c r="J49" s="56">
        <v>71</v>
      </c>
      <c r="K49" s="52">
        <f t="shared" si="1"/>
        <v>550.5</v>
      </c>
      <c r="L49" s="27">
        <f t="shared" si="2"/>
        <v>16</v>
      </c>
      <c r="M49" s="62">
        <f t="shared" si="0"/>
        <v>327</v>
      </c>
      <c r="N49" s="63" t="s">
        <v>17</v>
      </c>
      <c r="O49" s="26" t="s">
        <v>2243</v>
      </c>
    </row>
    <row r="50" spans="1:15" ht="16.5" customHeight="1">
      <c r="A50" s="56" t="s">
        <v>2288</v>
      </c>
      <c r="B50" s="57" t="s">
        <v>92</v>
      </c>
      <c r="C50" s="56" t="s">
        <v>1278</v>
      </c>
      <c r="D50" s="57" t="s">
        <v>1279</v>
      </c>
      <c r="E50" s="56">
        <v>101</v>
      </c>
      <c r="F50" s="56">
        <v>102</v>
      </c>
      <c r="G50" s="56">
        <v>79.5</v>
      </c>
      <c r="H50" s="56">
        <v>76</v>
      </c>
      <c r="I50" s="56">
        <v>81</v>
      </c>
      <c r="J50" s="56">
        <v>68</v>
      </c>
      <c r="K50" s="52">
        <f t="shared" si="1"/>
        <v>507.5</v>
      </c>
      <c r="L50" s="27">
        <f t="shared" si="2"/>
        <v>35</v>
      </c>
      <c r="M50" s="62">
        <f t="shared" si="0"/>
        <v>592</v>
      </c>
      <c r="N50" s="63" t="s">
        <v>16</v>
      </c>
      <c r="O50" s="26" t="s">
        <v>44</v>
      </c>
    </row>
    <row r="51" spans="1:15" ht="16.5" customHeight="1">
      <c r="A51" s="56" t="s">
        <v>2289</v>
      </c>
      <c r="B51" s="57" t="s">
        <v>92</v>
      </c>
      <c r="C51" s="56" t="s">
        <v>1478</v>
      </c>
      <c r="D51" s="57" t="s">
        <v>1479</v>
      </c>
      <c r="E51" s="56">
        <v>103</v>
      </c>
      <c r="F51" s="56">
        <v>89</v>
      </c>
      <c r="G51" s="56">
        <v>111.5</v>
      </c>
      <c r="H51" s="56">
        <v>45</v>
      </c>
      <c r="I51" s="56">
        <v>73</v>
      </c>
      <c r="J51" s="56">
        <v>68</v>
      </c>
      <c r="K51" s="52">
        <f t="shared" si="1"/>
        <v>489.5</v>
      </c>
      <c r="L51" s="27">
        <f t="shared" si="2"/>
        <v>40</v>
      </c>
      <c r="M51" s="62">
        <f t="shared" si="0"/>
        <v>693</v>
      </c>
      <c r="N51" s="63" t="s">
        <v>17</v>
      </c>
      <c r="O51" s="26" t="s">
        <v>2243</v>
      </c>
    </row>
    <row r="52" spans="1:15" ht="16.5" customHeight="1">
      <c r="A52" s="56" t="s">
        <v>2290</v>
      </c>
      <c r="B52" s="57" t="s">
        <v>92</v>
      </c>
      <c r="C52" s="56" t="s">
        <v>904</v>
      </c>
      <c r="D52" s="57" t="s">
        <v>905</v>
      </c>
      <c r="E52" s="56">
        <v>102</v>
      </c>
      <c r="F52" s="56">
        <v>99</v>
      </c>
      <c r="G52" s="56">
        <v>121</v>
      </c>
      <c r="H52" s="56">
        <v>67</v>
      </c>
      <c r="I52" s="56">
        <v>81</v>
      </c>
      <c r="J52" s="56">
        <v>66</v>
      </c>
      <c r="K52" s="52">
        <f t="shared" si="1"/>
        <v>536</v>
      </c>
      <c r="L52" s="27">
        <f t="shared" si="2"/>
        <v>20</v>
      </c>
      <c r="M52" s="62">
        <f t="shared" si="0"/>
        <v>406</v>
      </c>
      <c r="N52" s="63" t="s">
        <v>16</v>
      </c>
      <c r="O52" s="26" t="s">
        <v>44</v>
      </c>
    </row>
    <row r="53" spans="1:15" ht="16.5" customHeight="1">
      <c r="A53" s="56" t="s">
        <v>2291</v>
      </c>
      <c r="B53" s="57" t="s">
        <v>92</v>
      </c>
      <c r="C53" s="56" t="s">
        <v>595</v>
      </c>
      <c r="D53" s="57" t="s">
        <v>596</v>
      </c>
      <c r="E53" s="56">
        <v>105</v>
      </c>
      <c r="F53" s="56">
        <v>119</v>
      </c>
      <c r="G53" s="56">
        <v>101</v>
      </c>
      <c r="H53" s="56">
        <v>83</v>
      </c>
      <c r="I53" s="56">
        <v>78</v>
      </c>
      <c r="J53" s="56">
        <v>80</v>
      </c>
      <c r="K53" s="52">
        <f t="shared" si="1"/>
        <v>566</v>
      </c>
      <c r="L53" s="27">
        <f t="shared" si="2"/>
        <v>10</v>
      </c>
      <c r="M53" s="62">
        <f t="shared" si="0"/>
        <v>249</v>
      </c>
      <c r="N53" s="63" t="s">
        <v>16</v>
      </c>
      <c r="O53" s="26" t="s">
        <v>42</v>
      </c>
    </row>
    <row r="54" spans="1:15" ht="16.5" customHeight="1">
      <c r="A54" s="56" t="s">
        <v>2292</v>
      </c>
      <c r="B54" s="57" t="s">
        <v>92</v>
      </c>
      <c r="C54" s="56" t="s">
        <v>659</v>
      </c>
      <c r="D54" s="57" t="s">
        <v>660</v>
      </c>
      <c r="E54" s="56">
        <v>98</v>
      </c>
      <c r="F54" s="56">
        <v>103</v>
      </c>
      <c r="G54" s="56">
        <v>102</v>
      </c>
      <c r="H54" s="56">
        <v>81</v>
      </c>
      <c r="I54" s="56">
        <v>89</v>
      </c>
      <c r="J54" s="56">
        <v>86</v>
      </c>
      <c r="K54" s="52">
        <f t="shared" si="1"/>
        <v>559</v>
      </c>
      <c r="L54" s="27">
        <f t="shared" si="2"/>
        <v>13</v>
      </c>
      <c r="M54" s="62">
        <f t="shared" si="0"/>
        <v>280</v>
      </c>
      <c r="N54" s="63" t="s">
        <v>16</v>
      </c>
      <c r="O54" s="26" t="s">
        <v>42</v>
      </c>
    </row>
    <row r="55" spans="1:15" ht="16.5" customHeight="1">
      <c r="A55" s="56" t="s">
        <v>2293</v>
      </c>
      <c r="B55" s="57" t="s">
        <v>92</v>
      </c>
      <c r="C55" s="56" t="s">
        <v>1825</v>
      </c>
      <c r="D55" s="57" t="s">
        <v>1826</v>
      </c>
      <c r="E55" s="56">
        <v>109</v>
      </c>
      <c r="F55" s="56">
        <v>65</v>
      </c>
      <c r="G55" s="58">
        <v>112.5</v>
      </c>
      <c r="H55" s="56">
        <v>31</v>
      </c>
      <c r="I55" s="56">
        <v>62</v>
      </c>
      <c r="J55" s="56">
        <v>60</v>
      </c>
      <c r="K55" s="52">
        <f t="shared" si="1"/>
        <v>439.5</v>
      </c>
      <c r="L55" s="27">
        <f t="shared" si="2"/>
        <v>51</v>
      </c>
      <c r="M55" s="62">
        <f t="shared" si="0"/>
        <v>866</v>
      </c>
      <c r="N55" s="63" t="s">
        <v>16</v>
      </c>
      <c r="O55" s="26" t="s">
        <v>2243</v>
      </c>
    </row>
    <row r="56" spans="1:15" ht="16.5" customHeight="1">
      <c r="A56" s="56" t="s">
        <v>2294</v>
      </c>
      <c r="B56" s="57" t="s">
        <v>92</v>
      </c>
      <c r="C56" s="56" t="s">
        <v>1128</v>
      </c>
      <c r="D56" s="57" t="s">
        <v>1129</v>
      </c>
      <c r="E56" s="56">
        <v>103</v>
      </c>
      <c r="F56" s="56">
        <v>80</v>
      </c>
      <c r="G56" s="58">
        <v>98</v>
      </c>
      <c r="H56" s="56">
        <v>73</v>
      </c>
      <c r="I56" s="56">
        <v>89</v>
      </c>
      <c r="J56" s="56">
        <v>75</v>
      </c>
      <c r="K56" s="52">
        <f t="shared" si="1"/>
        <v>518</v>
      </c>
      <c r="L56" s="27">
        <f t="shared" si="2"/>
        <v>30</v>
      </c>
      <c r="M56" s="62">
        <f t="shared" si="0"/>
        <v>516</v>
      </c>
      <c r="N56" s="63" t="s">
        <v>16</v>
      </c>
      <c r="O56" s="26" t="s">
        <v>2243</v>
      </c>
    </row>
    <row r="57" spans="1:15" ht="16.5" customHeight="1">
      <c r="A57" s="56" t="s">
        <v>2295</v>
      </c>
      <c r="B57" s="57" t="s">
        <v>92</v>
      </c>
      <c r="C57" s="56" t="s">
        <v>1362</v>
      </c>
      <c r="D57" s="57" t="s">
        <v>1363</v>
      </c>
      <c r="E57" s="56">
        <v>105</v>
      </c>
      <c r="F57" s="56">
        <v>77</v>
      </c>
      <c r="G57" s="58">
        <v>120.5</v>
      </c>
      <c r="H57" s="56">
        <v>57</v>
      </c>
      <c r="I57" s="56">
        <v>71</v>
      </c>
      <c r="J57" s="56">
        <v>70</v>
      </c>
      <c r="K57" s="52">
        <f t="shared" si="1"/>
        <v>500.5</v>
      </c>
      <c r="L57" s="27">
        <f t="shared" si="2"/>
        <v>38</v>
      </c>
      <c r="M57" s="62">
        <f t="shared" si="0"/>
        <v>633</v>
      </c>
      <c r="N57" s="63" t="s">
        <v>16</v>
      </c>
      <c r="O57" s="26" t="s">
        <v>2243</v>
      </c>
    </row>
    <row r="58" spans="1:15" ht="16.5" customHeight="1">
      <c r="A58" s="56" t="s">
        <v>2296</v>
      </c>
      <c r="B58" s="57" t="s">
        <v>92</v>
      </c>
      <c r="C58" s="56" t="s">
        <v>703</v>
      </c>
      <c r="D58" s="57" t="s">
        <v>704</v>
      </c>
      <c r="E58" s="56">
        <v>100</v>
      </c>
      <c r="F58" s="56">
        <v>103</v>
      </c>
      <c r="G58" s="58">
        <v>111.5</v>
      </c>
      <c r="H58" s="56">
        <v>73</v>
      </c>
      <c r="I58" s="56">
        <v>87</v>
      </c>
      <c r="J58" s="56">
        <v>80</v>
      </c>
      <c r="K58" s="52">
        <f t="shared" si="1"/>
        <v>554.5</v>
      </c>
      <c r="L58" s="27">
        <f t="shared" si="2"/>
        <v>15</v>
      </c>
      <c r="M58" s="62">
        <f t="shared" si="0"/>
        <v>304</v>
      </c>
      <c r="N58" s="63" t="s">
        <v>17</v>
      </c>
      <c r="O58" s="26" t="s">
        <v>2243</v>
      </c>
    </row>
    <row r="59" spans="1:15" ht="16.5" customHeight="1">
      <c r="A59" s="56" t="s">
        <v>2297</v>
      </c>
      <c r="B59" s="57" t="s">
        <v>92</v>
      </c>
      <c r="C59" s="56" t="s">
        <v>559</v>
      </c>
      <c r="D59" s="57" t="s">
        <v>560</v>
      </c>
      <c r="E59" s="56">
        <v>106</v>
      </c>
      <c r="F59" s="56">
        <v>116</v>
      </c>
      <c r="G59" s="58">
        <v>104.5</v>
      </c>
      <c r="H59" s="56">
        <v>74</v>
      </c>
      <c r="I59" s="56">
        <v>92</v>
      </c>
      <c r="J59" s="56">
        <v>78</v>
      </c>
      <c r="K59" s="52">
        <f t="shared" si="1"/>
        <v>570.5</v>
      </c>
      <c r="L59" s="27">
        <f t="shared" si="2"/>
        <v>8</v>
      </c>
      <c r="M59" s="62">
        <f t="shared" si="0"/>
        <v>233</v>
      </c>
      <c r="N59" s="63" t="s">
        <v>16</v>
      </c>
      <c r="O59" s="26" t="s">
        <v>44</v>
      </c>
    </row>
    <row r="60" spans="1:15" ht="16.5" customHeight="1">
      <c r="A60" s="56" t="s">
        <v>2298</v>
      </c>
      <c r="B60" s="57" t="s">
        <v>97</v>
      </c>
      <c r="C60" s="56" t="s">
        <v>870</v>
      </c>
      <c r="D60" s="57" t="s">
        <v>871</v>
      </c>
      <c r="E60" s="56">
        <v>114</v>
      </c>
      <c r="F60" s="56">
        <v>103</v>
      </c>
      <c r="G60" s="58">
        <v>98.5</v>
      </c>
      <c r="H60" s="56">
        <v>69</v>
      </c>
      <c r="I60" s="56">
        <v>83</v>
      </c>
      <c r="J60" s="56">
        <v>71</v>
      </c>
      <c r="K60" s="52">
        <f t="shared" si="1"/>
        <v>538.5</v>
      </c>
      <c r="L60" s="27">
        <f>RANK(K60,$K$60:$K$116)</f>
        <v>19</v>
      </c>
      <c r="M60" s="62">
        <f t="shared" si="0"/>
        <v>388</v>
      </c>
      <c r="N60" s="63" t="s">
        <v>16</v>
      </c>
      <c r="O60" s="26" t="s">
        <v>42</v>
      </c>
    </row>
    <row r="61" spans="1:15" ht="16.5" customHeight="1">
      <c r="A61" s="56" t="s">
        <v>2299</v>
      </c>
      <c r="B61" s="57" t="s">
        <v>97</v>
      </c>
      <c r="C61" s="56" t="s">
        <v>994</v>
      </c>
      <c r="D61" s="57" t="s">
        <v>995</v>
      </c>
      <c r="E61" s="56">
        <v>106</v>
      </c>
      <c r="F61" s="56">
        <v>98</v>
      </c>
      <c r="G61" s="58">
        <v>112</v>
      </c>
      <c r="H61" s="56">
        <v>59</v>
      </c>
      <c r="I61" s="56">
        <v>87</v>
      </c>
      <c r="J61" s="56">
        <v>66</v>
      </c>
      <c r="K61" s="52">
        <f t="shared" si="1"/>
        <v>528</v>
      </c>
      <c r="L61" s="27">
        <f t="shared" ref="L61:L116" si="3">RANK(K61,$K$60:$K$116)</f>
        <v>24</v>
      </c>
      <c r="M61" s="62">
        <f t="shared" si="0"/>
        <v>449</v>
      </c>
      <c r="N61" s="63" t="s">
        <v>16</v>
      </c>
      <c r="O61" s="26" t="s">
        <v>2243</v>
      </c>
    </row>
    <row r="62" spans="1:15" ht="16.5" customHeight="1">
      <c r="A62" s="56" t="s">
        <v>2300</v>
      </c>
      <c r="B62" s="57" t="s">
        <v>97</v>
      </c>
      <c r="C62" s="56" t="s">
        <v>414</v>
      </c>
      <c r="D62" s="57" t="s">
        <v>415</v>
      </c>
      <c r="E62" s="56">
        <v>105</v>
      </c>
      <c r="F62" s="56">
        <v>116</v>
      </c>
      <c r="G62" s="58">
        <v>126</v>
      </c>
      <c r="H62" s="56">
        <v>67</v>
      </c>
      <c r="I62" s="56">
        <v>87</v>
      </c>
      <c r="J62" s="56">
        <v>85</v>
      </c>
      <c r="K62" s="52">
        <f t="shared" si="1"/>
        <v>586</v>
      </c>
      <c r="L62" s="27">
        <f t="shared" si="3"/>
        <v>9</v>
      </c>
      <c r="M62" s="62">
        <f t="shared" si="0"/>
        <v>158</v>
      </c>
      <c r="N62" s="63" t="s">
        <v>16</v>
      </c>
      <c r="O62" s="26" t="s">
        <v>42</v>
      </c>
    </row>
    <row r="63" spans="1:15" ht="16.5" customHeight="1">
      <c r="A63" s="56" t="s">
        <v>2301</v>
      </c>
      <c r="B63" s="57" t="s">
        <v>97</v>
      </c>
      <c r="C63" s="56" t="s">
        <v>1180</v>
      </c>
      <c r="D63" s="57" t="s">
        <v>1181</v>
      </c>
      <c r="E63" s="56">
        <v>103</v>
      </c>
      <c r="F63" s="56">
        <v>77</v>
      </c>
      <c r="G63" s="58">
        <v>88</v>
      </c>
      <c r="H63" s="56">
        <v>74</v>
      </c>
      <c r="I63" s="56">
        <v>86</v>
      </c>
      <c r="J63" s="56">
        <v>87</v>
      </c>
      <c r="K63" s="52">
        <f t="shared" si="1"/>
        <v>515</v>
      </c>
      <c r="L63" s="27">
        <f t="shared" si="3"/>
        <v>33</v>
      </c>
      <c r="M63" s="62">
        <f t="shared" si="0"/>
        <v>542</v>
      </c>
      <c r="N63" s="63" t="s">
        <v>17</v>
      </c>
      <c r="O63" s="26" t="s">
        <v>2243</v>
      </c>
    </row>
    <row r="64" spans="1:15" ht="16.5" customHeight="1">
      <c r="A64" s="56" t="s">
        <v>2302</v>
      </c>
      <c r="B64" s="57" t="s">
        <v>97</v>
      </c>
      <c r="C64" s="56" t="s">
        <v>1412</v>
      </c>
      <c r="D64" s="57" t="s">
        <v>1413</v>
      </c>
      <c r="E64" s="56">
        <v>96</v>
      </c>
      <c r="F64" s="56">
        <v>85</v>
      </c>
      <c r="G64" s="58">
        <v>107.5</v>
      </c>
      <c r="H64" s="56">
        <v>60</v>
      </c>
      <c r="I64" s="56">
        <v>66</v>
      </c>
      <c r="J64" s="56">
        <v>82</v>
      </c>
      <c r="K64" s="52">
        <f t="shared" si="1"/>
        <v>496.5</v>
      </c>
      <c r="L64" s="27">
        <f t="shared" si="3"/>
        <v>40</v>
      </c>
      <c r="M64" s="62">
        <f t="shared" si="0"/>
        <v>660</v>
      </c>
      <c r="N64" s="63"/>
      <c r="O64" s="26" t="s">
        <v>44</v>
      </c>
    </row>
    <row r="65" spans="1:15" ht="16.5" customHeight="1">
      <c r="A65" s="56" t="s">
        <v>2303</v>
      </c>
      <c r="B65" s="57" t="s">
        <v>97</v>
      </c>
      <c r="C65" s="56" t="s">
        <v>142</v>
      </c>
      <c r="D65" s="57" t="s">
        <v>143</v>
      </c>
      <c r="E65" s="56">
        <v>118</v>
      </c>
      <c r="F65" s="56">
        <v>138</v>
      </c>
      <c r="G65" s="58">
        <v>113.5</v>
      </c>
      <c r="H65" s="56">
        <v>89</v>
      </c>
      <c r="I65" s="56">
        <v>91</v>
      </c>
      <c r="J65" s="56">
        <v>87</v>
      </c>
      <c r="K65" s="52">
        <f t="shared" si="1"/>
        <v>636.5</v>
      </c>
      <c r="L65" s="27">
        <f t="shared" si="3"/>
        <v>3</v>
      </c>
      <c r="M65" s="62">
        <f t="shared" si="0"/>
        <v>27</v>
      </c>
      <c r="N65" s="63" t="s">
        <v>16</v>
      </c>
      <c r="O65" s="26" t="s">
        <v>2243</v>
      </c>
    </row>
    <row r="66" spans="1:15" ht="16.5" customHeight="1">
      <c r="A66" s="56" t="s">
        <v>2304</v>
      </c>
      <c r="B66" s="57" t="s">
        <v>97</v>
      </c>
      <c r="C66" s="56" t="s">
        <v>1708</v>
      </c>
      <c r="D66" s="57" t="s">
        <v>1709</v>
      </c>
      <c r="E66" s="56">
        <v>92</v>
      </c>
      <c r="F66" s="56">
        <v>83</v>
      </c>
      <c r="G66" s="58">
        <v>81</v>
      </c>
      <c r="H66" s="56">
        <v>58</v>
      </c>
      <c r="I66" s="56">
        <v>87</v>
      </c>
      <c r="J66" s="56">
        <v>62</v>
      </c>
      <c r="K66" s="52">
        <f t="shared" si="1"/>
        <v>463</v>
      </c>
      <c r="L66" s="27">
        <f t="shared" si="3"/>
        <v>46</v>
      </c>
      <c r="M66" s="62">
        <f t="shared" si="0"/>
        <v>808</v>
      </c>
      <c r="N66" s="63" t="s">
        <v>16</v>
      </c>
      <c r="O66" s="26" t="s">
        <v>44</v>
      </c>
    </row>
    <row r="67" spans="1:15" ht="16.5" customHeight="1">
      <c r="A67" s="56" t="s">
        <v>2305</v>
      </c>
      <c r="B67" s="57" t="s">
        <v>97</v>
      </c>
      <c r="C67" s="56" t="s">
        <v>1833</v>
      </c>
      <c r="D67" s="57" t="s">
        <v>1834</v>
      </c>
      <c r="E67" s="56">
        <v>98</v>
      </c>
      <c r="F67" s="56">
        <v>58</v>
      </c>
      <c r="G67" s="58">
        <v>91</v>
      </c>
      <c r="H67" s="56">
        <v>57</v>
      </c>
      <c r="I67" s="56">
        <v>78</v>
      </c>
      <c r="J67" s="56">
        <v>56</v>
      </c>
      <c r="K67" s="52">
        <f t="shared" si="1"/>
        <v>438</v>
      </c>
      <c r="L67" s="27">
        <f t="shared" si="3"/>
        <v>51</v>
      </c>
      <c r="M67" s="62">
        <f t="shared" ref="M67:M130" si="4">RANK(K67,$K$3:$K$953)</f>
        <v>870</v>
      </c>
      <c r="N67" s="63" t="s">
        <v>16</v>
      </c>
      <c r="O67" s="26" t="s">
        <v>44</v>
      </c>
    </row>
    <row r="68" spans="1:15" ht="16.5" customHeight="1">
      <c r="A68" s="56" t="s">
        <v>2306</v>
      </c>
      <c r="B68" s="57" t="s">
        <v>97</v>
      </c>
      <c r="C68" s="56" t="s">
        <v>1126</v>
      </c>
      <c r="D68" s="57" t="s">
        <v>1127</v>
      </c>
      <c r="E68" s="56">
        <v>103</v>
      </c>
      <c r="F68" s="56">
        <v>109</v>
      </c>
      <c r="G68" s="58">
        <v>108</v>
      </c>
      <c r="H68" s="56">
        <v>50</v>
      </c>
      <c r="I68" s="56">
        <v>77</v>
      </c>
      <c r="J68" s="56">
        <v>71</v>
      </c>
      <c r="K68" s="52">
        <f t="shared" ref="K68:K131" si="5">SUM(E68:J68)</f>
        <v>518</v>
      </c>
      <c r="L68" s="27">
        <f t="shared" si="3"/>
        <v>31</v>
      </c>
      <c r="M68" s="62">
        <f t="shared" si="4"/>
        <v>516</v>
      </c>
      <c r="N68" s="63" t="s">
        <v>16</v>
      </c>
      <c r="O68" s="26" t="s">
        <v>2243</v>
      </c>
    </row>
    <row r="69" spans="1:15" ht="16.5" customHeight="1">
      <c r="A69" s="56" t="s">
        <v>2307</v>
      </c>
      <c r="B69" s="57" t="s">
        <v>97</v>
      </c>
      <c r="C69" s="56" t="s">
        <v>1868</v>
      </c>
      <c r="D69" s="57" t="s">
        <v>1869</v>
      </c>
      <c r="E69" s="56">
        <v>103</v>
      </c>
      <c r="F69" s="56">
        <v>56</v>
      </c>
      <c r="G69" s="58">
        <v>101</v>
      </c>
      <c r="H69" s="56">
        <v>47</v>
      </c>
      <c r="I69" s="56">
        <v>64</v>
      </c>
      <c r="J69" s="56">
        <v>59</v>
      </c>
      <c r="K69" s="52">
        <f t="shared" si="5"/>
        <v>430</v>
      </c>
      <c r="L69" s="27">
        <f t="shared" si="3"/>
        <v>53</v>
      </c>
      <c r="M69" s="62">
        <f t="shared" si="4"/>
        <v>886</v>
      </c>
      <c r="N69" s="63" t="s">
        <v>17</v>
      </c>
      <c r="O69" s="26" t="s">
        <v>2243</v>
      </c>
    </row>
    <row r="70" spans="1:15" ht="16.5" customHeight="1">
      <c r="A70" s="56" t="s">
        <v>2308</v>
      </c>
      <c r="B70" s="57" t="s">
        <v>97</v>
      </c>
      <c r="C70" s="56" t="s">
        <v>1114</v>
      </c>
      <c r="D70" s="57" t="s">
        <v>1115</v>
      </c>
      <c r="E70" s="56">
        <v>104</v>
      </c>
      <c r="F70" s="56">
        <v>107</v>
      </c>
      <c r="G70" s="58">
        <v>93</v>
      </c>
      <c r="H70" s="56">
        <v>56</v>
      </c>
      <c r="I70" s="56">
        <v>88</v>
      </c>
      <c r="J70" s="56">
        <v>71</v>
      </c>
      <c r="K70" s="52">
        <f t="shared" si="5"/>
        <v>519</v>
      </c>
      <c r="L70" s="27">
        <f t="shared" si="3"/>
        <v>30</v>
      </c>
      <c r="M70" s="62">
        <f t="shared" si="4"/>
        <v>509</v>
      </c>
      <c r="N70" s="63" t="s">
        <v>16</v>
      </c>
      <c r="O70" s="26" t="s">
        <v>2243</v>
      </c>
    </row>
    <row r="71" spans="1:15" ht="16.5" customHeight="1">
      <c r="A71" s="56" t="s">
        <v>2309</v>
      </c>
      <c r="B71" s="57" t="s">
        <v>97</v>
      </c>
      <c r="C71" s="56" t="s">
        <v>1754</v>
      </c>
      <c r="D71" s="57" t="s">
        <v>1755</v>
      </c>
      <c r="E71" s="56">
        <v>114</v>
      </c>
      <c r="F71" s="56">
        <v>75</v>
      </c>
      <c r="G71" s="58">
        <v>92.5</v>
      </c>
      <c r="H71" s="56">
        <v>49</v>
      </c>
      <c r="I71" s="56">
        <v>73</v>
      </c>
      <c r="J71" s="56">
        <v>51</v>
      </c>
      <c r="K71" s="52">
        <f t="shared" si="5"/>
        <v>454.5</v>
      </c>
      <c r="L71" s="27">
        <f t="shared" si="3"/>
        <v>49</v>
      </c>
      <c r="M71" s="62">
        <f t="shared" si="4"/>
        <v>829</v>
      </c>
      <c r="N71" s="63" t="s">
        <v>17</v>
      </c>
      <c r="O71" s="26" t="s">
        <v>2243</v>
      </c>
    </row>
    <row r="72" spans="1:15" ht="16.5" customHeight="1">
      <c r="A72" s="56" t="s">
        <v>2310</v>
      </c>
      <c r="B72" s="57" t="s">
        <v>97</v>
      </c>
      <c r="C72" s="56" t="s">
        <v>1130</v>
      </c>
      <c r="D72" s="57" t="s">
        <v>1131</v>
      </c>
      <c r="E72" s="56">
        <v>108</v>
      </c>
      <c r="F72" s="56">
        <v>97</v>
      </c>
      <c r="G72" s="58">
        <v>120.5</v>
      </c>
      <c r="H72" s="56">
        <v>54</v>
      </c>
      <c r="I72" s="56">
        <v>85</v>
      </c>
      <c r="J72" s="56">
        <v>53</v>
      </c>
      <c r="K72" s="52">
        <f t="shared" si="5"/>
        <v>517.5</v>
      </c>
      <c r="L72" s="27">
        <f t="shared" si="3"/>
        <v>32</v>
      </c>
      <c r="M72" s="62">
        <f t="shared" si="4"/>
        <v>519</v>
      </c>
      <c r="N72" s="63" t="s">
        <v>16</v>
      </c>
      <c r="O72" s="26" t="s">
        <v>2243</v>
      </c>
    </row>
    <row r="73" spans="1:15" ht="16.5" customHeight="1">
      <c r="A73" s="56" t="s">
        <v>2311</v>
      </c>
      <c r="B73" s="57" t="s">
        <v>97</v>
      </c>
      <c r="C73" s="56" t="s">
        <v>1276</v>
      </c>
      <c r="D73" s="57" t="s">
        <v>1277</v>
      </c>
      <c r="E73" s="56">
        <v>112</v>
      </c>
      <c r="F73" s="56">
        <v>75</v>
      </c>
      <c r="G73" s="58">
        <v>114.5</v>
      </c>
      <c r="H73" s="56">
        <v>65</v>
      </c>
      <c r="I73" s="56">
        <v>73</v>
      </c>
      <c r="J73" s="56">
        <v>68</v>
      </c>
      <c r="K73" s="52">
        <f t="shared" si="5"/>
        <v>507.5</v>
      </c>
      <c r="L73" s="27">
        <f t="shared" si="3"/>
        <v>37</v>
      </c>
      <c r="M73" s="62">
        <f t="shared" si="4"/>
        <v>592</v>
      </c>
      <c r="N73" s="63" t="s">
        <v>17</v>
      </c>
      <c r="O73" s="26" t="s">
        <v>2243</v>
      </c>
    </row>
    <row r="74" spans="1:15" ht="16.5" customHeight="1">
      <c r="A74" s="56" t="s">
        <v>2312</v>
      </c>
      <c r="B74" s="57" t="s">
        <v>97</v>
      </c>
      <c r="C74" s="56" t="s">
        <v>95</v>
      </c>
      <c r="D74" s="57" t="s">
        <v>96</v>
      </c>
      <c r="E74" s="56">
        <v>110</v>
      </c>
      <c r="F74" s="56">
        <v>144</v>
      </c>
      <c r="G74" s="58">
        <v>127.5</v>
      </c>
      <c r="H74" s="56">
        <v>105</v>
      </c>
      <c r="I74" s="56">
        <v>99</v>
      </c>
      <c r="J74" s="56">
        <v>78</v>
      </c>
      <c r="K74" s="52">
        <f t="shared" si="5"/>
        <v>663.5</v>
      </c>
      <c r="L74" s="27">
        <f t="shared" si="3"/>
        <v>1</v>
      </c>
      <c r="M74" s="62">
        <f t="shared" si="4"/>
        <v>6</v>
      </c>
      <c r="N74" s="63"/>
      <c r="O74" s="26" t="s">
        <v>44</v>
      </c>
    </row>
    <row r="75" spans="1:15" ht="16.5" customHeight="1">
      <c r="A75" s="56" t="s">
        <v>2313</v>
      </c>
      <c r="B75" s="57" t="s">
        <v>97</v>
      </c>
      <c r="C75" s="56" t="s">
        <v>896</v>
      </c>
      <c r="D75" s="57" t="s">
        <v>897</v>
      </c>
      <c r="E75" s="56">
        <v>98</v>
      </c>
      <c r="F75" s="56">
        <v>98</v>
      </c>
      <c r="G75" s="58">
        <v>105</v>
      </c>
      <c r="H75" s="56">
        <v>72</v>
      </c>
      <c r="I75" s="56">
        <v>87</v>
      </c>
      <c r="J75" s="56">
        <v>77</v>
      </c>
      <c r="K75" s="52">
        <f t="shared" si="5"/>
        <v>537</v>
      </c>
      <c r="L75" s="27">
        <f t="shared" si="3"/>
        <v>20</v>
      </c>
      <c r="M75" s="62">
        <f t="shared" si="4"/>
        <v>400</v>
      </c>
      <c r="N75" s="63" t="s">
        <v>17</v>
      </c>
      <c r="O75" s="26" t="s">
        <v>42</v>
      </c>
    </row>
    <row r="76" spans="1:15" ht="16.5" customHeight="1">
      <c r="A76" s="56" t="s">
        <v>2314</v>
      </c>
      <c r="B76" s="57" t="s">
        <v>97</v>
      </c>
      <c r="C76" s="56" t="s">
        <v>1714</v>
      </c>
      <c r="D76" s="57" t="s">
        <v>1715</v>
      </c>
      <c r="E76" s="56">
        <v>111</v>
      </c>
      <c r="F76" s="56">
        <v>67</v>
      </c>
      <c r="G76" s="58">
        <v>102.5</v>
      </c>
      <c r="H76" s="56">
        <v>34</v>
      </c>
      <c r="I76" s="56">
        <v>71</v>
      </c>
      <c r="J76" s="56">
        <v>77</v>
      </c>
      <c r="K76" s="52">
        <f t="shared" si="5"/>
        <v>462.5</v>
      </c>
      <c r="L76" s="27">
        <f t="shared" si="3"/>
        <v>47</v>
      </c>
      <c r="M76" s="62">
        <f t="shared" si="4"/>
        <v>810</v>
      </c>
      <c r="N76" s="63" t="s">
        <v>17</v>
      </c>
      <c r="O76" s="26" t="s">
        <v>2243</v>
      </c>
    </row>
    <row r="77" spans="1:15" ht="16.5" customHeight="1">
      <c r="A77" s="56" t="s">
        <v>2315</v>
      </c>
      <c r="B77" s="57" t="s">
        <v>97</v>
      </c>
      <c r="C77" s="56" t="s">
        <v>1194</v>
      </c>
      <c r="D77" s="56" t="s">
        <v>1195</v>
      </c>
      <c r="E77" s="56">
        <v>96</v>
      </c>
      <c r="F77" s="56">
        <v>111</v>
      </c>
      <c r="G77" s="58">
        <v>97</v>
      </c>
      <c r="H77" s="56">
        <v>59</v>
      </c>
      <c r="I77" s="56">
        <v>83</v>
      </c>
      <c r="J77" s="56">
        <v>67</v>
      </c>
      <c r="K77" s="52">
        <f t="shared" si="5"/>
        <v>513</v>
      </c>
      <c r="L77" s="27">
        <f t="shared" si="3"/>
        <v>35</v>
      </c>
      <c r="M77" s="62">
        <f t="shared" si="4"/>
        <v>551</v>
      </c>
      <c r="N77" s="63" t="s">
        <v>16</v>
      </c>
      <c r="O77" s="26" t="s">
        <v>44</v>
      </c>
    </row>
    <row r="78" spans="1:15" ht="16.5" customHeight="1">
      <c r="A78" s="56" t="s">
        <v>2316</v>
      </c>
      <c r="B78" s="57" t="s">
        <v>97</v>
      </c>
      <c r="C78" s="56" t="s">
        <v>1430</v>
      </c>
      <c r="D78" s="57" t="s">
        <v>1431</v>
      </c>
      <c r="E78" s="56">
        <v>90</v>
      </c>
      <c r="F78" s="56">
        <v>89</v>
      </c>
      <c r="G78" s="58">
        <v>84</v>
      </c>
      <c r="H78" s="56">
        <v>72</v>
      </c>
      <c r="I78" s="56">
        <v>81</v>
      </c>
      <c r="J78" s="56">
        <v>79</v>
      </c>
      <c r="K78" s="52">
        <f t="shared" si="5"/>
        <v>495</v>
      </c>
      <c r="L78" s="27">
        <f t="shared" si="3"/>
        <v>41</v>
      </c>
      <c r="M78" s="62">
        <f t="shared" si="4"/>
        <v>669</v>
      </c>
      <c r="N78" s="63" t="s">
        <v>17</v>
      </c>
      <c r="O78" s="26" t="s">
        <v>2243</v>
      </c>
    </row>
    <row r="79" spans="1:15" ht="16.5" customHeight="1">
      <c r="A79" s="56" t="s">
        <v>2317</v>
      </c>
      <c r="B79" s="57" t="s">
        <v>97</v>
      </c>
      <c r="C79" s="56" t="s">
        <v>250</v>
      </c>
      <c r="D79" s="57" t="s">
        <v>251</v>
      </c>
      <c r="E79" s="56">
        <v>117</v>
      </c>
      <c r="F79" s="56">
        <v>134</v>
      </c>
      <c r="G79" s="58">
        <v>108.5</v>
      </c>
      <c r="H79" s="56">
        <v>79</v>
      </c>
      <c r="I79" s="56">
        <v>88</v>
      </c>
      <c r="J79" s="56">
        <v>83</v>
      </c>
      <c r="K79" s="52">
        <f t="shared" si="5"/>
        <v>609.5</v>
      </c>
      <c r="L79" s="27">
        <f t="shared" si="3"/>
        <v>5</v>
      </c>
      <c r="M79" s="62">
        <f t="shared" si="4"/>
        <v>74</v>
      </c>
      <c r="N79" s="63" t="s">
        <v>16</v>
      </c>
      <c r="O79" s="26" t="s">
        <v>44</v>
      </c>
    </row>
    <row r="80" spans="1:15" ht="16.5" customHeight="1">
      <c r="A80" s="56" t="s">
        <v>2318</v>
      </c>
      <c r="B80" s="57" t="s">
        <v>97</v>
      </c>
      <c r="C80" s="56" t="s">
        <v>230</v>
      </c>
      <c r="D80" s="57" t="s">
        <v>231</v>
      </c>
      <c r="E80" s="56">
        <v>106</v>
      </c>
      <c r="F80" s="56">
        <v>138</v>
      </c>
      <c r="G80" s="58">
        <v>113.5</v>
      </c>
      <c r="H80" s="56">
        <v>80</v>
      </c>
      <c r="I80" s="56">
        <v>93</v>
      </c>
      <c r="J80" s="56">
        <v>82</v>
      </c>
      <c r="K80" s="52">
        <f t="shared" si="5"/>
        <v>612.5</v>
      </c>
      <c r="L80" s="27">
        <f t="shared" si="3"/>
        <v>4</v>
      </c>
      <c r="M80" s="62">
        <f t="shared" si="4"/>
        <v>68</v>
      </c>
      <c r="N80" s="63" t="s">
        <v>16</v>
      </c>
      <c r="O80" s="26" t="s">
        <v>44</v>
      </c>
    </row>
    <row r="81" spans="1:15" ht="16.5" customHeight="1">
      <c r="A81" s="56" t="s">
        <v>2319</v>
      </c>
      <c r="B81" s="57" t="s">
        <v>97</v>
      </c>
      <c r="C81" s="56" t="s">
        <v>715</v>
      </c>
      <c r="D81" s="57" t="s">
        <v>37</v>
      </c>
      <c r="E81" s="56">
        <v>102</v>
      </c>
      <c r="F81" s="56">
        <v>123</v>
      </c>
      <c r="G81" s="58">
        <v>76</v>
      </c>
      <c r="H81" s="56">
        <v>85</v>
      </c>
      <c r="I81" s="56">
        <v>89</v>
      </c>
      <c r="J81" s="56">
        <v>79</v>
      </c>
      <c r="K81" s="52">
        <f t="shared" si="5"/>
        <v>554</v>
      </c>
      <c r="L81" s="27">
        <f t="shared" si="3"/>
        <v>14</v>
      </c>
      <c r="M81" s="62">
        <f t="shared" si="4"/>
        <v>310</v>
      </c>
      <c r="N81" s="63" t="s">
        <v>17</v>
      </c>
      <c r="O81" s="26" t="s">
        <v>2243</v>
      </c>
    </row>
    <row r="82" spans="1:15" ht="16.5" customHeight="1">
      <c r="A82" s="56" t="s">
        <v>2320</v>
      </c>
      <c r="B82" s="57" t="s">
        <v>97</v>
      </c>
      <c r="C82" s="56" t="s">
        <v>1192</v>
      </c>
      <c r="D82" s="57" t="s">
        <v>1193</v>
      </c>
      <c r="E82" s="56">
        <v>89</v>
      </c>
      <c r="F82" s="56">
        <v>99</v>
      </c>
      <c r="G82" s="58">
        <v>112.5</v>
      </c>
      <c r="H82" s="56">
        <v>57</v>
      </c>
      <c r="I82" s="56">
        <v>79</v>
      </c>
      <c r="J82" s="56">
        <v>77</v>
      </c>
      <c r="K82" s="52">
        <f t="shared" si="5"/>
        <v>513.5</v>
      </c>
      <c r="L82" s="27">
        <f t="shared" si="3"/>
        <v>34</v>
      </c>
      <c r="M82" s="62">
        <f t="shared" si="4"/>
        <v>549</v>
      </c>
      <c r="N82" s="63" t="s">
        <v>17</v>
      </c>
      <c r="O82" s="26" t="s">
        <v>2243</v>
      </c>
    </row>
    <row r="83" spans="1:15" ht="16.5" customHeight="1">
      <c r="A83" s="56" t="s">
        <v>2321</v>
      </c>
      <c r="B83" s="57" t="s">
        <v>97</v>
      </c>
      <c r="C83" s="56" t="s">
        <v>988</v>
      </c>
      <c r="D83" s="57" t="s">
        <v>989</v>
      </c>
      <c r="E83" s="56">
        <v>97</v>
      </c>
      <c r="F83" s="56">
        <v>98</v>
      </c>
      <c r="G83" s="58">
        <v>127.5</v>
      </c>
      <c r="H83" s="56">
        <v>66</v>
      </c>
      <c r="I83" s="56">
        <v>72</v>
      </c>
      <c r="J83" s="56">
        <v>68</v>
      </c>
      <c r="K83" s="52">
        <f t="shared" si="5"/>
        <v>528.5</v>
      </c>
      <c r="L83" s="27">
        <f t="shared" si="3"/>
        <v>23</v>
      </c>
      <c r="M83" s="62">
        <f t="shared" si="4"/>
        <v>445</v>
      </c>
      <c r="N83" s="63" t="s">
        <v>16</v>
      </c>
      <c r="O83" s="26" t="s">
        <v>44</v>
      </c>
    </row>
    <row r="84" spans="1:15" ht="16.5" customHeight="1">
      <c r="A84" s="56" t="s">
        <v>2322</v>
      </c>
      <c r="B84" s="57" t="s">
        <v>97</v>
      </c>
      <c r="C84" s="56" t="s">
        <v>557</v>
      </c>
      <c r="D84" s="57" t="s">
        <v>558</v>
      </c>
      <c r="E84" s="56">
        <v>111</v>
      </c>
      <c r="F84" s="56">
        <v>125</v>
      </c>
      <c r="G84" s="58">
        <v>94</v>
      </c>
      <c r="H84" s="56">
        <v>80</v>
      </c>
      <c r="I84" s="56">
        <v>83</v>
      </c>
      <c r="J84" s="56">
        <v>78</v>
      </c>
      <c r="K84" s="52">
        <f t="shared" si="5"/>
        <v>571</v>
      </c>
      <c r="L84" s="27">
        <f t="shared" si="3"/>
        <v>12</v>
      </c>
      <c r="M84" s="62">
        <f t="shared" si="4"/>
        <v>231</v>
      </c>
      <c r="N84" s="63" t="s">
        <v>17</v>
      </c>
      <c r="O84" s="26" t="s">
        <v>2243</v>
      </c>
    </row>
    <row r="85" spans="1:15" ht="16.5" customHeight="1">
      <c r="A85" s="56" t="s">
        <v>2323</v>
      </c>
      <c r="B85" s="57" t="s">
        <v>97</v>
      </c>
      <c r="C85" s="56" t="s">
        <v>1972</v>
      </c>
      <c r="D85" s="57" t="s">
        <v>1973</v>
      </c>
      <c r="E85" s="56">
        <v>104</v>
      </c>
      <c r="F85" s="56">
        <v>46</v>
      </c>
      <c r="G85" s="58">
        <v>71</v>
      </c>
      <c r="H85" s="56">
        <v>47</v>
      </c>
      <c r="I85" s="56">
        <v>60</v>
      </c>
      <c r="J85" s="56">
        <v>54</v>
      </c>
      <c r="K85" s="52">
        <f t="shared" si="5"/>
        <v>382</v>
      </c>
      <c r="L85" s="27">
        <f t="shared" si="3"/>
        <v>57</v>
      </c>
      <c r="M85" s="62">
        <f t="shared" si="4"/>
        <v>940</v>
      </c>
      <c r="N85" s="63" t="s">
        <v>17</v>
      </c>
      <c r="O85" s="26" t="s">
        <v>42</v>
      </c>
    </row>
    <row r="86" spans="1:15" ht="16.5" customHeight="1">
      <c r="A86" s="56" t="s">
        <v>2324</v>
      </c>
      <c r="B86" s="57" t="s">
        <v>97</v>
      </c>
      <c r="C86" s="56" t="s">
        <v>1308</v>
      </c>
      <c r="D86" s="57" t="s">
        <v>1309</v>
      </c>
      <c r="E86" s="56">
        <v>105</v>
      </c>
      <c r="F86" s="56">
        <v>82</v>
      </c>
      <c r="G86" s="58">
        <v>120</v>
      </c>
      <c r="H86" s="56">
        <v>50</v>
      </c>
      <c r="I86" s="56">
        <v>84</v>
      </c>
      <c r="J86" s="56">
        <v>64</v>
      </c>
      <c r="K86" s="52">
        <f t="shared" si="5"/>
        <v>505</v>
      </c>
      <c r="L86" s="27">
        <f t="shared" si="3"/>
        <v>38</v>
      </c>
      <c r="M86" s="62">
        <f t="shared" si="4"/>
        <v>606</v>
      </c>
      <c r="N86" s="63" t="s">
        <v>16</v>
      </c>
      <c r="O86" s="26" t="s">
        <v>2243</v>
      </c>
    </row>
    <row r="87" spans="1:15" ht="16.5" customHeight="1">
      <c r="A87" s="56" t="s">
        <v>2325</v>
      </c>
      <c r="B87" s="57" t="s">
        <v>97</v>
      </c>
      <c r="C87" s="56" t="s">
        <v>428</v>
      </c>
      <c r="D87" s="57" t="s">
        <v>429</v>
      </c>
      <c r="E87" s="56">
        <v>121</v>
      </c>
      <c r="F87" s="56">
        <v>105</v>
      </c>
      <c r="G87" s="58">
        <v>130</v>
      </c>
      <c r="H87" s="56">
        <v>69</v>
      </c>
      <c r="I87" s="56">
        <v>84</v>
      </c>
      <c r="J87" s="56">
        <v>75</v>
      </c>
      <c r="K87" s="52">
        <f t="shared" si="5"/>
        <v>584</v>
      </c>
      <c r="L87" s="27">
        <f t="shared" si="3"/>
        <v>11</v>
      </c>
      <c r="M87" s="62">
        <f t="shared" si="4"/>
        <v>164</v>
      </c>
      <c r="N87" s="63" t="s">
        <v>16</v>
      </c>
      <c r="O87" s="26" t="s">
        <v>42</v>
      </c>
    </row>
    <row r="88" spans="1:15" ht="16.5" customHeight="1">
      <c r="A88" s="56" t="s">
        <v>2326</v>
      </c>
      <c r="B88" s="57" t="s">
        <v>97</v>
      </c>
      <c r="C88" s="56" t="s">
        <v>272</v>
      </c>
      <c r="D88" s="57" t="s">
        <v>273</v>
      </c>
      <c r="E88" s="56">
        <v>110</v>
      </c>
      <c r="F88" s="56">
        <v>109</v>
      </c>
      <c r="G88" s="58">
        <v>124.5</v>
      </c>
      <c r="H88" s="56">
        <v>84</v>
      </c>
      <c r="I88" s="56">
        <v>94</v>
      </c>
      <c r="J88" s="56">
        <v>84</v>
      </c>
      <c r="K88" s="52">
        <f t="shared" si="5"/>
        <v>605.5</v>
      </c>
      <c r="L88" s="27">
        <f t="shared" si="3"/>
        <v>7</v>
      </c>
      <c r="M88" s="62">
        <f t="shared" si="4"/>
        <v>88</v>
      </c>
      <c r="N88" s="63" t="s">
        <v>16</v>
      </c>
      <c r="O88" s="26" t="s">
        <v>2243</v>
      </c>
    </row>
    <row r="89" spans="1:15" ht="16.5" customHeight="1">
      <c r="A89" s="56" t="s">
        <v>2327</v>
      </c>
      <c r="B89" s="57" t="s">
        <v>97</v>
      </c>
      <c r="C89" s="56" t="s">
        <v>1636</v>
      </c>
      <c r="D89" s="57" t="s">
        <v>1637</v>
      </c>
      <c r="E89" s="56">
        <v>105</v>
      </c>
      <c r="F89" s="56">
        <v>79</v>
      </c>
      <c r="G89" s="58">
        <v>109</v>
      </c>
      <c r="H89" s="56">
        <v>52</v>
      </c>
      <c r="I89" s="56">
        <v>65</v>
      </c>
      <c r="J89" s="56">
        <v>62</v>
      </c>
      <c r="K89" s="52">
        <f t="shared" si="5"/>
        <v>472</v>
      </c>
      <c r="L89" s="27">
        <f t="shared" si="3"/>
        <v>45</v>
      </c>
      <c r="M89" s="62">
        <f t="shared" si="4"/>
        <v>771</v>
      </c>
      <c r="N89" s="63" t="s">
        <v>16</v>
      </c>
      <c r="O89" s="26" t="s">
        <v>2243</v>
      </c>
    </row>
    <row r="90" spans="1:15" ht="16.5" customHeight="1">
      <c r="A90" s="56" t="s">
        <v>2328</v>
      </c>
      <c r="B90" s="57" t="s">
        <v>97</v>
      </c>
      <c r="C90" s="56" t="s">
        <v>1520</v>
      </c>
      <c r="D90" s="57" t="s">
        <v>1521</v>
      </c>
      <c r="E90" s="56">
        <v>105</v>
      </c>
      <c r="F90" s="56">
        <v>84</v>
      </c>
      <c r="G90" s="58">
        <v>105</v>
      </c>
      <c r="H90" s="56">
        <v>41</v>
      </c>
      <c r="I90" s="56">
        <v>78</v>
      </c>
      <c r="J90" s="56">
        <v>72</v>
      </c>
      <c r="K90" s="52">
        <f t="shared" si="5"/>
        <v>485</v>
      </c>
      <c r="L90" s="27">
        <f t="shared" si="3"/>
        <v>42</v>
      </c>
      <c r="M90" s="62">
        <f t="shared" si="4"/>
        <v>711</v>
      </c>
      <c r="N90" s="63" t="s">
        <v>17</v>
      </c>
      <c r="O90" s="26" t="s">
        <v>42</v>
      </c>
    </row>
    <row r="91" spans="1:15" ht="16.5" customHeight="1">
      <c r="A91" s="56" t="s">
        <v>2329</v>
      </c>
      <c r="B91" s="57" t="s">
        <v>97</v>
      </c>
      <c r="C91" s="56" t="s">
        <v>1028</v>
      </c>
      <c r="D91" s="57" t="s">
        <v>1029</v>
      </c>
      <c r="E91" s="56">
        <v>112</v>
      </c>
      <c r="F91" s="56">
        <v>94</v>
      </c>
      <c r="G91" s="58">
        <v>99</v>
      </c>
      <c r="H91" s="56">
        <v>66</v>
      </c>
      <c r="I91" s="56">
        <v>91</v>
      </c>
      <c r="J91" s="56">
        <v>63</v>
      </c>
      <c r="K91" s="52">
        <f t="shared" si="5"/>
        <v>525</v>
      </c>
      <c r="L91" s="27">
        <f t="shared" si="3"/>
        <v>26</v>
      </c>
      <c r="M91" s="62">
        <f t="shared" si="4"/>
        <v>467</v>
      </c>
      <c r="N91" s="63" t="s">
        <v>16</v>
      </c>
      <c r="O91" s="26" t="s">
        <v>43</v>
      </c>
    </row>
    <row r="92" spans="1:15" ht="16.5" customHeight="1">
      <c r="A92" s="56" t="s">
        <v>2330</v>
      </c>
      <c r="B92" s="57" t="s">
        <v>97</v>
      </c>
      <c r="C92" s="56" t="s">
        <v>1582</v>
      </c>
      <c r="D92" s="57" t="s">
        <v>1583</v>
      </c>
      <c r="E92" s="56">
        <v>111</v>
      </c>
      <c r="F92" s="56">
        <v>65</v>
      </c>
      <c r="G92" s="58">
        <v>97</v>
      </c>
      <c r="H92" s="56">
        <v>54</v>
      </c>
      <c r="I92" s="56">
        <v>77</v>
      </c>
      <c r="J92" s="56">
        <v>74</v>
      </c>
      <c r="K92" s="52">
        <f t="shared" si="5"/>
        <v>478</v>
      </c>
      <c r="L92" s="27">
        <f t="shared" si="3"/>
        <v>44</v>
      </c>
      <c r="M92" s="62">
        <f t="shared" si="4"/>
        <v>744</v>
      </c>
      <c r="N92" s="63" t="s">
        <v>16</v>
      </c>
      <c r="O92" s="26" t="s">
        <v>44</v>
      </c>
    </row>
    <row r="93" spans="1:15" ht="16.5" customHeight="1">
      <c r="A93" s="56" t="s">
        <v>2331</v>
      </c>
      <c r="B93" s="57" t="s">
        <v>97</v>
      </c>
      <c r="C93" s="56" t="s">
        <v>938</v>
      </c>
      <c r="D93" s="57" t="s">
        <v>939</v>
      </c>
      <c r="E93" s="56">
        <v>109</v>
      </c>
      <c r="F93" s="56">
        <v>107</v>
      </c>
      <c r="G93" s="58">
        <v>106</v>
      </c>
      <c r="H93" s="56">
        <v>62</v>
      </c>
      <c r="I93" s="56">
        <v>86</v>
      </c>
      <c r="J93" s="56">
        <v>62</v>
      </c>
      <c r="K93" s="52">
        <f t="shared" si="5"/>
        <v>532</v>
      </c>
      <c r="L93" s="27">
        <f t="shared" si="3"/>
        <v>22</v>
      </c>
      <c r="M93" s="62">
        <f t="shared" si="4"/>
        <v>422</v>
      </c>
      <c r="N93" s="63" t="s">
        <v>16</v>
      </c>
      <c r="O93" s="26" t="s">
        <v>2243</v>
      </c>
    </row>
    <row r="94" spans="1:15" ht="16.5" customHeight="1">
      <c r="A94" s="56" t="s">
        <v>2332</v>
      </c>
      <c r="B94" s="57" t="s">
        <v>97</v>
      </c>
      <c r="C94" s="56" t="s">
        <v>1552</v>
      </c>
      <c r="D94" s="57" t="s">
        <v>1553</v>
      </c>
      <c r="E94" s="56">
        <v>112</v>
      </c>
      <c r="F94" s="56">
        <v>71</v>
      </c>
      <c r="G94" s="58">
        <v>94</v>
      </c>
      <c r="H94" s="56">
        <v>55</v>
      </c>
      <c r="I94" s="56">
        <v>82</v>
      </c>
      <c r="J94" s="56">
        <v>68</v>
      </c>
      <c r="K94" s="52">
        <f t="shared" si="5"/>
        <v>482</v>
      </c>
      <c r="L94" s="27">
        <f t="shared" si="3"/>
        <v>43</v>
      </c>
      <c r="M94" s="62">
        <f t="shared" si="4"/>
        <v>729</v>
      </c>
      <c r="N94" s="63" t="s">
        <v>17</v>
      </c>
      <c r="O94" s="26" t="s">
        <v>42</v>
      </c>
    </row>
    <row r="95" spans="1:15" ht="16.5" customHeight="1">
      <c r="A95" s="56" t="s">
        <v>2333</v>
      </c>
      <c r="B95" s="57" t="s">
        <v>97</v>
      </c>
      <c r="C95" s="56" t="s">
        <v>990</v>
      </c>
      <c r="D95" s="57" t="s">
        <v>991</v>
      </c>
      <c r="E95" s="56">
        <v>107</v>
      </c>
      <c r="F95" s="56">
        <v>103</v>
      </c>
      <c r="G95" s="58">
        <v>81</v>
      </c>
      <c r="H95" s="56">
        <v>76</v>
      </c>
      <c r="I95" s="56">
        <v>92</v>
      </c>
      <c r="J95" s="56">
        <v>69</v>
      </c>
      <c r="K95" s="52">
        <f t="shared" si="5"/>
        <v>528</v>
      </c>
      <c r="L95" s="27">
        <f t="shared" si="3"/>
        <v>24</v>
      </c>
      <c r="M95" s="62">
        <f t="shared" si="4"/>
        <v>449</v>
      </c>
      <c r="N95" s="63" t="s">
        <v>17</v>
      </c>
      <c r="O95" s="26" t="s">
        <v>2243</v>
      </c>
    </row>
    <row r="96" spans="1:15" ht="16.5" customHeight="1">
      <c r="A96" s="56" t="s">
        <v>2334</v>
      </c>
      <c r="B96" s="57" t="s">
        <v>97</v>
      </c>
      <c r="C96" s="56" t="s">
        <v>1748</v>
      </c>
      <c r="D96" s="57" t="s">
        <v>1749</v>
      </c>
      <c r="E96" s="56">
        <v>84</v>
      </c>
      <c r="F96" s="56">
        <v>105</v>
      </c>
      <c r="G96" s="58">
        <v>103</v>
      </c>
      <c r="H96" s="56">
        <v>34</v>
      </c>
      <c r="I96" s="56">
        <v>64</v>
      </c>
      <c r="J96" s="56">
        <v>65</v>
      </c>
      <c r="K96" s="52">
        <f t="shared" si="5"/>
        <v>455</v>
      </c>
      <c r="L96" s="27">
        <f t="shared" si="3"/>
        <v>48</v>
      </c>
      <c r="M96" s="62">
        <f t="shared" si="4"/>
        <v>827</v>
      </c>
      <c r="N96" s="63" t="s">
        <v>17</v>
      </c>
      <c r="O96" s="26" t="s">
        <v>42</v>
      </c>
    </row>
    <row r="97" spans="1:15" ht="16.5" customHeight="1">
      <c r="A97" s="56" t="s">
        <v>2335</v>
      </c>
      <c r="B97" s="57" t="s">
        <v>97</v>
      </c>
      <c r="C97" s="56" t="s">
        <v>720</v>
      </c>
      <c r="D97" s="57" t="s">
        <v>721</v>
      </c>
      <c r="E97" s="56">
        <v>107</v>
      </c>
      <c r="F97" s="56">
        <v>108</v>
      </c>
      <c r="G97" s="58">
        <v>112.5</v>
      </c>
      <c r="H97" s="56">
        <v>73</v>
      </c>
      <c r="I97" s="56">
        <v>82</v>
      </c>
      <c r="J97" s="56">
        <v>71</v>
      </c>
      <c r="K97" s="52">
        <f t="shared" si="5"/>
        <v>553.5</v>
      </c>
      <c r="L97" s="27">
        <f t="shared" si="3"/>
        <v>15</v>
      </c>
      <c r="M97" s="62">
        <f t="shared" si="4"/>
        <v>313</v>
      </c>
      <c r="N97" s="63" t="s">
        <v>16</v>
      </c>
      <c r="O97" s="26" t="s">
        <v>42</v>
      </c>
    </row>
    <row r="98" spans="1:15" ht="16.5" customHeight="1">
      <c r="A98" s="56" t="s">
        <v>2336</v>
      </c>
      <c r="B98" s="57" t="s">
        <v>97</v>
      </c>
      <c r="C98" s="56" t="s">
        <v>894</v>
      </c>
      <c r="D98" s="57" t="s">
        <v>895</v>
      </c>
      <c r="E98" s="56">
        <v>102</v>
      </c>
      <c r="F98" s="56">
        <v>86</v>
      </c>
      <c r="G98" s="58">
        <v>98</v>
      </c>
      <c r="H98" s="56">
        <v>92</v>
      </c>
      <c r="I98" s="56">
        <v>85</v>
      </c>
      <c r="J98" s="56">
        <v>74</v>
      </c>
      <c r="K98" s="52">
        <f t="shared" si="5"/>
        <v>537</v>
      </c>
      <c r="L98" s="27">
        <f t="shared" si="3"/>
        <v>20</v>
      </c>
      <c r="M98" s="62">
        <f t="shared" si="4"/>
        <v>400</v>
      </c>
      <c r="N98" s="63" t="s">
        <v>16</v>
      </c>
      <c r="O98" s="26" t="s">
        <v>44</v>
      </c>
    </row>
    <row r="99" spans="1:15" ht="16.5" customHeight="1">
      <c r="A99" s="56" t="s">
        <v>2337</v>
      </c>
      <c r="B99" s="57" t="s">
        <v>97</v>
      </c>
      <c r="C99" s="56" t="s">
        <v>1398</v>
      </c>
      <c r="D99" s="57" t="s">
        <v>1399</v>
      </c>
      <c r="E99" s="56">
        <v>114</v>
      </c>
      <c r="F99" s="56">
        <v>76</v>
      </c>
      <c r="G99" s="58">
        <v>113</v>
      </c>
      <c r="H99" s="56">
        <v>74</v>
      </c>
      <c r="I99" s="56">
        <v>67</v>
      </c>
      <c r="J99" s="56">
        <v>54</v>
      </c>
      <c r="K99" s="52">
        <f t="shared" si="5"/>
        <v>498</v>
      </c>
      <c r="L99" s="27">
        <f t="shared" si="3"/>
        <v>39</v>
      </c>
      <c r="M99" s="62">
        <f t="shared" si="4"/>
        <v>651</v>
      </c>
      <c r="N99" s="63" t="s">
        <v>16</v>
      </c>
      <c r="O99" s="26" t="s">
        <v>44</v>
      </c>
    </row>
    <row r="100" spans="1:15" ht="16.5" customHeight="1">
      <c r="A100" s="56" t="s">
        <v>2338</v>
      </c>
      <c r="B100" s="57" t="s">
        <v>97</v>
      </c>
      <c r="C100" s="56" t="s">
        <v>112</v>
      </c>
      <c r="D100" s="57" t="s">
        <v>113</v>
      </c>
      <c r="E100" s="56">
        <v>119</v>
      </c>
      <c r="F100" s="56">
        <v>131</v>
      </c>
      <c r="G100" s="58">
        <v>123.5</v>
      </c>
      <c r="H100" s="56">
        <v>97</v>
      </c>
      <c r="I100" s="56">
        <v>94</v>
      </c>
      <c r="J100" s="56">
        <v>83</v>
      </c>
      <c r="K100" s="52">
        <f t="shared" si="5"/>
        <v>647.5</v>
      </c>
      <c r="L100" s="27">
        <f t="shared" si="3"/>
        <v>2</v>
      </c>
      <c r="M100" s="62">
        <f t="shared" si="4"/>
        <v>14</v>
      </c>
      <c r="N100" s="63" t="s">
        <v>16</v>
      </c>
      <c r="O100" s="26" t="s">
        <v>2243</v>
      </c>
    </row>
    <row r="101" spans="1:15" ht="16.5" customHeight="1">
      <c r="A101" s="56" t="s">
        <v>2339</v>
      </c>
      <c r="B101" s="57" t="s">
        <v>97</v>
      </c>
      <c r="C101" s="56" t="s">
        <v>1758</v>
      </c>
      <c r="D101" s="57" t="s">
        <v>1759</v>
      </c>
      <c r="E101" s="56">
        <v>103</v>
      </c>
      <c r="F101" s="56">
        <v>57</v>
      </c>
      <c r="G101" s="58">
        <v>85</v>
      </c>
      <c r="H101" s="56">
        <v>47</v>
      </c>
      <c r="I101" s="56">
        <v>87</v>
      </c>
      <c r="J101" s="56">
        <v>75</v>
      </c>
      <c r="K101" s="52">
        <f t="shared" si="5"/>
        <v>454</v>
      </c>
      <c r="L101" s="27">
        <f t="shared" si="3"/>
        <v>50</v>
      </c>
      <c r="M101" s="62">
        <f t="shared" si="4"/>
        <v>832</v>
      </c>
      <c r="N101" s="63" t="s">
        <v>17</v>
      </c>
      <c r="O101" s="26" t="s">
        <v>42</v>
      </c>
    </row>
    <row r="102" spans="1:15" ht="16.5" customHeight="1">
      <c r="A102" s="56" t="s">
        <v>2340</v>
      </c>
      <c r="B102" s="57" t="s">
        <v>97</v>
      </c>
      <c r="C102" s="56" t="s">
        <v>1264</v>
      </c>
      <c r="D102" s="57" t="s">
        <v>1265</v>
      </c>
      <c r="E102" s="56">
        <v>106</v>
      </c>
      <c r="F102" s="56">
        <v>87</v>
      </c>
      <c r="G102" s="58">
        <v>116.5</v>
      </c>
      <c r="H102" s="56">
        <v>62</v>
      </c>
      <c r="I102" s="56">
        <v>75</v>
      </c>
      <c r="J102" s="56">
        <v>62</v>
      </c>
      <c r="K102" s="52">
        <f t="shared" si="5"/>
        <v>508.5</v>
      </c>
      <c r="L102" s="27">
        <f t="shared" si="3"/>
        <v>36</v>
      </c>
      <c r="M102" s="62">
        <f t="shared" si="4"/>
        <v>584</v>
      </c>
      <c r="N102" s="63" t="s">
        <v>16</v>
      </c>
      <c r="O102" s="26" t="s">
        <v>44</v>
      </c>
    </row>
    <row r="103" spans="1:15" ht="16.5" customHeight="1">
      <c r="A103" s="56" t="s">
        <v>2341</v>
      </c>
      <c r="B103" s="57" t="s">
        <v>97</v>
      </c>
      <c r="C103" s="56" t="s">
        <v>254</v>
      </c>
      <c r="D103" s="57" t="s">
        <v>255</v>
      </c>
      <c r="E103" s="56">
        <v>105</v>
      </c>
      <c r="F103" s="56">
        <v>121</v>
      </c>
      <c r="G103" s="58">
        <v>116.5</v>
      </c>
      <c r="H103" s="56">
        <v>90</v>
      </c>
      <c r="I103" s="56">
        <v>95</v>
      </c>
      <c r="J103" s="56">
        <v>81</v>
      </c>
      <c r="K103" s="52">
        <f t="shared" si="5"/>
        <v>608.5</v>
      </c>
      <c r="L103" s="27">
        <f t="shared" si="3"/>
        <v>6</v>
      </c>
      <c r="M103" s="62">
        <f t="shared" si="4"/>
        <v>79</v>
      </c>
      <c r="N103" s="63" t="s">
        <v>16</v>
      </c>
      <c r="O103" s="26" t="s">
        <v>42</v>
      </c>
    </row>
    <row r="104" spans="1:15" ht="16.5" customHeight="1">
      <c r="A104" s="56" t="s">
        <v>2342</v>
      </c>
      <c r="B104" s="57" t="s">
        <v>97</v>
      </c>
      <c r="C104" s="56" t="s">
        <v>1090</v>
      </c>
      <c r="D104" s="57" t="s">
        <v>1091</v>
      </c>
      <c r="E104" s="56">
        <v>106</v>
      </c>
      <c r="F104" s="56">
        <v>82</v>
      </c>
      <c r="G104" s="58">
        <v>123</v>
      </c>
      <c r="H104" s="56">
        <v>69</v>
      </c>
      <c r="I104" s="56">
        <v>73</v>
      </c>
      <c r="J104" s="56">
        <v>68</v>
      </c>
      <c r="K104" s="52">
        <f t="shared" si="5"/>
        <v>521</v>
      </c>
      <c r="L104" s="27">
        <f t="shared" si="3"/>
        <v>28</v>
      </c>
      <c r="M104" s="62">
        <f t="shared" si="4"/>
        <v>499</v>
      </c>
      <c r="N104" s="63" t="s">
        <v>16</v>
      </c>
      <c r="O104" s="26" t="s">
        <v>2243</v>
      </c>
    </row>
    <row r="105" spans="1:15" ht="16.5" customHeight="1">
      <c r="A105" s="56" t="s">
        <v>2343</v>
      </c>
      <c r="B105" s="57" t="s">
        <v>97</v>
      </c>
      <c r="C105" s="56" t="s">
        <v>569</v>
      </c>
      <c r="D105" s="57" t="s">
        <v>570</v>
      </c>
      <c r="E105" s="56">
        <v>104</v>
      </c>
      <c r="F105" s="56">
        <v>85</v>
      </c>
      <c r="G105" s="58">
        <v>133.5</v>
      </c>
      <c r="H105" s="56">
        <v>74</v>
      </c>
      <c r="I105" s="56">
        <v>99</v>
      </c>
      <c r="J105" s="56">
        <v>74</v>
      </c>
      <c r="K105" s="52">
        <f t="shared" si="5"/>
        <v>569.5</v>
      </c>
      <c r="L105" s="27">
        <f t="shared" si="3"/>
        <v>13</v>
      </c>
      <c r="M105" s="62">
        <f t="shared" si="4"/>
        <v>238</v>
      </c>
      <c r="N105" s="63" t="s">
        <v>16</v>
      </c>
      <c r="O105" s="26" t="s">
        <v>2243</v>
      </c>
    </row>
    <row r="106" spans="1:15" ht="16.5" customHeight="1">
      <c r="A106" s="56" t="s">
        <v>2344</v>
      </c>
      <c r="B106" s="57" t="s">
        <v>97</v>
      </c>
      <c r="C106" s="56" t="s">
        <v>1100</v>
      </c>
      <c r="D106" s="57" t="s">
        <v>1101</v>
      </c>
      <c r="E106" s="56">
        <v>99</v>
      </c>
      <c r="F106" s="56">
        <v>115</v>
      </c>
      <c r="G106" s="58">
        <v>110</v>
      </c>
      <c r="H106" s="56">
        <v>63</v>
      </c>
      <c r="I106" s="56">
        <v>71</v>
      </c>
      <c r="J106" s="56">
        <v>62</v>
      </c>
      <c r="K106" s="52">
        <f t="shared" si="5"/>
        <v>520</v>
      </c>
      <c r="L106" s="27">
        <f t="shared" si="3"/>
        <v>29</v>
      </c>
      <c r="M106" s="62">
        <f t="shared" si="4"/>
        <v>504</v>
      </c>
      <c r="N106" s="63" t="s">
        <v>16</v>
      </c>
      <c r="O106" s="26" t="s">
        <v>2243</v>
      </c>
    </row>
    <row r="107" spans="1:15" ht="16.5" customHeight="1">
      <c r="A107" s="56" t="s">
        <v>2345</v>
      </c>
      <c r="B107" s="57" t="s">
        <v>97</v>
      </c>
      <c r="C107" s="56" t="s">
        <v>1026</v>
      </c>
      <c r="D107" s="57" t="s">
        <v>1027</v>
      </c>
      <c r="E107" s="56">
        <v>119</v>
      </c>
      <c r="F107" s="56">
        <v>75</v>
      </c>
      <c r="G107" s="58">
        <v>116</v>
      </c>
      <c r="H107" s="56">
        <v>71</v>
      </c>
      <c r="I107" s="56">
        <v>83</v>
      </c>
      <c r="J107" s="56">
        <v>61</v>
      </c>
      <c r="K107" s="52">
        <f t="shared" si="5"/>
        <v>525</v>
      </c>
      <c r="L107" s="27">
        <f t="shared" si="3"/>
        <v>26</v>
      </c>
      <c r="M107" s="62">
        <f t="shared" si="4"/>
        <v>467</v>
      </c>
      <c r="N107" s="63" t="s">
        <v>16</v>
      </c>
      <c r="O107" s="26" t="s">
        <v>2243</v>
      </c>
    </row>
    <row r="108" spans="1:15" ht="16.5" customHeight="1">
      <c r="A108" s="56" t="s">
        <v>2346</v>
      </c>
      <c r="B108" s="57" t="s">
        <v>97</v>
      </c>
      <c r="C108" s="56" t="s">
        <v>818</v>
      </c>
      <c r="D108" s="57" t="s">
        <v>819</v>
      </c>
      <c r="E108" s="56">
        <v>117</v>
      </c>
      <c r="F108" s="56">
        <v>93</v>
      </c>
      <c r="G108" s="58">
        <v>132</v>
      </c>
      <c r="H108" s="56">
        <v>72</v>
      </c>
      <c r="I108" s="56">
        <v>69</v>
      </c>
      <c r="J108" s="56">
        <v>61</v>
      </c>
      <c r="K108" s="52">
        <f t="shared" si="5"/>
        <v>544</v>
      </c>
      <c r="L108" s="27">
        <f t="shared" si="3"/>
        <v>17</v>
      </c>
      <c r="M108" s="62">
        <f t="shared" si="4"/>
        <v>360</v>
      </c>
      <c r="N108" s="63" t="s">
        <v>16</v>
      </c>
      <c r="O108" s="26" t="s">
        <v>42</v>
      </c>
    </row>
    <row r="109" spans="1:15" ht="16.5" customHeight="1">
      <c r="A109" s="56" t="s">
        <v>2347</v>
      </c>
      <c r="B109" s="57" t="s">
        <v>97</v>
      </c>
      <c r="C109" s="56" t="s">
        <v>1906</v>
      </c>
      <c r="D109" s="57" t="s">
        <v>1907</v>
      </c>
      <c r="E109" s="56">
        <v>98</v>
      </c>
      <c r="F109" s="56">
        <v>55</v>
      </c>
      <c r="G109" s="56">
        <v>90</v>
      </c>
      <c r="H109" s="56">
        <v>58</v>
      </c>
      <c r="I109" s="56">
        <v>69</v>
      </c>
      <c r="J109" s="56">
        <v>54</v>
      </c>
      <c r="K109" s="52">
        <f t="shared" si="5"/>
        <v>424</v>
      </c>
      <c r="L109" s="27">
        <f t="shared" si="3"/>
        <v>55</v>
      </c>
      <c r="M109" s="62">
        <f t="shared" si="4"/>
        <v>906</v>
      </c>
      <c r="N109" s="63" t="s">
        <v>17</v>
      </c>
      <c r="O109" s="26" t="s">
        <v>2243</v>
      </c>
    </row>
    <row r="110" spans="1:15" ht="16.5" customHeight="1">
      <c r="A110" s="56" t="s">
        <v>2348</v>
      </c>
      <c r="B110" s="57" t="s">
        <v>97</v>
      </c>
      <c r="C110" s="56" t="s">
        <v>1914</v>
      </c>
      <c r="D110" s="57" t="s">
        <v>1915</v>
      </c>
      <c r="E110" s="56">
        <v>104</v>
      </c>
      <c r="F110" s="56">
        <v>93</v>
      </c>
      <c r="G110" s="56">
        <v>62</v>
      </c>
      <c r="H110" s="56">
        <v>37</v>
      </c>
      <c r="I110" s="56">
        <v>79</v>
      </c>
      <c r="J110" s="56">
        <v>46</v>
      </c>
      <c r="K110" s="52">
        <f t="shared" si="5"/>
        <v>421</v>
      </c>
      <c r="L110" s="27">
        <f t="shared" si="3"/>
        <v>56</v>
      </c>
      <c r="M110" s="62">
        <f t="shared" si="4"/>
        <v>911</v>
      </c>
      <c r="N110" s="63" t="s">
        <v>16</v>
      </c>
      <c r="O110" s="26" t="s">
        <v>44</v>
      </c>
    </row>
    <row r="111" spans="1:15" ht="16.5" customHeight="1">
      <c r="A111" s="56" t="s">
        <v>2349</v>
      </c>
      <c r="B111" s="57" t="s">
        <v>97</v>
      </c>
      <c r="C111" s="56" t="s">
        <v>794</v>
      </c>
      <c r="D111" s="56" t="s">
        <v>795</v>
      </c>
      <c r="E111" s="56">
        <v>112</v>
      </c>
      <c r="F111" s="56">
        <v>92</v>
      </c>
      <c r="G111" s="56">
        <v>112.5</v>
      </c>
      <c r="H111" s="56">
        <v>76</v>
      </c>
      <c r="I111" s="56">
        <v>84</v>
      </c>
      <c r="J111" s="56">
        <v>70</v>
      </c>
      <c r="K111" s="52">
        <f t="shared" si="5"/>
        <v>546.5</v>
      </c>
      <c r="L111" s="27">
        <f t="shared" si="3"/>
        <v>16</v>
      </c>
      <c r="M111" s="62">
        <f t="shared" si="4"/>
        <v>349</v>
      </c>
      <c r="N111" s="63" t="s">
        <v>17</v>
      </c>
      <c r="O111" s="26" t="s">
        <v>2243</v>
      </c>
    </row>
    <row r="112" spans="1:15" ht="16.5" customHeight="1">
      <c r="A112" s="56" t="s">
        <v>2350</v>
      </c>
      <c r="B112" s="57" t="s">
        <v>97</v>
      </c>
      <c r="C112" s="56" t="s">
        <v>390</v>
      </c>
      <c r="D112" s="57" t="s">
        <v>391</v>
      </c>
      <c r="E112" s="56">
        <v>119</v>
      </c>
      <c r="F112" s="56">
        <v>106</v>
      </c>
      <c r="G112" s="56">
        <v>121.5</v>
      </c>
      <c r="H112" s="56">
        <v>74</v>
      </c>
      <c r="I112" s="56">
        <v>89</v>
      </c>
      <c r="J112" s="56">
        <v>79</v>
      </c>
      <c r="K112" s="52">
        <f t="shared" si="5"/>
        <v>588.5</v>
      </c>
      <c r="L112" s="27">
        <f t="shared" si="3"/>
        <v>8</v>
      </c>
      <c r="M112" s="62">
        <f t="shared" si="4"/>
        <v>146</v>
      </c>
      <c r="N112" s="63" t="s">
        <v>16</v>
      </c>
      <c r="O112" s="26" t="s">
        <v>2243</v>
      </c>
    </row>
    <row r="113" spans="1:15" ht="16.5" customHeight="1">
      <c r="A113" s="56" t="s">
        <v>2351</v>
      </c>
      <c r="B113" s="57" t="s">
        <v>97</v>
      </c>
      <c r="C113" s="56" t="s">
        <v>1898</v>
      </c>
      <c r="D113" s="57" t="s">
        <v>1899</v>
      </c>
      <c r="E113" s="56">
        <v>92</v>
      </c>
      <c r="F113" s="56">
        <v>70</v>
      </c>
      <c r="G113" s="56">
        <v>111</v>
      </c>
      <c r="H113" s="56">
        <v>38</v>
      </c>
      <c r="I113" s="56">
        <v>65</v>
      </c>
      <c r="J113" s="56">
        <v>49</v>
      </c>
      <c r="K113" s="52">
        <f t="shared" si="5"/>
        <v>425</v>
      </c>
      <c r="L113" s="27">
        <f t="shared" si="3"/>
        <v>54</v>
      </c>
      <c r="M113" s="62">
        <f t="shared" si="4"/>
        <v>903</v>
      </c>
      <c r="N113" s="63" t="s">
        <v>16</v>
      </c>
      <c r="O113" s="26" t="s">
        <v>2243</v>
      </c>
    </row>
    <row r="114" spans="1:15" ht="16.5" customHeight="1">
      <c r="A114" s="56" t="s">
        <v>2352</v>
      </c>
      <c r="B114" s="57" t="s">
        <v>97</v>
      </c>
      <c r="C114" s="56" t="s">
        <v>842</v>
      </c>
      <c r="D114" s="57" t="s">
        <v>843</v>
      </c>
      <c r="E114" s="56">
        <v>113</v>
      </c>
      <c r="F114" s="56">
        <v>107</v>
      </c>
      <c r="G114" s="56">
        <v>95.5</v>
      </c>
      <c r="H114" s="56">
        <v>68</v>
      </c>
      <c r="I114" s="56">
        <v>85</v>
      </c>
      <c r="J114" s="56">
        <v>73</v>
      </c>
      <c r="K114" s="52">
        <f t="shared" si="5"/>
        <v>541.5</v>
      </c>
      <c r="L114" s="27">
        <f t="shared" si="3"/>
        <v>18</v>
      </c>
      <c r="M114" s="62">
        <f t="shared" si="4"/>
        <v>372</v>
      </c>
      <c r="N114" s="63" t="s">
        <v>17</v>
      </c>
      <c r="O114" s="26" t="s">
        <v>2243</v>
      </c>
    </row>
    <row r="115" spans="1:15" ht="16.5" customHeight="1">
      <c r="A115" s="56" t="s">
        <v>2353</v>
      </c>
      <c r="B115" s="57" t="s">
        <v>97</v>
      </c>
      <c r="C115" s="56" t="s">
        <v>418</v>
      </c>
      <c r="D115" s="57" t="s">
        <v>419</v>
      </c>
      <c r="E115" s="56">
        <v>110</v>
      </c>
      <c r="F115" s="56">
        <v>119</v>
      </c>
      <c r="G115" s="56">
        <v>108</v>
      </c>
      <c r="H115" s="56">
        <v>92</v>
      </c>
      <c r="I115" s="56">
        <v>85</v>
      </c>
      <c r="J115" s="56">
        <v>71</v>
      </c>
      <c r="K115" s="52">
        <f t="shared" si="5"/>
        <v>585</v>
      </c>
      <c r="L115" s="27">
        <f t="shared" si="3"/>
        <v>10</v>
      </c>
      <c r="M115" s="62">
        <f t="shared" si="4"/>
        <v>161</v>
      </c>
      <c r="N115" s="63" t="s">
        <v>17</v>
      </c>
      <c r="O115" s="26" t="s">
        <v>2243</v>
      </c>
    </row>
    <row r="116" spans="1:15" ht="16.5" customHeight="1">
      <c r="A116" s="56" t="s">
        <v>2354</v>
      </c>
      <c r="B116" s="57" t="s">
        <v>97</v>
      </c>
      <c r="C116" s="56" t="s">
        <v>1845</v>
      </c>
      <c r="D116" s="57" t="s">
        <v>1846</v>
      </c>
      <c r="E116" s="56">
        <v>89</v>
      </c>
      <c r="F116" s="56">
        <v>71</v>
      </c>
      <c r="G116" s="56">
        <v>113.5</v>
      </c>
      <c r="H116" s="56">
        <v>28</v>
      </c>
      <c r="I116" s="56">
        <v>72</v>
      </c>
      <c r="J116" s="56">
        <v>63</v>
      </c>
      <c r="K116" s="52">
        <f t="shared" si="5"/>
        <v>436.5</v>
      </c>
      <c r="L116" s="27">
        <f t="shared" si="3"/>
        <v>52</v>
      </c>
      <c r="M116" s="62">
        <f t="shared" si="4"/>
        <v>874</v>
      </c>
      <c r="N116" s="63" t="s">
        <v>17</v>
      </c>
      <c r="O116" s="26" t="s">
        <v>2243</v>
      </c>
    </row>
    <row r="117" spans="1:15" ht="16.5" customHeight="1">
      <c r="A117" s="56" t="s">
        <v>2355</v>
      </c>
      <c r="B117" s="57" t="s">
        <v>133</v>
      </c>
      <c r="C117" s="56" t="s">
        <v>527</v>
      </c>
      <c r="D117" s="57" t="s">
        <v>528</v>
      </c>
      <c r="E117" s="56">
        <v>105</v>
      </c>
      <c r="F117" s="56">
        <v>121</v>
      </c>
      <c r="G117" s="56">
        <v>98</v>
      </c>
      <c r="H117" s="56">
        <v>83</v>
      </c>
      <c r="I117" s="56">
        <v>87</v>
      </c>
      <c r="J117" s="56">
        <v>80</v>
      </c>
      <c r="K117" s="52">
        <f t="shared" si="5"/>
        <v>574</v>
      </c>
      <c r="L117" s="27">
        <f>RANK(K117,$K$117:$K$173)</f>
        <v>14</v>
      </c>
      <c r="M117" s="62">
        <f t="shared" si="4"/>
        <v>215</v>
      </c>
      <c r="N117" s="63" t="s">
        <v>16</v>
      </c>
      <c r="O117" s="26" t="s">
        <v>44</v>
      </c>
    </row>
    <row r="118" spans="1:15" ht="16.5" customHeight="1">
      <c r="A118" s="56" t="s">
        <v>2356</v>
      </c>
      <c r="B118" s="57" t="s">
        <v>133</v>
      </c>
      <c r="C118" s="56" t="s">
        <v>816</v>
      </c>
      <c r="D118" s="57" t="s">
        <v>817</v>
      </c>
      <c r="E118" s="56">
        <v>107</v>
      </c>
      <c r="F118" s="56">
        <v>116</v>
      </c>
      <c r="G118" s="56">
        <v>67</v>
      </c>
      <c r="H118" s="56">
        <v>84</v>
      </c>
      <c r="I118" s="56">
        <v>88</v>
      </c>
      <c r="J118" s="56">
        <v>82</v>
      </c>
      <c r="K118" s="52">
        <f t="shared" si="5"/>
        <v>544</v>
      </c>
      <c r="L118" s="27">
        <f t="shared" ref="L118:L173" si="6">RANK(K118,$K$117:$K$173)</f>
        <v>25</v>
      </c>
      <c r="M118" s="62">
        <f t="shared" si="4"/>
        <v>360</v>
      </c>
      <c r="N118" s="63" t="s">
        <v>17</v>
      </c>
      <c r="O118" s="26" t="s">
        <v>2243</v>
      </c>
    </row>
    <row r="119" spans="1:15" ht="16.5" customHeight="1">
      <c r="A119" s="56" t="s">
        <v>2357</v>
      </c>
      <c r="B119" s="57" t="s">
        <v>133</v>
      </c>
      <c r="C119" s="56" t="s">
        <v>325</v>
      </c>
      <c r="D119" s="57" t="s">
        <v>326</v>
      </c>
      <c r="E119" s="56">
        <v>117</v>
      </c>
      <c r="F119" s="56">
        <v>105</v>
      </c>
      <c r="G119" s="56">
        <v>124.5</v>
      </c>
      <c r="H119" s="56">
        <v>86</v>
      </c>
      <c r="I119" s="56">
        <v>87</v>
      </c>
      <c r="J119" s="56">
        <v>77</v>
      </c>
      <c r="K119" s="52">
        <f t="shared" si="5"/>
        <v>596.5</v>
      </c>
      <c r="L119" s="27">
        <f t="shared" si="6"/>
        <v>7</v>
      </c>
      <c r="M119" s="62">
        <f t="shared" si="4"/>
        <v>114</v>
      </c>
      <c r="N119" s="63" t="s">
        <v>16</v>
      </c>
      <c r="O119" s="26" t="s">
        <v>2243</v>
      </c>
    </row>
    <row r="120" spans="1:15" ht="16.5" customHeight="1">
      <c r="A120" s="56" t="s">
        <v>2358</v>
      </c>
      <c r="B120" s="57" t="s">
        <v>133</v>
      </c>
      <c r="C120" s="56" t="s">
        <v>131</v>
      </c>
      <c r="D120" s="57" t="s">
        <v>132</v>
      </c>
      <c r="E120" s="56">
        <v>112</v>
      </c>
      <c r="F120" s="56">
        <v>133</v>
      </c>
      <c r="G120" s="56">
        <v>121</v>
      </c>
      <c r="H120" s="56">
        <v>96</v>
      </c>
      <c r="I120" s="56">
        <v>94</v>
      </c>
      <c r="J120" s="56">
        <v>86</v>
      </c>
      <c r="K120" s="52">
        <f t="shared" si="5"/>
        <v>642</v>
      </c>
      <c r="L120" s="27">
        <f t="shared" si="6"/>
        <v>1</v>
      </c>
      <c r="M120" s="62">
        <f t="shared" si="4"/>
        <v>22</v>
      </c>
      <c r="N120" s="63" t="s">
        <v>16</v>
      </c>
      <c r="O120" s="26" t="s">
        <v>2243</v>
      </c>
    </row>
    <row r="121" spans="1:15" ht="16.5" customHeight="1">
      <c r="A121" s="56" t="s">
        <v>2359</v>
      </c>
      <c r="B121" s="57" t="s">
        <v>133</v>
      </c>
      <c r="C121" s="56" t="s">
        <v>195</v>
      </c>
      <c r="D121" s="57" t="s">
        <v>196</v>
      </c>
      <c r="E121" s="56">
        <v>117</v>
      </c>
      <c r="F121" s="56">
        <v>126</v>
      </c>
      <c r="G121" s="56">
        <v>130</v>
      </c>
      <c r="H121" s="56">
        <v>79</v>
      </c>
      <c r="I121" s="56">
        <v>90</v>
      </c>
      <c r="J121" s="56">
        <v>78</v>
      </c>
      <c r="K121" s="52">
        <f t="shared" si="5"/>
        <v>620</v>
      </c>
      <c r="L121" s="27">
        <f t="shared" si="6"/>
        <v>2</v>
      </c>
      <c r="M121" s="62">
        <f t="shared" si="4"/>
        <v>52</v>
      </c>
      <c r="N121" s="63" t="s">
        <v>16</v>
      </c>
      <c r="O121" s="26" t="s">
        <v>44</v>
      </c>
    </row>
    <row r="122" spans="1:15" ht="16.5" customHeight="1">
      <c r="A122" s="56" t="s">
        <v>2360</v>
      </c>
      <c r="B122" s="57" t="s">
        <v>133</v>
      </c>
      <c r="C122" s="56" t="s">
        <v>268</v>
      </c>
      <c r="D122" s="57" t="s">
        <v>269</v>
      </c>
      <c r="E122" s="56">
        <v>124</v>
      </c>
      <c r="F122" s="56">
        <v>130</v>
      </c>
      <c r="G122" s="56">
        <v>123</v>
      </c>
      <c r="H122" s="56">
        <v>94</v>
      </c>
      <c r="I122" s="56">
        <v>70</v>
      </c>
      <c r="J122" s="56">
        <v>66</v>
      </c>
      <c r="K122" s="52">
        <f t="shared" si="5"/>
        <v>607</v>
      </c>
      <c r="L122" s="27">
        <f t="shared" si="6"/>
        <v>4</v>
      </c>
      <c r="M122" s="62">
        <f t="shared" si="4"/>
        <v>85</v>
      </c>
      <c r="N122" s="63" t="s">
        <v>16</v>
      </c>
      <c r="O122" s="26" t="s">
        <v>42</v>
      </c>
    </row>
    <row r="123" spans="1:15" ht="16.5" customHeight="1">
      <c r="A123" s="56" t="s">
        <v>2361</v>
      </c>
      <c r="B123" s="57" t="s">
        <v>133</v>
      </c>
      <c r="C123" s="56" t="s">
        <v>886</v>
      </c>
      <c r="D123" s="57" t="s">
        <v>887</v>
      </c>
      <c r="E123" s="56">
        <v>111</v>
      </c>
      <c r="F123" s="56">
        <v>95</v>
      </c>
      <c r="G123" s="56">
        <v>113.5</v>
      </c>
      <c r="H123" s="56">
        <v>61</v>
      </c>
      <c r="I123" s="56">
        <v>89</v>
      </c>
      <c r="J123" s="56">
        <v>68</v>
      </c>
      <c r="K123" s="52">
        <f t="shared" si="5"/>
        <v>537.5</v>
      </c>
      <c r="L123" s="27">
        <f t="shared" si="6"/>
        <v>30</v>
      </c>
      <c r="M123" s="62">
        <f t="shared" si="4"/>
        <v>396</v>
      </c>
      <c r="N123" s="63" t="s">
        <v>16</v>
      </c>
      <c r="O123" s="26" t="s">
        <v>42</v>
      </c>
    </row>
    <row r="124" spans="1:15" ht="16.5" customHeight="1">
      <c r="A124" s="56" t="s">
        <v>2362</v>
      </c>
      <c r="B124" s="57" t="s">
        <v>133</v>
      </c>
      <c r="C124" s="56" t="s">
        <v>1829</v>
      </c>
      <c r="D124" s="57" t="s">
        <v>1830</v>
      </c>
      <c r="E124" s="56">
        <v>100</v>
      </c>
      <c r="F124" s="56">
        <v>58</v>
      </c>
      <c r="G124" s="56">
        <v>81.5</v>
      </c>
      <c r="H124" s="56">
        <v>66</v>
      </c>
      <c r="I124" s="56">
        <v>70</v>
      </c>
      <c r="J124" s="56">
        <v>64</v>
      </c>
      <c r="K124" s="52">
        <f t="shared" si="5"/>
        <v>439.5</v>
      </c>
      <c r="L124" s="27">
        <f t="shared" si="6"/>
        <v>55</v>
      </c>
      <c r="M124" s="62">
        <f t="shared" si="4"/>
        <v>866</v>
      </c>
      <c r="N124" s="63" t="s">
        <v>17</v>
      </c>
      <c r="O124" s="26" t="s">
        <v>2243</v>
      </c>
    </row>
    <row r="125" spans="1:15" ht="16.5" customHeight="1">
      <c r="A125" s="56" t="s">
        <v>2363</v>
      </c>
      <c r="B125" s="57" t="s">
        <v>133</v>
      </c>
      <c r="C125" s="56" t="s">
        <v>1318</v>
      </c>
      <c r="D125" s="57" t="s">
        <v>1319</v>
      </c>
      <c r="E125" s="56">
        <v>97</v>
      </c>
      <c r="F125" s="56">
        <v>111</v>
      </c>
      <c r="G125" s="56">
        <v>97.5</v>
      </c>
      <c r="H125" s="56">
        <v>59</v>
      </c>
      <c r="I125" s="56">
        <v>76</v>
      </c>
      <c r="J125" s="56">
        <v>64</v>
      </c>
      <c r="K125" s="52">
        <f t="shared" si="5"/>
        <v>504.5</v>
      </c>
      <c r="L125" s="27">
        <f t="shared" si="6"/>
        <v>41</v>
      </c>
      <c r="M125" s="62">
        <f t="shared" si="4"/>
        <v>612</v>
      </c>
      <c r="N125" s="63" t="s">
        <v>16</v>
      </c>
      <c r="O125" s="26" t="s">
        <v>44</v>
      </c>
    </row>
    <row r="126" spans="1:15" ht="16.5" customHeight="1">
      <c r="A126" s="56" t="s">
        <v>2364</v>
      </c>
      <c r="B126" s="57" t="s">
        <v>133</v>
      </c>
      <c r="C126" s="56" t="s">
        <v>1690</v>
      </c>
      <c r="D126" s="57" t="s">
        <v>1691</v>
      </c>
      <c r="E126" s="56">
        <v>90</v>
      </c>
      <c r="F126" s="56">
        <v>109</v>
      </c>
      <c r="G126" s="56">
        <v>81</v>
      </c>
      <c r="H126" s="56">
        <v>49</v>
      </c>
      <c r="I126" s="56">
        <v>89</v>
      </c>
      <c r="J126" s="56">
        <v>47</v>
      </c>
      <c r="K126" s="52">
        <f t="shared" si="5"/>
        <v>465</v>
      </c>
      <c r="L126" s="27">
        <f t="shared" si="6"/>
        <v>51</v>
      </c>
      <c r="M126" s="62">
        <f t="shared" si="4"/>
        <v>799</v>
      </c>
      <c r="N126" s="63" t="s">
        <v>17</v>
      </c>
      <c r="O126" s="26" t="s">
        <v>2243</v>
      </c>
    </row>
    <row r="127" spans="1:15" ht="16.5" customHeight="1">
      <c r="A127" s="56" t="s">
        <v>2365</v>
      </c>
      <c r="B127" s="57" t="s">
        <v>133</v>
      </c>
      <c r="C127" s="56" t="s">
        <v>1480</v>
      </c>
      <c r="D127" s="57" t="s">
        <v>1481</v>
      </c>
      <c r="E127" s="56">
        <v>107</v>
      </c>
      <c r="F127" s="56">
        <v>73</v>
      </c>
      <c r="G127" s="56">
        <v>122.5</v>
      </c>
      <c r="H127" s="56">
        <v>51</v>
      </c>
      <c r="I127" s="56">
        <v>72</v>
      </c>
      <c r="J127" s="56">
        <v>64</v>
      </c>
      <c r="K127" s="52">
        <f t="shared" si="5"/>
        <v>489.5</v>
      </c>
      <c r="L127" s="27">
        <f t="shared" si="6"/>
        <v>45</v>
      </c>
      <c r="M127" s="62">
        <f t="shared" si="4"/>
        <v>693</v>
      </c>
      <c r="N127" s="63" t="s">
        <v>16</v>
      </c>
      <c r="O127" s="26" t="s">
        <v>2243</v>
      </c>
    </row>
    <row r="128" spans="1:15" ht="16.5" customHeight="1">
      <c r="A128" s="56" t="s">
        <v>2366</v>
      </c>
      <c r="B128" s="57" t="s">
        <v>133</v>
      </c>
      <c r="C128" s="56" t="s">
        <v>1634</v>
      </c>
      <c r="D128" s="57" t="s">
        <v>1635</v>
      </c>
      <c r="E128" s="56">
        <v>97</v>
      </c>
      <c r="F128" s="56">
        <v>72</v>
      </c>
      <c r="G128" s="56">
        <v>104</v>
      </c>
      <c r="H128" s="56">
        <v>54</v>
      </c>
      <c r="I128" s="56">
        <v>80</v>
      </c>
      <c r="J128" s="56">
        <v>65</v>
      </c>
      <c r="K128" s="52">
        <f t="shared" si="5"/>
        <v>472</v>
      </c>
      <c r="L128" s="27">
        <f t="shared" si="6"/>
        <v>50</v>
      </c>
      <c r="M128" s="62">
        <f t="shared" si="4"/>
        <v>771</v>
      </c>
      <c r="N128" s="63"/>
      <c r="O128" s="26" t="s">
        <v>44</v>
      </c>
    </row>
    <row r="129" spans="1:15" ht="16.5" customHeight="1">
      <c r="A129" s="56" t="s">
        <v>2367</v>
      </c>
      <c r="B129" s="57" t="s">
        <v>133</v>
      </c>
      <c r="C129" s="56" t="s">
        <v>623</v>
      </c>
      <c r="D129" s="57" t="s">
        <v>624</v>
      </c>
      <c r="E129" s="56">
        <v>91</v>
      </c>
      <c r="F129" s="56">
        <v>120</v>
      </c>
      <c r="G129" s="56">
        <v>117.5</v>
      </c>
      <c r="H129" s="56">
        <v>81</v>
      </c>
      <c r="I129" s="56">
        <v>89</v>
      </c>
      <c r="J129" s="56">
        <v>65</v>
      </c>
      <c r="K129" s="52">
        <f t="shared" si="5"/>
        <v>563.5</v>
      </c>
      <c r="L129" s="27">
        <f t="shared" si="6"/>
        <v>21</v>
      </c>
      <c r="M129" s="62">
        <f t="shared" si="4"/>
        <v>263</v>
      </c>
      <c r="N129" s="63" t="s">
        <v>16</v>
      </c>
      <c r="O129" s="26" t="s">
        <v>44</v>
      </c>
    </row>
    <row r="130" spans="1:15" ht="16.5" customHeight="1">
      <c r="A130" s="56" t="s">
        <v>2368</v>
      </c>
      <c r="B130" s="57" t="s">
        <v>133</v>
      </c>
      <c r="C130" s="56" t="s">
        <v>1760</v>
      </c>
      <c r="D130" s="57" t="s">
        <v>1761</v>
      </c>
      <c r="E130" s="56">
        <v>92</v>
      </c>
      <c r="F130" s="56">
        <v>109</v>
      </c>
      <c r="G130" s="56">
        <v>88.5</v>
      </c>
      <c r="H130" s="56">
        <v>33</v>
      </c>
      <c r="I130" s="56">
        <v>81</v>
      </c>
      <c r="J130" s="56">
        <v>50</v>
      </c>
      <c r="K130" s="52">
        <f t="shared" si="5"/>
        <v>453.5</v>
      </c>
      <c r="L130" s="27">
        <f t="shared" si="6"/>
        <v>52</v>
      </c>
      <c r="M130" s="62">
        <f t="shared" si="4"/>
        <v>833</v>
      </c>
      <c r="N130" s="63" t="s">
        <v>17</v>
      </c>
      <c r="O130" s="26" t="s">
        <v>2243</v>
      </c>
    </row>
    <row r="131" spans="1:15" ht="16.5" customHeight="1">
      <c r="A131" s="56" t="s">
        <v>2369</v>
      </c>
      <c r="B131" s="57" t="s">
        <v>133</v>
      </c>
      <c r="C131" s="56" t="s">
        <v>1148</v>
      </c>
      <c r="D131" s="57" t="s">
        <v>1149</v>
      </c>
      <c r="E131" s="56">
        <v>114</v>
      </c>
      <c r="F131" s="56">
        <v>104</v>
      </c>
      <c r="G131" s="56">
        <v>102</v>
      </c>
      <c r="H131" s="56">
        <v>58</v>
      </c>
      <c r="I131" s="56">
        <v>77</v>
      </c>
      <c r="J131" s="56">
        <v>62</v>
      </c>
      <c r="K131" s="52">
        <f t="shared" si="5"/>
        <v>517</v>
      </c>
      <c r="L131" s="27">
        <f t="shared" si="6"/>
        <v>37</v>
      </c>
      <c r="M131" s="62">
        <f t="shared" ref="M131:M194" si="7">RANK(K131,$K$3:$K$953)</f>
        <v>525</v>
      </c>
      <c r="N131" s="63" t="s">
        <v>17</v>
      </c>
      <c r="O131" s="26" t="s">
        <v>44</v>
      </c>
    </row>
    <row r="132" spans="1:15" ht="16.5" customHeight="1">
      <c r="A132" s="56" t="s">
        <v>2370</v>
      </c>
      <c r="B132" s="57" t="s">
        <v>133</v>
      </c>
      <c r="C132" s="56" t="s">
        <v>792</v>
      </c>
      <c r="D132" s="57" t="s">
        <v>793</v>
      </c>
      <c r="E132" s="56">
        <v>114</v>
      </c>
      <c r="F132" s="56">
        <v>96</v>
      </c>
      <c r="G132" s="56">
        <v>117.5</v>
      </c>
      <c r="H132" s="56">
        <v>63</v>
      </c>
      <c r="I132" s="56">
        <v>83</v>
      </c>
      <c r="J132" s="56">
        <v>73</v>
      </c>
      <c r="K132" s="52">
        <f t="shared" ref="K132:K195" si="8">SUM(E132:J132)</f>
        <v>546.5</v>
      </c>
      <c r="L132" s="27">
        <f t="shared" si="6"/>
        <v>24</v>
      </c>
      <c r="M132" s="62">
        <f t="shared" si="7"/>
        <v>349</v>
      </c>
      <c r="N132" s="63" t="s">
        <v>16</v>
      </c>
      <c r="O132" s="26" t="s">
        <v>2243</v>
      </c>
    </row>
    <row r="133" spans="1:15" ht="16.5" customHeight="1">
      <c r="A133" s="56" t="s">
        <v>2371</v>
      </c>
      <c r="B133" s="57" t="s">
        <v>133</v>
      </c>
      <c r="C133" s="56" t="s">
        <v>1884</v>
      </c>
      <c r="D133" s="57" t="s">
        <v>1885</v>
      </c>
      <c r="E133" s="56">
        <v>97</v>
      </c>
      <c r="F133" s="56">
        <v>79</v>
      </c>
      <c r="G133" s="56">
        <v>67.5</v>
      </c>
      <c r="H133" s="56">
        <v>58</v>
      </c>
      <c r="I133" s="56">
        <v>63</v>
      </c>
      <c r="J133" s="56">
        <v>64</v>
      </c>
      <c r="K133" s="52">
        <f t="shared" si="8"/>
        <v>428.5</v>
      </c>
      <c r="L133" s="27">
        <f t="shared" si="6"/>
        <v>57</v>
      </c>
      <c r="M133" s="62">
        <f t="shared" si="7"/>
        <v>894</v>
      </c>
      <c r="N133" s="63" t="s">
        <v>17</v>
      </c>
      <c r="O133" s="26" t="s">
        <v>2243</v>
      </c>
    </row>
    <row r="134" spans="1:15" ht="16.5" customHeight="1">
      <c r="A134" s="56" t="s">
        <v>2372</v>
      </c>
      <c r="B134" s="57" t="s">
        <v>133</v>
      </c>
      <c r="C134" s="56" t="s">
        <v>1098</v>
      </c>
      <c r="D134" s="57" t="s">
        <v>1099</v>
      </c>
      <c r="E134" s="56">
        <v>106</v>
      </c>
      <c r="F134" s="56">
        <v>94</v>
      </c>
      <c r="G134" s="56">
        <v>117.5</v>
      </c>
      <c r="H134" s="56">
        <v>69</v>
      </c>
      <c r="I134" s="56">
        <v>88</v>
      </c>
      <c r="J134" s="56">
        <v>46</v>
      </c>
      <c r="K134" s="52">
        <f t="shared" si="8"/>
        <v>520.5</v>
      </c>
      <c r="L134" s="27">
        <f t="shared" si="6"/>
        <v>36</v>
      </c>
      <c r="M134" s="62">
        <f t="shared" si="7"/>
        <v>503</v>
      </c>
      <c r="N134" s="63" t="s">
        <v>17</v>
      </c>
      <c r="O134" s="26" t="s">
        <v>2243</v>
      </c>
    </row>
    <row r="135" spans="1:15" ht="16.5" customHeight="1">
      <c r="A135" s="56" t="s">
        <v>2373</v>
      </c>
      <c r="B135" s="57" t="s">
        <v>133</v>
      </c>
      <c r="C135" s="56" t="s">
        <v>1166</v>
      </c>
      <c r="D135" s="57" t="s">
        <v>1167</v>
      </c>
      <c r="E135" s="56">
        <v>104</v>
      </c>
      <c r="F135" s="56">
        <v>98</v>
      </c>
      <c r="G135" s="56">
        <v>102.5</v>
      </c>
      <c r="H135" s="56">
        <v>49</v>
      </c>
      <c r="I135" s="56">
        <v>81</v>
      </c>
      <c r="J135" s="56">
        <v>81</v>
      </c>
      <c r="K135" s="52">
        <f t="shared" si="8"/>
        <v>515.5</v>
      </c>
      <c r="L135" s="27">
        <f t="shared" si="6"/>
        <v>38</v>
      </c>
      <c r="M135" s="62">
        <f t="shared" si="7"/>
        <v>537</v>
      </c>
      <c r="N135" s="63" t="s">
        <v>17</v>
      </c>
      <c r="O135" s="26" t="s">
        <v>42</v>
      </c>
    </row>
    <row r="136" spans="1:15" ht="16.5" customHeight="1">
      <c r="A136" s="56" t="s">
        <v>2374</v>
      </c>
      <c r="B136" s="57" t="s">
        <v>133</v>
      </c>
      <c r="C136" s="56" t="s">
        <v>1168</v>
      </c>
      <c r="D136" s="57" t="s">
        <v>1169</v>
      </c>
      <c r="E136" s="56">
        <v>114</v>
      </c>
      <c r="F136" s="56">
        <v>70</v>
      </c>
      <c r="G136" s="56">
        <v>111.5</v>
      </c>
      <c r="H136" s="56">
        <v>84</v>
      </c>
      <c r="I136" s="56">
        <v>80</v>
      </c>
      <c r="J136" s="56">
        <v>56</v>
      </c>
      <c r="K136" s="52">
        <f t="shared" si="8"/>
        <v>515.5</v>
      </c>
      <c r="L136" s="27">
        <f t="shared" si="6"/>
        <v>38</v>
      </c>
      <c r="M136" s="62">
        <f t="shared" si="7"/>
        <v>537</v>
      </c>
      <c r="N136" s="63" t="s">
        <v>16</v>
      </c>
      <c r="O136" s="26" t="s">
        <v>2243</v>
      </c>
    </row>
    <row r="137" spans="1:15" ht="16.5" customHeight="1">
      <c r="A137" s="56" t="s">
        <v>2375</v>
      </c>
      <c r="B137" s="57" t="s">
        <v>133</v>
      </c>
      <c r="C137" s="56" t="s">
        <v>826</v>
      </c>
      <c r="D137" s="57" t="s">
        <v>827</v>
      </c>
      <c r="E137" s="56">
        <v>112</v>
      </c>
      <c r="F137" s="56">
        <v>104</v>
      </c>
      <c r="G137" s="56">
        <v>105</v>
      </c>
      <c r="H137" s="56">
        <v>75</v>
      </c>
      <c r="I137" s="56">
        <v>83</v>
      </c>
      <c r="J137" s="56">
        <v>63</v>
      </c>
      <c r="K137" s="52">
        <f t="shared" si="8"/>
        <v>542</v>
      </c>
      <c r="L137" s="27">
        <f t="shared" si="6"/>
        <v>26</v>
      </c>
      <c r="M137" s="62">
        <f t="shared" si="7"/>
        <v>367</v>
      </c>
      <c r="N137" s="63"/>
      <c r="O137" s="26" t="s">
        <v>44</v>
      </c>
    </row>
    <row r="138" spans="1:15" ht="16.5" customHeight="1">
      <c r="A138" s="56" t="s">
        <v>2376</v>
      </c>
      <c r="B138" s="57" t="s">
        <v>133</v>
      </c>
      <c r="C138" s="56" t="s">
        <v>1064</v>
      </c>
      <c r="D138" s="57" t="s">
        <v>1065</v>
      </c>
      <c r="E138" s="56">
        <v>113</v>
      </c>
      <c r="F138" s="56">
        <v>86</v>
      </c>
      <c r="G138" s="56">
        <v>114</v>
      </c>
      <c r="H138" s="56">
        <v>69</v>
      </c>
      <c r="I138" s="56">
        <v>72</v>
      </c>
      <c r="J138" s="56">
        <v>69</v>
      </c>
      <c r="K138" s="52">
        <f t="shared" si="8"/>
        <v>523</v>
      </c>
      <c r="L138" s="27">
        <f t="shared" si="6"/>
        <v>34</v>
      </c>
      <c r="M138" s="62">
        <f t="shared" si="7"/>
        <v>481</v>
      </c>
      <c r="N138" s="63"/>
      <c r="O138" s="26" t="s">
        <v>44</v>
      </c>
    </row>
    <row r="139" spans="1:15" ht="16.5" customHeight="1">
      <c r="A139" s="56" t="s">
        <v>2377</v>
      </c>
      <c r="B139" s="57" t="s">
        <v>133</v>
      </c>
      <c r="C139" s="56" t="s">
        <v>754</v>
      </c>
      <c r="D139" s="57" t="s">
        <v>755</v>
      </c>
      <c r="E139" s="56">
        <v>108</v>
      </c>
      <c r="F139" s="56">
        <v>96</v>
      </c>
      <c r="G139" s="56">
        <v>107</v>
      </c>
      <c r="H139" s="56">
        <v>84</v>
      </c>
      <c r="I139" s="56">
        <v>83</v>
      </c>
      <c r="J139" s="56">
        <v>72</v>
      </c>
      <c r="K139" s="52">
        <f t="shared" si="8"/>
        <v>550</v>
      </c>
      <c r="L139" s="27">
        <f t="shared" si="6"/>
        <v>23</v>
      </c>
      <c r="M139" s="62">
        <f t="shared" si="7"/>
        <v>331</v>
      </c>
      <c r="N139" s="63" t="s">
        <v>17</v>
      </c>
      <c r="O139" s="26" t="s">
        <v>2243</v>
      </c>
    </row>
    <row r="140" spans="1:15" ht="15.75" customHeight="1">
      <c r="A140" s="56" t="s">
        <v>2378</v>
      </c>
      <c r="B140" s="57" t="s">
        <v>133</v>
      </c>
      <c r="C140" s="56" t="s">
        <v>1768</v>
      </c>
      <c r="D140" s="57" t="s">
        <v>1769</v>
      </c>
      <c r="E140" s="56">
        <v>105</v>
      </c>
      <c r="F140" s="56">
        <v>73</v>
      </c>
      <c r="G140" s="56">
        <v>101</v>
      </c>
      <c r="H140" s="56">
        <v>48</v>
      </c>
      <c r="I140" s="56">
        <v>67</v>
      </c>
      <c r="J140" s="56">
        <v>59</v>
      </c>
      <c r="K140" s="52">
        <f t="shared" si="8"/>
        <v>453</v>
      </c>
      <c r="L140" s="27">
        <f t="shared" si="6"/>
        <v>53</v>
      </c>
      <c r="M140" s="62">
        <f t="shared" si="7"/>
        <v>835</v>
      </c>
      <c r="N140" s="63" t="s">
        <v>17</v>
      </c>
      <c r="O140" s="26" t="s">
        <v>2243</v>
      </c>
    </row>
    <row r="141" spans="1:15" ht="16.5" customHeight="1">
      <c r="A141" s="56" t="s">
        <v>2379</v>
      </c>
      <c r="B141" s="57" t="s">
        <v>133</v>
      </c>
      <c r="C141" s="56" t="s">
        <v>1410</v>
      </c>
      <c r="D141" s="57" t="s">
        <v>1411</v>
      </c>
      <c r="E141" s="56">
        <v>94</v>
      </c>
      <c r="F141" s="56">
        <v>96</v>
      </c>
      <c r="G141" s="56">
        <v>123</v>
      </c>
      <c r="H141" s="56">
        <v>50</v>
      </c>
      <c r="I141" s="56">
        <v>78</v>
      </c>
      <c r="J141" s="56">
        <v>56</v>
      </c>
      <c r="K141" s="52">
        <f t="shared" si="8"/>
        <v>497</v>
      </c>
      <c r="L141" s="27">
        <f t="shared" si="6"/>
        <v>42</v>
      </c>
      <c r="M141" s="62">
        <f t="shared" si="7"/>
        <v>656</v>
      </c>
      <c r="N141" s="63" t="s">
        <v>17</v>
      </c>
      <c r="O141" s="26" t="s">
        <v>2243</v>
      </c>
    </row>
    <row r="142" spans="1:15" ht="16.5" customHeight="1">
      <c r="A142" s="56" t="s">
        <v>2380</v>
      </c>
      <c r="B142" s="57" t="s">
        <v>133</v>
      </c>
      <c r="C142" s="56" t="s">
        <v>828</v>
      </c>
      <c r="D142" s="57" t="s">
        <v>829</v>
      </c>
      <c r="E142" s="56">
        <v>106</v>
      </c>
      <c r="F142" s="56">
        <v>104</v>
      </c>
      <c r="G142" s="56">
        <v>104</v>
      </c>
      <c r="H142" s="56">
        <v>63</v>
      </c>
      <c r="I142" s="56">
        <v>89</v>
      </c>
      <c r="J142" s="56">
        <v>76</v>
      </c>
      <c r="K142" s="52">
        <f t="shared" si="8"/>
        <v>542</v>
      </c>
      <c r="L142" s="27">
        <f t="shared" si="6"/>
        <v>26</v>
      </c>
      <c r="M142" s="62">
        <f t="shared" si="7"/>
        <v>367</v>
      </c>
      <c r="N142" s="63" t="s">
        <v>16</v>
      </c>
      <c r="O142" s="26" t="s">
        <v>44</v>
      </c>
    </row>
    <row r="143" spans="1:15" ht="16.5" customHeight="1">
      <c r="A143" s="56" t="s">
        <v>2381</v>
      </c>
      <c r="B143" s="57" t="s">
        <v>133</v>
      </c>
      <c r="C143" s="56" t="s">
        <v>213</v>
      </c>
      <c r="D143" s="57" t="s">
        <v>214</v>
      </c>
      <c r="E143" s="56">
        <v>112</v>
      </c>
      <c r="F143" s="56">
        <v>147</v>
      </c>
      <c r="G143" s="56">
        <v>75.5</v>
      </c>
      <c r="H143" s="56">
        <v>104</v>
      </c>
      <c r="I143" s="56">
        <v>95</v>
      </c>
      <c r="J143" s="56">
        <v>82</v>
      </c>
      <c r="K143" s="52">
        <f t="shared" si="8"/>
        <v>615.5</v>
      </c>
      <c r="L143" s="27">
        <f t="shared" si="6"/>
        <v>3</v>
      </c>
      <c r="M143" s="62">
        <f t="shared" si="7"/>
        <v>60</v>
      </c>
      <c r="N143" s="63" t="s">
        <v>16</v>
      </c>
      <c r="O143" s="26" t="s">
        <v>2243</v>
      </c>
    </row>
    <row r="144" spans="1:15" ht="16.5" customHeight="1">
      <c r="A144" s="56" t="s">
        <v>2382</v>
      </c>
      <c r="B144" s="57" t="s">
        <v>133</v>
      </c>
      <c r="C144" s="56" t="s">
        <v>374</v>
      </c>
      <c r="D144" s="57" t="s">
        <v>375</v>
      </c>
      <c r="E144" s="56">
        <v>104</v>
      </c>
      <c r="F144" s="56">
        <v>115</v>
      </c>
      <c r="G144" s="56">
        <v>122</v>
      </c>
      <c r="H144" s="56">
        <v>80</v>
      </c>
      <c r="I144" s="56">
        <v>87</v>
      </c>
      <c r="J144" s="56">
        <v>82</v>
      </c>
      <c r="K144" s="52">
        <f t="shared" si="8"/>
        <v>590</v>
      </c>
      <c r="L144" s="27">
        <f t="shared" si="6"/>
        <v>10</v>
      </c>
      <c r="M144" s="62">
        <f t="shared" si="7"/>
        <v>138</v>
      </c>
      <c r="N144" s="63" t="s">
        <v>16</v>
      </c>
      <c r="O144" s="26" t="s">
        <v>42</v>
      </c>
    </row>
    <row r="145" spans="1:15" ht="16.5" customHeight="1">
      <c r="A145" s="56" t="s">
        <v>2383</v>
      </c>
      <c r="B145" s="57" t="s">
        <v>133</v>
      </c>
      <c r="C145" s="56" t="s">
        <v>1590</v>
      </c>
      <c r="D145" s="57" t="s">
        <v>1591</v>
      </c>
      <c r="E145" s="56">
        <v>108</v>
      </c>
      <c r="F145" s="56">
        <v>95</v>
      </c>
      <c r="G145" s="56">
        <v>81</v>
      </c>
      <c r="H145" s="56">
        <v>50</v>
      </c>
      <c r="I145" s="56">
        <v>76</v>
      </c>
      <c r="J145" s="56">
        <v>67</v>
      </c>
      <c r="K145" s="52">
        <f t="shared" si="8"/>
        <v>477</v>
      </c>
      <c r="L145" s="27">
        <f t="shared" si="6"/>
        <v>48</v>
      </c>
      <c r="M145" s="62">
        <f t="shared" si="7"/>
        <v>749</v>
      </c>
      <c r="N145" s="63" t="s">
        <v>17</v>
      </c>
      <c r="O145" s="26" t="s">
        <v>2243</v>
      </c>
    </row>
    <row r="146" spans="1:15" ht="16.5" customHeight="1">
      <c r="A146" s="56" t="s">
        <v>2384</v>
      </c>
      <c r="B146" s="57" t="s">
        <v>133</v>
      </c>
      <c r="C146" s="56" t="s">
        <v>333</v>
      </c>
      <c r="D146" s="57" t="s">
        <v>334</v>
      </c>
      <c r="E146" s="56">
        <v>94</v>
      </c>
      <c r="F146" s="56">
        <v>112</v>
      </c>
      <c r="G146" s="56">
        <v>131</v>
      </c>
      <c r="H146" s="56">
        <v>82</v>
      </c>
      <c r="I146" s="56">
        <v>92</v>
      </c>
      <c r="J146" s="56">
        <v>85</v>
      </c>
      <c r="K146" s="52">
        <f t="shared" si="8"/>
        <v>596</v>
      </c>
      <c r="L146" s="27">
        <f t="shared" si="6"/>
        <v>8</v>
      </c>
      <c r="M146" s="62">
        <f t="shared" si="7"/>
        <v>117</v>
      </c>
      <c r="N146" s="63" t="s">
        <v>17</v>
      </c>
      <c r="O146" s="26" t="s">
        <v>2243</v>
      </c>
    </row>
    <row r="147" spans="1:15" ht="16.5" customHeight="1">
      <c r="A147" s="56" t="s">
        <v>2385</v>
      </c>
      <c r="B147" s="57" t="s">
        <v>133</v>
      </c>
      <c r="C147" s="56" t="s">
        <v>966</v>
      </c>
      <c r="D147" s="57" t="s">
        <v>967</v>
      </c>
      <c r="E147" s="56">
        <v>117</v>
      </c>
      <c r="F147" s="56">
        <v>109</v>
      </c>
      <c r="G147" s="56">
        <v>90.5</v>
      </c>
      <c r="H147" s="56">
        <v>60</v>
      </c>
      <c r="I147" s="56">
        <v>76</v>
      </c>
      <c r="J147" s="56">
        <v>77</v>
      </c>
      <c r="K147" s="52">
        <f t="shared" si="8"/>
        <v>529.5</v>
      </c>
      <c r="L147" s="27">
        <f t="shared" si="6"/>
        <v>32</v>
      </c>
      <c r="M147" s="62">
        <f t="shared" si="7"/>
        <v>435</v>
      </c>
      <c r="N147" s="63" t="s">
        <v>16</v>
      </c>
      <c r="O147" s="26" t="s">
        <v>42</v>
      </c>
    </row>
    <row r="148" spans="1:15" ht="16.5" customHeight="1">
      <c r="A148" s="56" t="s">
        <v>2386</v>
      </c>
      <c r="B148" s="57" t="s">
        <v>133</v>
      </c>
      <c r="C148" s="56" t="s">
        <v>846</v>
      </c>
      <c r="D148" s="57" t="s">
        <v>847</v>
      </c>
      <c r="E148" s="56">
        <v>110</v>
      </c>
      <c r="F148" s="56">
        <v>84</v>
      </c>
      <c r="G148" s="56">
        <v>102</v>
      </c>
      <c r="H148" s="56">
        <v>79</v>
      </c>
      <c r="I148" s="56">
        <v>88</v>
      </c>
      <c r="J148" s="56">
        <v>78</v>
      </c>
      <c r="K148" s="52">
        <f t="shared" si="8"/>
        <v>541</v>
      </c>
      <c r="L148" s="27">
        <f t="shared" si="6"/>
        <v>28</v>
      </c>
      <c r="M148" s="62">
        <f t="shared" si="7"/>
        <v>376</v>
      </c>
      <c r="N148" s="63" t="s">
        <v>16</v>
      </c>
      <c r="O148" s="26" t="s">
        <v>42</v>
      </c>
    </row>
    <row r="149" spans="1:15" ht="16.5" customHeight="1">
      <c r="A149" s="56" t="s">
        <v>2387</v>
      </c>
      <c r="B149" s="57" t="s">
        <v>133</v>
      </c>
      <c r="C149" s="56" t="s">
        <v>866</v>
      </c>
      <c r="D149" s="57" t="s">
        <v>867</v>
      </c>
      <c r="E149" s="56">
        <v>108</v>
      </c>
      <c r="F149" s="56">
        <v>84</v>
      </c>
      <c r="G149" s="56">
        <v>124</v>
      </c>
      <c r="H149" s="56">
        <v>68</v>
      </c>
      <c r="I149" s="56">
        <v>82</v>
      </c>
      <c r="J149" s="56">
        <v>73</v>
      </c>
      <c r="K149" s="52">
        <f t="shared" si="8"/>
        <v>539</v>
      </c>
      <c r="L149" s="27">
        <f t="shared" si="6"/>
        <v>29</v>
      </c>
      <c r="M149" s="62">
        <f t="shared" si="7"/>
        <v>387</v>
      </c>
      <c r="N149" s="63" t="s">
        <v>16</v>
      </c>
      <c r="O149" s="26" t="s">
        <v>44</v>
      </c>
    </row>
    <row r="150" spans="1:15" ht="16.5" customHeight="1">
      <c r="A150" s="56" t="s">
        <v>2388</v>
      </c>
      <c r="B150" s="57" t="s">
        <v>133</v>
      </c>
      <c r="C150" s="56" t="s">
        <v>571</v>
      </c>
      <c r="D150" s="57" t="s">
        <v>572</v>
      </c>
      <c r="E150" s="56">
        <v>118</v>
      </c>
      <c r="F150" s="56">
        <v>100</v>
      </c>
      <c r="G150" s="56">
        <v>110.5</v>
      </c>
      <c r="H150" s="56">
        <v>85</v>
      </c>
      <c r="I150" s="56">
        <v>84</v>
      </c>
      <c r="J150" s="56">
        <v>72</v>
      </c>
      <c r="K150" s="52">
        <f t="shared" si="8"/>
        <v>569.5</v>
      </c>
      <c r="L150" s="27">
        <f t="shared" si="6"/>
        <v>18</v>
      </c>
      <c r="M150" s="62">
        <f t="shared" si="7"/>
        <v>238</v>
      </c>
      <c r="N150" s="63" t="s">
        <v>16</v>
      </c>
      <c r="O150" s="26" t="s">
        <v>42</v>
      </c>
    </row>
    <row r="151" spans="1:15" ht="16.5" customHeight="1">
      <c r="A151" s="56" t="s">
        <v>2389</v>
      </c>
      <c r="B151" s="57" t="s">
        <v>133</v>
      </c>
      <c r="C151" s="56" t="s">
        <v>504</v>
      </c>
      <c r="D151" s="57" t="s">
        <v>505</v>
      </c>
      <c r="E151" s="56">
        <v>110</v>
      </c>
      <c r="F151" s="56">
        <v>106</v>
      </c>
      <c r="G151" s="56">
        <v>119.5</v>
      </c>
      <c r="H151" s="56">
        <v>79</v>
      </c>
      <c r="I151" s="56">
        <v>90</v>
      </c>
      <c r="J151" s="56">
        <v>71</v>
      </c>
      <c r="K151" s="52">
        <f t="shared" si="8"/>
        <v>575.5</v>
      </c>
      <c r="L151" s="27">
        <f t="shared" si="6"/>
        <v>13</v>
      </c>
      <c r="M151" s="62">
        <f t="shared" si="7"/>
        <v>204</v>
      </c>
      <c r="N151" s="63" t="s">
        <v>16</v>
      </c>
      <c r="O151" s="26" t="s">
        <v>44</v>
      </c>
    </row>
    <row r="152" spans="1:15" ht="16.5" customHeight="1">
      <c r="A152" s="56" t="s">
        <v>2390</v>
      </c>
      <c r="B152" s="57" t="s">
        <v>133</v>
      </c>
      <c r="C152" s="56" t="s">
        <v>1604</v>
      </c>
      <c r="D152" s="57" t="s">
        <v>1605</v>
      </c>
      <c r="E152" s="56">
        <v>106</v>
      </c>
      <c r="F152" s="56">
        <v>75</v>
      </c>
      <c r="G152" s="56">
        <v>116</v>
      </c>
      <c r="H152" s="56">
        <v>43</v>
      </c>
      <c r="I152" s="56">
        <v>77</v>
      </c>
      <c r="J152" s="56">
        <v>58</v>
      </c>
      <c r="K152" s="52">
        <f t="shared" si="8"/>
        <v>475</v>
      </c>
      <c r="L152" s="27">
        <f t="shared" si="6"/>
        <v>49</v>
      </c>
      <c r="M152" s="62">
        <f t="shared" si="7"/>
        <v>756</v>
      </c>
      <c r="N152" s="63" t="s">
        <v>16</v>
      </c>
      <c r="O152" s="26" t="s">
        <v>42</v>
      </c>
    </row>
    <row r="153" spans="1:15" ht="16.5" customHeight="1">
      <c r="A153" s="56" t="s">
        <v>2391</v>
      </c>
      <c r="B153" s="57" t="s">
        <v>133</v>
      </c>
      <c r="C153" s="56" t="s">
        <v>1560</v>
      </c>
      <c r="D153" s="57" t="s">
        <v>1561</v>
      </c>
      <c r="E153" s="56">
        <v>102</v>
      </c>
      <c r="F153" s="56">
        <v>77</v>
      </c>
      <c r="G153" s="56">
        <v>110.5</v>
      </c>
      <c r="H153" s="56">
        <v>42</v>
      </c>
      <c r="I153" s="56">
        <v>82</v>
      </c>
      <c r="J153" s="56">
        <v>68</v>
      </c>
      <c r="K153" s="52">
        <f t="shared" si="8"/>
        <v>481.5</v>
      </c>
      <c r="L153" s="27">
        <f t="shared" si="6"/>
        <v>47</v>
      </c>
      <c r="M153" s="62">
        <f t="shared" si="7"/>
        <v>732</v>
      </c>
      <c r="N153" s="63" t="s">
        <v>17</v>
      </c>
      <c r="O153" s="26" t="s">
        <v>2243</v>
      </c>
    </row>
    <row r="154" spans="1:15" ht="16.5" customHeight="1">
      <c r="A154" s="56" t="s">
        <v>2392</v>
      </c>
      <c r="B154" s="57" t="s">
        <v>133</v>
      </c>
      <c r="C154" s="56" t="s">
        <v>1444</v>
      </c>
      <c r="D154" s="57" t="s">
        <v>1445</v>
      </c>
      <c r="E154" s="56">
        <v>106</v>
      </c>
      <c r="F154" s="56">
        <v>89</v>
      </c>
      <c r="G154" s="56">
        <v>109.5</v>
      </c>
      <c r="H154" s="56">
        <v>48</v>
      </c>
      <c r="I154" s="56">
        <v>80</v>
      </c>
      <c r="J154" s="56">
        <v>61</v>
      </c>
      <c r="K154" s="52">
        <f t="shared" si="8"/>
        <v>493.5</v>
      </c>
      <c r="L154" s="27">
        <f t="shared" si="6"/>
        <v>43</v>
      </c>
      <c r="M154" s="62">
        <f t="shared" si="7"/>
        <v>673</v>
      </c>
      <c r="N154" s="63" t="s">
        <v>16</v>
      </c>
      <c r="O154" s="26" t="s">
        <v>2243</v>
      </c>
    </row>
    <row r="155" spans="1:15" ht="16.5" customHeight="1">
      <c r="A155" s="56" t="s">
        <v>2393</v>
      </c>
      <c r="B155" s="57" t="s">
        <v>133</v>
      </c>
      <c r="C155" s="56" t="s">
        <v>350</v>
      </c>
      <c r="D155" s="57" t="s">
        <v>351</v>
      </c>
      <c r="E155" s="56">
        <v>117</v>
      </c>
      <c r="F155" s="56">
        <v>130</v>
      </c>
      <c r="G155" s="56">
        <v>107.5</v>
      </c>
      <c r="H155" s="56">
        <v>83</v>
      </c>
      <c r="I155" s="56">
        <v>75</v>
      </c>
      <c r="J155" s="56">
        <v>80</v>
      </c>
      <c r="K155" s="52">
        <f t="shared" si="8"/>
        <v>592.5</v>
      </c>
      <c r="L155" s="27">
        <f t="shared" si="6"/>
        <v>9</v>
      </c>
      <c r="M155" s="62">
        <f t="shared" si="7"/>
        <v>127</v>
      </c>
      <c r="N155" s="63" t="s">
        <v>16</v>
      </c>
      <c r="O155" s="26" t="s">
        <v>2243</v>
      </c>
    </row>
    <row r="156" spans="1:15" ht="16.5" customHeight="1">
      <c r="A156" s="56" t="s">
        <v>2394</v>
      </c>
      <c r="B156" s="57" t="s">
        <v>133</v>
      </c>
      <c r="C156" s="56" t="s">
        <v>1823</v>
      </c>
      <c r="D156" s="57" t="s">
        <v>1824</v>
      </c>
      <c r="E156" s="56">
        <v>105</v>
      </c>
      <c r="F156" s="56">
        <v>43</v>
      </c>
      <c r="G156" s="56">
        <v>105</v>
      </c>
      <c r="H156" s="56">
        <v>48</v>
      </c>
      <c r="I156" s="56">
        <v>78</v>
      </c>
      <c r="J156" s="56">
        <v>61</v>
      </c>
      <c r="K156" s="52">
        <f t="shared" si="8"/>
        <v>440</v>
      </c>
      <c r="L156" s="27">
        <f t="shared" si="6"/>
        <v>54</v>
      </c>
      <c r="M156" s="62">
        <f t="shared" si="7"/>
        <v>864</v>
      </c>
      <c r="N156" s="63" t="s">
        <v>16</v>
      </c>
      <c r="O156" s="26" t="s">
        <v>2243</v>
      </c>
    </row>
    <row r="157" spans="1:15" ht="16.5" customHeight="1">
      <c r="A157" s="56" t="s">
        <v>2395</v>
      </c>
      <c r="B157" s="57" t="s">
        <v>133</v>
      </c>
      <c r="C157" s="56" t="s">
        <v>541</v>
      </c>
      <c r="D157" s="57" t="s">
        <v>542</v>
      </c>
      <c r="E157" s="56">
        <v>105</v>
      </c>
      <c r="F157" s="56">
        <v>108</v>
      </c>
      <c r="G157" s="56">
        <v>111.5</v>
      </c>
      <c r="H157" s="56">
        <v>80</v>
      </c>
      <c r="I157" s="56">
        <v>91</v>
      </c>
      <c r="J157" s="56">
        <v>78</v>
      </c>
      <c r="K157" s="52">
        <f t="shared" si="8"/>
        <v>573.5</v>
      </c>
      <c r="L157" s="27">
        <f t="shared" si="6"/>
        <v>15</v>
      </c>
      <c r="M157" s="62">
        <f t="shared" si="7"/>
        <v>221</v>
      </c>
      <c r="N157" s="63" t="s">
        <v>16</v>
      </c>
      <c r="O157" s="26" t="s">
        <v>44</v>
      </c>
    </row>
    <row r="158" spans="1:15" ht="16.5" customHeight="1">
      <c r="A158" s="56" t="s">
        <v>2396</v>
      </c>
      <c r="B158" s="57" t="s">
        <v>133</v>
      </c>
      <c r="C158" s="56" t="s">
        <v>954</v>
      </c>
      <c r="D158" s="57" t="s">
        <v>955</v>
      </c>
      <c r="E158" s="56">
        <v>95</v>
      </c>
      <c r="F158" s="56">
        <v>88</v>
      </c>
      <c r="G158" s="56">
        <v>102</v>
      </c>
      <c r="H158" s="56">
        <v>75</v>
      </c>
      <c r="I158" s="56">
        <v>91</v>
      </c>
      <c r="J158" s="56">
        <v>80</v>
      </c>
      <c r="K158" s="52">
        <f t="shared" si="8"/>
        <v>531</v>
      </c>
      <c r="L158" s="27">
        <f t="shared" si="6"/>
        <v>31</v>
      </c>
      <c r="M158" s="62">
        <f t="shared" si="7"/>
        <v>428</v>
      </c>
      <c r="N158" s="63" t="s">
        <v>16</v>
      </c>
      <c r="O158" s="26" t="s">
        <v>2243</v>
      </c>
    </row>
    <row r="159" spans="1:15" ht="16.5" customHeight="1">
      <c r="A159" s="56" t="s">
        <v>2397</v>
      </c>
      <c r="B159" s="57" t="s">
        <v>133</v>
      </c>
      <c r="C159" s="56" t="s">
        <v>1302</v>
      </c>
      <c r="D159" s="57" t="s">
        <v>1303</v>
      </c>
      <c r="E159" s="56">
        <v>111</v>
      </c>
      <c r="F159" s="56">
        <v>77</v>
      </c>
      <c r="G159" s="56">
        <v>117.5</v>
      </c>
      <c r="H159" s="56">
        <v>58</v>
      </c>
      <c r="I159" s="56">
        <v>73</v>
      </c>
      <c r="J159" s="56">
        <v>69</v>
      </c>
      <c r="K159" s="52">
        <f t="shared" si="8"/>
        <v>505.5</v>
      </c>
      <c r="L159" s="27">
        <f t="shared" si="6"/>
        <v>40</v>
      </c>
      <c r="M159" s="62">
        <f t="shared" si="7"/>
        <v>603</v>
      </c>
      <c r="N159" s="63" t="s">
        <v>17</v>
      </c>
      <c r="O159" s="26" t="s">
        <v>2243</v>
      </c>
    </row>
    <row r="160" spans="1:15" ht="16.5" customHeight="1">
      <c r="A160" s="56" t="s">
        <v>2398</v>
      </c>
      <c r="B160" s="57" t="s">
        <v>133</v>
      </c>
      <c r="C160" s="56" t="s">
        <v>607</v>
      </c>
      <c r="D160" s="57" t="s">
        <v>608</v>
      </c>
      <c r="E160" s="56">
        <v>108</v>
      </c>
      <c r="F160" s="56">
        <v>119</v>
      </c>
      <c r="G160" s="56">
        <v>105</v>
      </c>
      <c r="H160" s="56">
        <v>77</v>
      </c>
      <c r="I160" s="56">
        <v>89</v>
      </c>
      <c r="J160" s="56">
        <v>67</v>
      </c>
      <c r="K160" s="52">
        <f t="shared" si="8"/>
        <v>565</v>
      </c>
      <c r="L160" s="27">
        <f t="shared" si="6"/>
        <v>20</v>
      </c>
      <c r="M160" s="62">
        <f t="shared" si="7"/>
        <v>256</v>
      </c>
      <c r="N160" s="63" t="s">
        <v>16</v>
      </c>
      <c r="O160" s="26" t="s">
        <v>44</v>
      </c>
    </row>
    <row r="161" spans="1:15" ht="16.5" customHeight="1">
      <c r="A161" s="56" t="s">
        <v>2399</v>
      </c>
      <c r="B161" s="57" t="s">
        <v>133</v>
      </c>
      <c r="C161" s="56" t="s">
        <v>392</v>
      </c>
      <c r="D161" s="57" t="s">
        <v>393</v>
      </c>
      <c r="E161" s="56">
        <v>129</v>
      </c>
      <c r="F161" s="56">
        <v>118</v>
      </c>
      <c r="G161" s="56">
        <v>106.5</v>
      </c>
      <c r="H161" s="56">
        <v>87</v>
      </c>
      <c r="I161" s="56">
        <v>75</v>
      </c>
      <c r="J161" s="56">
        <v>73</v>
      </c>
      <c r="K161" s="52">
        <f t="shared" si="8"/>
        <v>588.5</v>
      </c>
      <c r="L161" s="27">
        <f t="shared" si="6"/>
        <v>11</v>
      </c>
      <c r="M161" s="62">
        <f t="shared" si="7"/>
        <v>146</v>
      </c>
      <c r="N161" s="63" t="s">
        <v>17</v>
      </c>
      <c r="O161" s="26" t="s">
        <v>2243</v>
      </c>
    </row>
    <row r="162" spans="1:15" ht="16.5" customHeight="1">
      <c r="A162" s="56" t="s">
        <v>2400</v>
      </c>
      <c r="B162" s="57" t="s">
        <v>133</v>
      </c>
      <c r="C162" s="56" t="s">
        <v>701</v>
      </c>
      <c r="D162" s="57" t="s">
        <v>702</v>
      </c>
      <c r="E162" s="56">
        <v>102</v>
      </c>
      <c r="F162" s="56">
        <v>102</v>
      </c>
      <c r="G162" s="56">
        <v>117.5</v>
      </c>
      <c r="H162" s="56">
        <v>78</v>
      </c>
      <c r="I162" s="56">
        <v>84</v>
      </c>
      <c r="J162" s="56">
        <v>71</v>
      </c>
      <c r="K162" s="52">
        <f t="shared" si="8"/>
        <v>554.5</v>
      </c>
      <c r="L162" s="27">
        <f t="shared" si="6"/>
        <v>22</v>
      </c>
      <c r="M162" s="62">
        <f t="shared" si="7"/>
        <v>304</v>
      </c>
      <c r="N162" s="63" t="s">
        <v>16</v>
      </c>
      <c r="O162" s="26" t="s">
        <v>42</v>
      </c>
    </row>
    <row r="163" spans="1:15" ht="16.5" customHeight="1">
      <c r="A163" s="56" t="s">
        <v>2401</v>
      </c>
      <c r="B163" s="57" t="s">
        <v>133</v>
      </c>
      <c r="C163" s="56" t="s">
        <v>311</v>
      </c>
      <c r="D163" s="57" t="s">
        <v>312</v>
      </c>
      <c r="E163" s="56">
        <v>118</v>
      </c>
      <c r="F163" s="56">
        <v>115</v>
      </c>
      <c r="G163" s="56">
        <v>110</v>
      </c>
      <c r="H163" s="56">
        <v>89</v>
      </c>
      <c r="I163" s="56">
        <v>91</v>
      </c>
      <c r="J163" s="56">
        <v>76</v>
      </c>
      <c r="K163" s="52">
        <f t="shared" si="8"/>
        <v>599</v>
      </c>
      <c r="L163" s="27">
        <f t="shared" si="6"/>
        <v>6</v>
      </c>
      <c r="M163" s="62">
        <f t="shared" si="7"/>
        <v>105</v>
      </c>
      <c r="N163" s="63" t="s">
        <v>16</v>
      </c>
      <c r="O163" s="26" t="s">
        <v>44</v>
      </c>
    </row>
    <row r="164" spans="1:15" ht="16.5" customHeight="1">
      <c r="A164" s="56" t="s">
        <v>2402</v>
      </c>
      <c r="B164" s="57" t="s">
        <v>133</v>
      </c>
      <c r="C164" s="56" t="s">
        <v>1060</v>
      </c>
      <c r="D164" s="57" t="s">
        <v>1061</v>
      </c>
      <c r="E164" s="56">
        <v>105</v>
      </c>
      <c r="F164" s="56">
        <v>94</v>
      </c>
      <c r="G164" s="56">
        <v>109</v>
      </c>
      <c r="H164" s="56">
        <v>57</v>
      </c>
      <c r="I164" s="56">
        <v>85</v>
      </c>
      <c r="J164" s="56">
        <v>73</v>
      </c>
      <c r="K164" s="52">
        <f t="shared" si="8"/>
        <v>523</v>
      </c>
      <c r="L164" s="27">
        <f t="shared" si="6"/>
        <v>34</v>
      </c>
      <c r="M164" s="62">
        <f t="shared" si="7"/>
        <v>481</v>
      </c>
      <c r="N164" s="63" t="s">
        <v>17</v>
      </c>
      <c r="O164" s="26" t="s">
        <v>2243</v>
      </c>
    </row>
    <row r="165" spans="1:15" ht="16.5" customHeight="1">
      <c r="A165" s="56" t="s">
        <v>2403</v>
      </c>
      <c r="B165" s="57" t="s">
        <v>133</v>
      </c>
      <c r="C165" s="56" t="s">
        <v>591</v>
      </c>
      <c r="D165" s="57" t="s">
        <v>592</v>
      </c>
      <c r="E165" s="56">
        <v>110</v>
      </c>
      <c r="F165" s="56">
        <v>106</v>
      </c>
      <c r="G165" s="56">
        <v>134</v>
      </c>
      <c r="H165" s="56">
        <v>55</v>
      </c>
      <c r="I165" s="56">
        <v>88</v>
      </c>
      <c r="J165" s="56">
        <v>73</v>
      </c>
      <c r="K165" s="52">
        <f t="shared" si="8"/>
        <v>566</v>
      </c>
      <c r="L165" s="27">
        <f t="shared" si="6"/>
        <v>19</v>
      </c>
      <c r="M165" s="62">
        <f t="shared" si="7"/>
        <v>249</v>
      </c>
      <c r="N165" s="63" t="s">
        <v>16</v>
      </c>
      <c r="O165" s="26" t="s">
        <v>44</v>
      </c>
    </row>
    <row r="166" spans="1:15" ht="16.5" customHeight="1">
      <c r="A166" s="56" t="s">
        <v>2404</v>
      </c>
      <c r="B166" s="57" t="s">
        <v>133</v>
      </c>
      <c r="C166" s="56" t="s">
        <v>565</v>
      </c>
      <c r="D166" s="57" t="s">
        <v>566</v>
      </c>
      <c r="E166" s="56">
        <v>107</v>
      </c>
      <c r="F166" s="56">
        <v>107</v>
      </c>
      <c r="G166" s="56">
        <v>118</v>
      </c>
      <c r="H166" s="56">
        <v>87</v>
      </c>
      <c r="I166" s="56">
        <v>88</v>
      </c>
      <c r="J166" s="56">
        <v>63</v>
      </c>
      <c r="K166" s="52">
        <f t="shared" si="8"/>
        <v>570</v>
      </c>
      <c r="L166" s="27">
        <f t="shared" si="6"/>
        <v>17</v>
      </c>
      <c r="M166" s="62">
        <f t="shared" si="7"/>
        <v>236</v>
      </c>
      <c r="N166" s="63" t="s">
        <v>16</v>
      </c>
      <c r="O166" s="26" t="s">
        <v>2243</v>
      </c>
    </row>
    <row r="167" spans="1:15" ht="16.5" customHeight="1">
      <c r="A167" s="56" t="s">
        <v>2405</v>
      </c>
      <c r="B167" s="57" t="s">
        <v>133</v>
      </c>
      <c r="C167" s="56" t="s">
        <v>555</v>
      </c>
      <c r="D167" s="57" t="s">
        <v>556</v>
      </c>
      <c r="E167" s="56">
        <v>116</v>
      </c>
      <c r="F167" s="56">
        <v>126</v>
      </c>
      <c r="G167" s="56">
        <v>89</v>
      </c>
      <c r="H167" s="56">
        <v>65</v>
      </c>
      <c r="I167" s="56">
        <v>92</v>
      </c>
      <c r="J167" s="56">
        <v>83</v>
      </c>
      <c r="K167" s="52">
        <f t="shared" si="8"/>
        <v>571</v>
      </c>
      <c r="L167" s="27">
        <f t="shared" si="6"/>
        <v>16</v>
      </c>
      <c r="M167" s="62">
        <f t="shared" si="7"/>
        <v>231</v>
      </c>
      <c r="N167" s="63" t="s">
        <v>17</v>
      </c>
      <c r="O167" s="26" t="s">
        <v>2243</v>
      </c>
    </row>
    <row r="168" spans="1:15" ht="16.5" customHeight="1">
      <c r="A168" s="56" t="s">
        <v>2406</v>
      </c>
      <c r="B168" s="57" t="s">
        <v>133</v>
      </c>
      <c r="C168" s="56" t="s">
        <v>1532</v>
      </c>
      <c r="D168" s="57" t="s">
        <v>1533</v>
      </c>
      <c r="E168" s="56">
        <v>91</v>
      </c>
      <c r="F168" s="56">
        <v>113</v>
      </c>
      <c r="G168" s="56">
        <v>79</v>
      </c>
      <c r="H168" s="56">
        <v>64</v>
      </c>
      <c r="I168" s="56">
        <v>83</v>
      </c>
      <c r="J168" s="56">
        <v>54</v>
      </c>
      <c r="K168" s="52">
        <f t="shared" si="8"/>
        <v>484</v>
      </c>
      <c r="L168" s="27">
        <f t="shared" si="6"/>
        <v>46</v>
      </c>
      <c r="M168" s="62">
        <f t="shared" si="7"/>
        <v>718</v>
      </c>
      <c r="N168" s="63" t="s">
        <v>17</v>
      </c>
      <c r="O168" s="26" t="s">
        <v>2243</v>
      </c>
    </row>
    <row r="169" spans="1:15" ht="16.5" customHeight="1">
      <c r="A169" s="56" t="s">
        <v>2407</v>
      </c>
      <c r="B169" s="57" t="s">
        <v>133</v>
      </c>
      <c r="C169" s="56" t="s">
        <v>1446</v>
      </c>
      <c r="D169" s="57" t="s">
        <v>1447</v>
      </c>
      <c r="E169" s="56">
        <v>112</v>
      </c>
      <c r="F169" s="56">
        <v>61</v>
      </c>
      <c r="G169" s="56">
        <v>111</v>
      </c>
      <c r="H169" s="56">
        <v>60</v>
      </c>
      <c r="I169" s="56">
        <v>81</v>
      </c>
      <c r="J169" s="56">
        <v>68</v>
      </c>
      <c r="K169" s="52">
        <f t="shared" si="8"/>
        <v>493</v>
      </c>
      <c r="L169" s="27">
        <f t="shared" si="6"/>
        <v>44</v>
      </c>
      <c r="M169" s="62">
        <f t="shared" si="7"/>
        <v>677</v>
      </c>
      <c r="N169" s="63" t="s">
        <v>16</v>
      </c>
      <c r="O169" s="26" t="s">
        <v>44</v>
      </c>
    </row>
    <row r="170" spans="1:15" ht="16.5" customHeight="1">
      <c r="A170" s="56" t="s">
        <v>2408</v>
      </c>
      <c r="B170" s="57" t="s">
        <v>133</v>
      </c>
      <c r="C170" s="56" t="s">
        <v>297</v>
      </c>
      <c r="D170" s="57" t="s">
        <v>298</v>
      </c>
      <c r="E170" s="56">
        <v>115</v>
      </c>
      <c r="F170" s="56">
        <v>106</v>
      </c>
      <c r="G170" s="56">
        <v>126.5</v>
      </c>
      <c r="H170" s="56">
        <v>81</v>
      </c>
      <c r="I170" s="56">
        <v>89</v>
      </c>
      <c r="J170" s="56">
        <v>84</v>
      </c>
      <c r="K170" s="52">
        <f t="shared" si="8"/>
        <v>601.5</v>
      </c>
      <c r="L170" s="27">
        <f t="shared" si="6"/>
        <v>5</v>
      </c>
      <c r="M170" s="62">
        <f t="shared" si="7"/>
        <v>100</v>
      </c>
      <c r="N170" s="63" t="s">
        <v>16</v>
      </c>
      <c r="O170" s="26" t="s">
        <v>42</v>
      </c>
    </row>
    <row r="171" spans="1:15" ht="16.5" customHeight="1">
      <c r="A171" s="56" t="s">
        <v>2409</v>
      </c>
      <c r="B171" s="57" t="s">
        <v>133</v>
      </c>
      <c r="C171" s="56" t="s">
        <v>1843</v>
      </c>
      <c r="D171" s="57" t="s">
        <v>1844</v>
      </c>
      <c r="E171" s="56">
        <v>91</v>
      </c>
      <c r="F171" s="56">
        <v>67</v>
      </c>
      <c r="G171" s="56">
        <v>94.5</v>
      </c>
      <c r="H171" s="56">
        <v>43</v>
      </c>
      <c r="I171" s="56">
        <v>77</v>
      </c>
      <c r="J171" s="56">
        <v>64</v>
      </c>
      <c r="K171" s="52">
        <f t="shared" si="8"/>
        <v>436.5</v>
      </c>
      <c r="L171" s="27">
        <f t="shared" si="6"/>
        <v>56</v>
      </c>
      <c r="M171" s="62">
        <f t="shared" si="7"/>
        <v>874</v>
      </c>
      <c r="N171" s="63" t="s">
        <v>17</v>
      </c>
      <c r="O171" s="26" t="s">
        <v>2243</v>
      </c>
    </row>
    <row r="172" spans="1:15" ht="16.5" customHeight="1">
      <c r="A172" s="56" t="s">
        <v>2410</v>
      </c>
      <c r="B172" s="57" t="s">
        <v>133</v>
      </c>
      <c r="C172" s="56" t="s">
        <v>454</v>
      </c>
      <c r="D172" s="57" t="s">
        <v>455</v>
      </c>
      <c r="E172" s="56">
        <v>113</v>
      </c>
      <c r="F172" s="56">
        <v>112</v>
      </c>
      <c r="G172" s="56">
        <v>98.5</v>
      </c>
      <c r="H172" s="56">
        <v>84</v>
      </c>
      <c r="I172" s="56">
        <v>87</v>
      </c>
      <c r="J172" s="56">
        <v>86</v>
      </c>
      <c r="K172" s="52">
        <f t="shared" si="8"/>
        <v>580.5</v>
      </c>
      <c r="L172" s="27">
        <f t="shared" si="6"/>
        <v>12</v>
      </c>
      <c r="M172" s="62">
        <f t="shared" si="7"/>
        <v>176</v>
      </c>
      <c r="N172" s="63" t="s">
        <v>16</v>
      </c>
      <c r="O172" s="26" t="s">
        <v>42</v>
      </c>
    </row>
    <row r="173" spans="1:15" ht="16.5" customHeight="1">
      <c r="A173" s="56" t="s">
        <v>2411</v>
      </c>
      <c r="B173" s="57" t="s">
        <v>133</v>
      </c>
      <c r="C173" s="56" t="s">
        <v>974</v>
      </c>
      <c r="D173" s="57" t="s">
        <v>975</v>
      </c>
      <c r="E173" s="56">
        <v>108</v>
      </c>
      <c r="F173" s="56">
        <v>76</v>
      </c>
      <c r="G173" s="56">
        <v>129</v>
      </c>
      <c r="H173" s="56">
        <v>68</v>
      </c>
      <c r="I173" s="56">
        <v>80</v>
      </c>
      <c r="J173" s="56">
        <v>68</v>
      </c>
      <c r="K173" s="52">
        <f t="shared" si="8"/>
        <v>529</v>
      </c>
      <c r="L173" s="27">
        <f t="shared" si="6"/>
        <v>33</v>
      </c>
      <c r="M173" s="62">
        <f t="shared" si="7"/>
        <v>439</v>
      </c>
      <c r="N173" s="63" t="s">
        <v>16</v>
      </c>
      <c r="O173" s="26" t="s">
        <v>44</v>
      </c>
    </row>
    <row r="174" spans="1:15" ht="16.5" customHeight="1">
      <c r="A174" s="56" t="s">
        <v>2412</v>
      </c>
      <c r="B174" s="57" t="s">
        <v>150</v>
      </c>
      <c r="C174" s="56" t="s">
        <v>724</v>
      </c>
      <c r="D174" s="57" t="s">
        <v>725</v>
      </c>
      <c r="E174" s="56">
        <v>108</v>
      </c>
      <c r="F174" s="56">
        <v>98</v>
      </c>
      <c r="G174" s="56">
        <v>116.5</v>
      </c>
      <c r="H174" s="56">
        <v>70</v>
      </c>
      <c r="I174" s="56">
        <v>84</v>
      </c>
      <c r="J174" s="56">
        <v>76</v>
      </c>
      <c r="K174" s="52">
        <f t="shared" si="8"/>
        <v>552.5</v>
      </c>
      <c r="L174" s="27">
        <f>RANK(K174,$K$174:$K$230)</f>
        <v>21</v>
      </c>
      <c r="M174" s="62">
        <f t="shared" si="7"/>
        <v>316</v>
      </c>
      <c r="N174" s="63"/>
      <c r="O174" s="26" t="s">
        <v>44</v>
      </c>
    </row>
    <row r="175" spans="1:15" ht="16.5" customHeight="1">
      <c r="A175" s="56" t="s">
        <v>2413</v>
      </c>
      <c r="B175" s="57" t="s">
        <v>150</v>
      </c>
      <c r="C175" s="56" t="s">
        <v>1010</v>
      </c>
      <c r="D175" s="57" t="s">
        <v>1011</v>
      </c>
      <c r="E175" s="56">
        <v>99</v>
      </c>
      <c r="F175" s="56">
        <v>111</v>
      </c>
      <c r="G175" s="56">
        <v>105.5</v>
      </c>
      <c r="H175" s="56">
        <v>61</v>
      </c>
      <c r="I175" s="56">
        <v>73</v>
      </c>
      <c r="J175" s="56">
        <v>77</v>
      </c>
      <c r="K175" s="52">
        <f t="shared" si="8"/>
        <v>526.5</v>
      </c>
      <c r="L175" s="27">
        <f t="shared" ref="L175:L230" si="9">RANK(K175,$K$174:$K$230)</f>
        <v>30</v>
      </c>
      <c r="M175" s="62">
        <f t="shared" si="7"/>
        <v>459</v>
      </c>
      <c r="N175" s="63" t="s">
        <v>17</v>
      </c>
      <c r="O175" s="26" t="s">
        <v>2243</v>
      </c>
    </row>
    <row r="176" spans="1:15" ht="16.5" customHeight="1">
      <c r="A176" s="56" t="s">
        <v>2414</v>
      </c>
      <c r="B176" s="57" t="s">
        <v>150</v>
      </c>
      <c r="C176" s="56" t="s">
        <v>1164</v>
      </c>
      <c r="D176" s="57" t="s">
        <v>1165</v>
      </c>
      <c r="E176" s="56">
        <v>110</v>
      </c>
      <c r="F176" s="56">
        <v>103</v>
      </c>
      <c r="G176" s="56">
        <v>128</v>
      </c>
      <c r="H176" s="56">
        <v>50</v>
      </c>
      <c r="I176" s="56">
        <v>59</v>
      </c>
      <c r="J176" s="56">
        <v>66</v>
      </c>
      <c r="K176" s="52">
        <f t="shared" si="8"/>
        <v>516</v>
      </c>
      <c r="L176" s="27">
        <f t="shared" si="9"/>
        <v>36</v>
      </c>
      <c r="M176" s="62">
        <f t="shared" si="7"/>
        <v>533</v>
      </c>
      <c r="N176" s="63" t="s">
        <v>16</v>
      </c>
      <c r="O176" s="26" t="s">
        <v>42</v>
      </c>
    </row>
    <row r="177" spans="1:15" ht="16.5" customHeight="1">
      <c r="A177" s="56" t="s">
        <v>2415</v>
      </c>
      <c r="B177" s="57" t="s">
        <v>150</v>
      </c>
      <c r="C177" s="56" t="s">
        <v>625</v>
      </c>
      <c r="D177" s="57" t="s">
        <v>626</v>
      </c>
      <c r="E177" s="56">
        <v>104</v>
      </c>
      <c r="F177" s="56">
        <v>129</v>
      </c>
      <c r="G177" s="56">
        <v>101.5</v>
      </c>
      <c r="H177" s="56">
        <v>74</v>
      </c>
      <c r="I177" s="56">
        <v>83</v>
      </c>
      <c r="J177" s="56">
        <v>72</v>
      </c>
      <c r="K177" s="52">
        <f t="shared" si="8"/>
        <v>563.5</v>
      </c>
      <c r="L177" s="27">
        <f t="shared" si="9"/>
        <v>15</v>
      </c>
      <c r="M177" s="62">
        <f t="shared" si="7"/>
        <v>263</v>
      </c>
      <c r="N177" s="63" t="s">
        <v>16</v>
      </c>
      <c r="O177" s="26" t="s">
        <v>2243</v>
      </c>
    </row>
    <row r="178" spans="1:15" ht="16.5" customHeight="1">
      <c r="A178" s="56" t="s">
        <v>2416</v>
      </c>
      <c r="B178" s="57" t="s">
        <v>150</v>
      </c>
      <c r="C178" s="56" t="s">
        <v>593</v>
      </c>
      <c r="D178" s="57" t="s">
        <v>594</v>
      </c>
      <c r="E178" s="56">
        <v>105</v>
      </c>
      <c r="F178" s="56">
        <v>117</v>
      </c>
      <c r="G178" s="56">
        <v>100</v>
      </c>
      <c r="H178" s="56">
        <v>75</v>
      </c>
      <c r="I178" s="56">
        <v>89</v>
      </c>
      <c r="J178" s="56">
        <v>80</v>
      </c>
      <c r="K178" s="52">
        <f t="shared" si="8"/>
        <v>566</v>
      </c>
      <c r="L178" s="27">
        <f t="shared" si="9"/>
        <v>13</v>
      </c>
      <c r="M178" s="62">
        <f t="shared" si="7"/>
        <v>249</v>
      </c>
      <c r="N178" s="63" t="s">
        <v>16</v>
      </c>
      <c r="O178" s="26" t="s">
        <v>44</v>
      </c>
    </row>
    <row r="179" spans="1:15" ht="16.5" customHeight="1">
      <c r="A179" s="56" t="s">
        <v>2417</v>
      </c>
      <c r="B179" s="57" t="s">
        <v>150</v>
      </c>
      <c r="C179" s="56" t="s">
        <v>1860</v>
      </c>
      <c r="D179" s="57" t="s">
        <v>1861</v>
      </c>
      <c r="E179" s="56">
        <v>101</v>
      </c>
      <c r="F179" s="56">
        <v>55</v>
      </c>
      <c r="G179" s="56">
        <v>91</v>
      </c>
      <c r="H179" s="56">
        <v>60</v>
      </c>
      <c r="I179" s="56">
        <v>67</v>
      </c>
      <c r="J179" s="56">
        <v>57</v>
      </c>
      <c r="K179" s="52">
        <f t="shared" si="8"/>
        <v>431</v>
      </c>
      <c r="L179" s="27">
        <f t="shared" si="9"/>
        <v>53</v>
      </c>
      <c r="M179" s="62">
        <f t="shared" si="7"/>
        <v>884</v>
      </c>
      <c r="N179" s="63" t="s">
        <v>17</v>
      </c>
      <c r="O179" s="26" t="s">
        <v>2243</v>
      </c>
    </row>
    <row r="180" spans="1:15" ht="16.5" customHeight="1">
      <c r="A180" s="56" t="s">
        <v>2418</v>
      </c>
      <c r="B180" s="57" t="s">
        <v>150</v>
      </c>
      <c r="C180" s="56" t="s">
        <v>1262</v>
      </c>
      <c r="D180" s="57" t="s">
        <v>1263</v>
      </c>
      <c r="E180" s="56">
        <v>99</v>
      </c>
      <c r="F180" s="56">
        <v>89</v>
      </c>
      <c r="G180" s="56">
        <v>116.5</v>
      </c>
      <c r="H180" s="56">
        <v>66</v>
      </c>
      <c r="I180" s="56">
        <v>74</v>
      </c>
      <c r="J180" s="56">
        <v>64</v>
      </c>
      <c r="K180" s="52">
        <f t="shared" si="8"/>
        <v>508.5</v>
      </c>
      <c r="L180" s="27">
        <f t="shared" si="9"/>
        <v>40</v>
      </c>
      <c r="M180" s="62">
        <f t="shared" si="7"/>
        <v>584</v>
      </c>
      <c r="N180" s="63" t="s">
        <v>17</v>
      </c>
      <c r="O180" s="26" t="s">
        <v>2243</v>
      </c>
    </row>
    <row r="181" spans="1:15" ht="16.5" customHeight="1">
      <c r="A181" s="56" t="s">
        <v>2419</v>
      </c>
      <c r="B181" s="57" t="s">
        <v>150</v>
      </c>
      <c r="C181" s="56" t="s">
        <v>750</v>
      </c>
      <c r="D181" s="57" t="s">
        <v>751</v>
      </c>
      <c r="E181" s="56">
        <v>93</v>
      </c>
      <c r="F181" s="56">
        <v>128</v>
      </c>
      <c r="G181" s="56">
        <v>120.5</v>
      </c>
      <c r="H181" s="56">
        <v>70</v>
      </c>
      <c r="I181" s="56">
        <v>74</v>
      </c>
      <c r="J181" s="56">
        <v>65</v>
      </c>
      <c r="K181" s="52">
        <f t="shared" si="8"/>
        <v>550.5</v>
      </c>
      <c r="L181" s="27">
        <f t="shared" si="9"/>
        <v>23</v>
      </c>
      <c r="M181" s="62">
        <f t="shared" si="7"/>
        <v>327</v>
      </c>
      <c r="N181" s="63" t="s">
        <v>16</v>
      </c>
      <c r="O181" s="26" t="s">
        <v>2243</v>
      </c>
    </row>
    <row r="182" spans="1:15" ht="16.5" customHeight="1">
      <c r="A182" s="56" t="s">
        <v>2420</v>
      </c>
      <c r="B182" s="57" t="s">
        <v>150</v>
      </c>
      <c r="C182" s="56" t="s">
        <v>1078</v>
      </c>
      <c r="D182" s="57" t="s">
        <v>1079</v>
      </c>
      <c r="E182" s="56">
        <v>117</v>
      </c>
      <c r="F182" s="56">
        <v>86</v>
      </c>
      <c r="G182" s="56">
        <v>110</v>
      </c>
      <c r="H182" s="56">
        <v>49</v>
      </c>
      <c r="I182" s="56">
        <v>81</v>
      </c>
      <c r="J182" s="56">
        <v>79</v>
      </c>
      <c r="K182" s="52">
        <f t="shared" si="8"/>
        <v>522</v>
      </c>
      <c r="L182" s="27">
        <f t="shared" si="9"/>
        <v>34</v>
      </c>
      <c r="M182" s="62">
        <f t="shared" si="7"/>
        <v>491</v>
      </c>
      <c r="N182" s="63" t="s">
        <v>17</v>
      </c>
      <c r="O182" s="26" t="s">
        <v>42</v>
      </c>
    </row>
    <row r="183" spans="1:15" ht="16.5" customHeight="1">
      <c r="A183" s="56" t="s">
        <v>2421</v>
      </c>
      <c r="B183" s="57" t="s">
        <v>150</v>
      </c>
      <c r="C183" s="56" t="s">
        <v>677</v>
      </c>
      <c r="D183" s="57" t="s">
        <v>678</v>
      </c>
      <c r="E183" s="56">
        <v>115</v>
      </c>
      <c r="F183" s="56">
        <v>105</v>
      </c>
      <c r="G183" s="56">
        <v>113</v>
      </c>
      <c r="H183" s="56">
        <v>47</v>
      </c>
      <c r="I183" s="56">
        <v>95</v>
      </c>
      <c r="J183" s="56">
        <v>82</v>
      </c>
      <c r="K183" s="52">
        <f t="shared" si="8"/>
        <v>557</v>
      </c>
      <c r="L183" s="27">
        <f t="shared" si="9"/>
        <v>19</v>
      </c>
      <c r="M183" s="62">
        <f t="shared" si="7"/>
        <v>291</v>
      </c>
      <c r="N183" s="63" t="s">
        <v>16</v>
      </c>
      <c r="O183" s="26" t="s">
        <v>44</v>
      </c>
    </row>
    <row r="184" spans="1:15" ht="16.5" customHeight="1">
      <c r="A184" s="56" t="s">
        <v>2422</v>
      </c>
      <c r="B184" s="57" t="s">
        <v>150</v>
      </c>
      <c r="C184" s="56" t="s">
        <v>734</v>
      </c>
      <c r="D184" s="57" t="s">
        <v>735</v>
      </c>
      <c r="E184" s="56">
        <v>100</v>
      </c>
      <c r="F184" s="56">
        <v>114</v>
      </c>
      <c r="G184" s="56">
        <v>111</v>
      </c>
      <c r="H184" s="56">
        <v>76</v>
      </c>
      <c r="I184" s="56">
        <v>78</v>
      </c>
      <c r="J184" s="56">
        <v>73</v>
      </c>
      <c r="K184" s="52">
        <f t="shared" si="8"/>
        <v>552</v>
      </c>
      <c r="L184" s="27">
        <f t="shared" si="9"/>
        <v>22</v>
      </c>
      <c r="M184" s="62">
        <f t="shared" si="7"/>
        <v>319</v>
      </c>
      <c r="N184" s="63" t="s">
        <v>17</v>
      </c>
      <c r="O184" s="26" t="s">
        <v>2243</v>
      </c>
    </row>
    <row r="185" spans="1:15" ht="16.5" customHeight="1">
      <c r="A185" s="56" t="s">
        <v>2423</v>
      </c>
      <c r="B185" s="57" t="s">
        <v>150</v>
      </c>
      <c r="C185" s="56" t="s">
        <v>671</v>
      </c>
      <c r="D185" s="57" t="s">
        <v>672</v>
      </c>
      <c r="E185" s="56">
        <v>119</v>
      </c>
      <c r="F185" s="56">
        <v>114</v>
      </c>
      <c r="G185" s="56">
        <v>104.5</v>
      </c>
      <c r="H185" s="56">
        <v>64</v>
      </c>
      <c r="I185" s="56">
        <v>82</v>
      </c>
      <c r="J185" s="56">
        <v>74</v>
      </c>
      <c r="K185" s="52">
        <f t="shared" si="8"/>
        <v>557.5</v>
      </c>
      <c r="L185" s="27">
        <f t="shared" si="9"/>
        <v>18</v>
      </c>
      <c r="M185" s="62">
        <f t="shared" si="7"/>
        <v>289</v>
      </c>
      <c r="N185" s="63" t="s">
        <v>16</v>
      </c>
      <c r="O185" s="26" t="s">
        <v>44</v>
      </c>
    </row>
    <row r="186" spans="1:15" ht="16.5" customHeight="1">
      <c r="A186" s="56" t="s">
        <v>2424</v>
      </c>
      <c r="B186" s="57" t="s">
        <v>150</v>
      </c>
      <c r="C186" s="56" t="s">
        <v>1638</v>
      </c>
      <c r="D186" s="57" t="s">
        <v>1639</v>
      </c>
      <c r="E186" s="56">
        <v>78</v>
      </c>
      <c r="F186" s="56">
        <v>99</v>
      </c>
      <c r="G186" s="56">
        <v>87</v>
      </c>
      <c r="H186" s="56">
        <v>57</v>
      </c>
      <c r="I186" s="56">
        <v>79</v>
      </c>
      <c r="J186" s="56">
        <v>72</v>
      </c>
      <c r="K186" s="52">
        <f t="shared" si="8"/>
        <v>472</v>
      </c>
      <c r="L186" s="27">
        <f t="shared" si="9"/>
        <v>47</v>
      </c>
      <c r="M186" s="62">
        <f t="shared" si="7"/>
        <v>771</v>
      </c>
      <c r="N186" s="63" t="s">
        <v>17</v>
      </c>
      <c r="O186" s="26" t="s">
        <v>42</v>
      </c>
    </row>
    <row r="187" spans="1:15" ht="16.5" customHeight="1">
      <c r="A187" s="56" t="s">
        <v>2425</v>
      </c>
      <c r="B187" s="57" t="s">
        <v>150</v>
      </c>
      <c r="C187" s="56" t="s">
        <v>774</v>
      </c>
      <c r="D187" s="57" t="s">
        <v>775</v>
      </c>
      <c r="E187" s="56">
        <v>108</v>
      </c>
      <c r="F187" s="56">
        <v>100</v>
      </c>
      <c r="G187" s="56">
        <v>121</v>
      </c>
      <c r="H187" s="56">
        <v>72</v>
      </c>
      <c r="I187" s="56">
        <v>81</v>
      </c>
      <c r="J187" s="56">
        <v>66</v>
      </c>
      <c r="K187" s="52">
        <f t="shared" si="8"/>
        <v>548</v>
      </c>
      <c r="L187" s="27">
        <f t="shared" si="9"/>
        <v>25</v>
      </c>
      <c r="M187" s="62">
        <f t="shared" si="7"/>
        <v>341</v>
      </c>
      <c r="N187" s="63" t="s">
        <v>16</v>
      </c>
      <c r="O187" s="26" t="s">
        <v>2243</v>
      </c>
    </row>
    <row r="188" spans="1:15" ht="16.5" customHeight="1">
      <c r="A188" s="56" t="s">
        <v>2426</v>
      </c>
      <c r="B188" s="57" t="s">
        <v>150</v>
      </c>
      <c r="C188" s="56" t="s">
        <v>800</v>
      </c>
      <c r="D188" s="57" t="s">
        <v>801</v>
      </c>
      <c r="E188" s="56">
        <v>104</v>
      </c>
      <c r="F188" s="56">
        <v>84</v>
      </c>
      <c r="G188" s="56">
        <v>111.5</v>
      </c>
      <c r="H188" s="56">
        <v>69</v>
      </c>
      <c r="I188" s="56">
        <v>97</v>
      </c>
      <c r="J188" s="56">
        <v>80</v>
      </c>
      <c r="K188" s="52">
        <f t="shared" si="8"/>
        <v>545.5</v>
      </c>
      <c r="L188" s="27">
        <f t="shared" si="9"/>
        <v>27</v>
      </c>
      <c r="M188" s="62">
        <f t="shared" si="7"/>
        <v>354</v>
      </c>
      <c r="N188" s="63" t="s">
        <v>17</v>
      </c>
      <c r="O188" s="26" t="s">
        <v>42</v>
      </c>
    </row>
    <row r="189" spans="1:15" ht="16.5" customHeight="1">
      <c r="A189" s="56" t="s">
        <v>2427</v>
      </c>
      <c r="B189" s="57" t="s">
        <v>150</v>
      </c>
      <c r="C189" s="56" t="s">
        <v>1248</v>
      </c>
      <c r="D189" s="57" t="s">
        <v>1249</v>
      </c>
      <c r="E189" s="56">
        <v>112</v>
      </c>
      <c r="F189" s="56">
        <v>76</v>
      </c>
      <c r="G189" s="56">
        <v>111</v>
      </c>
      <c r="H189" s="56">
        <v>61</v>
      </c>
      <c r="I189" s="56">
        <v>76</v>
      </c>
      <c r="J189" s="56">
        <v>74</v>
      </c>
      <c r="K189" s="52">
        <f t="shared" si="8"/>
        <v>510</v>
      </c>
      <c r="L189" s="27">
        <f t="shared" si="9"/>
        <v>39</v>
      </c>
      <c r="M189" s="62">
        <f t="shared" si="7"/>
        <v>577</v>
      </c>
      <c r="N189" s="63" t="s">
        <v>16</v>
      </c>
      <c r="O189" s="26" t="s">
        <v>44</v>
      </c>
    </row>
    <row r="190" spans="1:15" ht="16.5" customHeight="1">
      <c r="A190" s="56" t="s">
        <v>2428</v>
      </c>
      <c r="B190" s="57" t="s">
        <v>150</v>
      </c>
      <c r="C190" s="56" t="s">
        <v>1260</v>
      </c>
      <c r="D190" s="57" t="s">
        <v>1261</v>
      </c>
      <c r="E190" s="56">
        <v>97</v>
      </c>
      <c r="F190" s="56">
        <v>79</v>
      </c>
      <c r="G190" s="56">
        <v>111.5</v>
      </c>
      <c r="H190" s="56">
        <v>59</v>
      </c>
      <c r="I190" s="56">
        <v>86</v>
      </c>
      <c r="J190" s="56">
        <v>76</v>
      </c>
      <c r="K190" s="52">
        <f t="shared" si="8"/>
        <v>508.5</v>
      </c>
      <c r="L190" s="27">
        <f t="shared" si="9"/>
        <v>40</v>
      </c>
      <c r="M190" s="62">
        <f t="shared" si="7"/>
        <v>584</v>
      </c>
      <c r="N190" s="63" t="s">
        <v>17</v>
      </c>
      <c r="O190" s="26" t="s">
        <v>2243</v>
      </c>
    </row>
    <row r="191" spans="1:15" ht="16.5" customHeight="1">
      <c r="A191" s="56" t="s">
        <v>2429</v>
      </c>
      <c r="B191" s="57" t="s">
        <v>150</v>
      </c>
      <c r="C191" s="56" t="s">
        <v>1794</v>
      </c>
      <c r="D191" s="57" t="s">
        <v>1795</v>
      </c>
      <c r="E191" s="56">
        <v>98</v>
      </c>
      <c r="F191" s="56">
        <v>98</v>
      </c>
      <c r="G191" s="56">
        <v>77.5</v>
      </c>
      <c r="H191" s="56">
        <v>33</v>
      </c>
      <c r="I191" s="56">
        <v>83</v>
      </c>
      <c r="J191" s="56">
        <v>58</v>
      </c>
      <c r="K191" s="52">
        <f t="shared" si="8"/>
        <v>447.5</v>
      </c>
      <c r="L191" s="27">
        <f t="shared" si="9"/>
        <v>51</v>
      </c>
      <c r="M191" s="62">
        <f t="shared" si="7"/>
        <v>848</v>
      </c>
      <c r="N191" s="63" t="s">
        <v>16</v>
      </c>
      <c r="O191" s="26" t="s">
        <v>44</v>
      </c>
    </row>
    <row r="192" spans="1:15" ht="16.5" customHeight="1">
      <c r="A192" s="56" t="s">
        <v>2430</v>
      </c>
      <c r="B192" s="57" t="s">
        <v>150</v>
      </c>
      <c r="C192" s="56" t="s">
        <v>346</v>
      </c>
      <c r="D192" s="57" t="s">
        <v>347</v>
      </c>
      <c r="E192" s="56">
        <v>105</v>
      </c>
      <c r="F192" s="56">
        <v>140</v>
      </c>
      <c r="G192" s="56">
        <v>103</v>
      </c>
      <c r="H192" s="56">
        <v>80</v>
      </c>
      <c r="I192" s="56">
        <v>87</v>
      </c>
      <c r="J192" s="56">
        <v>79</v>
      </c>
      <c r="K192" s="52">
        <f t="shared" si="8"/>
        <v>594</v>
      </c>
      <c r="L192" s="27">
        <f t="shared" si="9"/>
        <v>4</v>
      </c>
      <c r="M192" s="62">
        <f t="shared" si="7"/>
        <v>123</v>
      </c>
      <c r="N192" s="63" t="s">
        <v>16</v>
      </c>
      <c r="O192" s="26" t="s">
        <v>42</v>
      </c>
    </row>
    <row r="193" spans="1:15" ht="16.5" customHeight="1">
      <c r="A193" s="56" t="s">
        <v>2431</v>
      </c>
      <c r="B193" s="57" t="s">
        <v>150</v>
      </c>
      <c r="C193" s="56" t="s">
        <v>589</v>
      </c>
      <c r="D193" s="57" t="s">
        <v>590</v>
      </c>
      <c r="E193" s="56">
        <v>89</v>
      </c>
      <c r="F193" s="56">
        <v>109</v>
      </c>
      <c r="G193" s="56">
        <v>122.5</v>
      </c>
      <c r="H193" s="56">
        <v>82</v>
      </c>
      <c r="I193" s="56">
        <v>86</v>
      </c>
      <c r="J193" s="56">
        <v>78</v>
      </c>
      <c r="K193" s="52">
        <f t="shared" si="8"/>
        <v>566.5</v>
      </c>
      <c r="L193" s="27">
        <f t="shared" si="9"/>
        <v>12</v>
      </c>
      <c r="M193" s="62">
        <f t="shared" si="7"/>
        <v>248</v>
      </c>
      <c r="N193" s="63" t="s">
        <v>16</v>
      </c>
      <c r="O193" s="26" t="s">
        <v>2243</v>
      </c>
    </row>
    <row r="194" spans="1:15" ht="16.5" customHeight="1">
      <c r="A194" s="56" t="s">
        <v>2432</v>
      </c>
      <c r="B194" s="57" t="s">
        <v>150</v>
      </c>
      <c r="C194" s="56" t="s">
        <v>561</v>
      </c>
      <c r="D194" s="57" t="s">
        <v>562</v>
      </c>
      <c r="E194" s="56">
        <v>97</v>
      </c>
      <c r="F194" s="56">
        <v>128</v>
      </c>
      <c r="G194" s="56">
        <v>107.5</v>
      </c>
      <c r="H194" s="56">
        <v>78</v>
      </c>
      <c r="I194" s="56">
        <v>87</v>
      </c>
      <c r="J194" s="56">
        <v>73</v>
      </c>
      <c r="K194" s="52">
        <f t="shared" si="8"/>
        <v>570.5</v>
      </c>
      <c r="L194" s="27">
        <f t="shared" si="9"/>
        <v>11</v>
      </c>
      <c r="M194" s="62">
        <f t="shared" si="7"/>
        <v>233</v>
      </c>
      <c r="N194" s="63" t="s">
        <v>16</v>
      </c>
      <c r="O194" s="26" t="s">
        <v>44</v>
      </c>
    </row>
    <row r="195" spans="1:15" ht="16.5" customHeight="1">
      <c r="A195" s="56" t="s">
        <v>2433</v>
      </c>
      <c r="B195" s="57" t="s">
        <v>150</v>
      </c>
      <c r="C195" s="56" t="s">
        <v>1936</v>
      </c>
      <c r="D195" s="57" t="s">
        <v>1937</v>
      </c>
      <c r="E195" s="56">
        <v>99</v>
      </c>
      <c r="F195" s="56">
        <v>63</v>
      </c>
      <c r="G195" s="56">
        <v>69</v>
      </c>
      <c r="H195" s="56">
        <v>47</v>
      </c>
      <c r="I195" s="56">
        <v>62</v>
      </c>
      <c r="J195" s="56">
        <v>70</v>
      </c>
      <c r="K195" s="52">
        <f t="shared" si="8"/>
        <v>410</v>
      </c>
      <c r="L195" s="27">
        <f t="shared" si="9"/>
        <v>56</v>
      </c>
      <c r="M195" s="62">
        <f t="shared" ref="M195:M258" si="10">RANK(K195,$K$3:$K$953)</f>
        <v>922</v>
      </c>
      <c r="N195" s="63" t="s">
        <v>17</v>
      </c>
      <c r="O195" s="26" t="s">
        <v>42</v>
      </c>
    </row>
    <row r="196" spans="1:15" ht="16.5" customHeight="1">
      <c r="A196" s="56" t="s">
        <v>2434</v>
      </c>
      <c r="B196" s="57" t="s">
        <v>150</v>
      </c>
      <c r="C196" s="56" t="s">
        <v>1910</v>
      </c>
      <c r="D196" s="57" t="s">
        <v>1911</v>
      </c>
      <c r="E196" s="56">
        <v>83</v>
      </c>
      <c r="F196" s="56">
        <v>67</v>
      </c>
      <c r="G196" s="56">
        <v>70.5</v>
      </c>
      <c r="H196" s="56">
        <v>77</v>
      </c>
      <c r="I196" s="56">
        <v>78</v>
      </c>
      <c r="J196" s="56">
        <v>47</v>
      </c>
      <c r="K196" s="52">
        <f t="shared" ref="K196:K259" si="11">SUM(E196:J196)</f>
        <v>422.5</v>
      </c>
      <c r="L196" s="27">
        <f t="shared" si="9"/>
        <v>54</v>
      </c>
      <c r="M196" s="62">
        <f t="shared" si="10"/>
        <v>909</v>
      </c>
      <c r="N196" s="63" t="s">
        <v>17</v>
      </c>
      <c r="O196" s="26" t="s">
        <v>44</v>
      </c>
    </row>
    <row r="197" spans="1:15" ht="16.5" customHeight="1">
      <c r="A197" s="56" t="s">
        <v>2435</v>
      </c>
      <c r="B197" s="57" t="s">
        <v>150</v>
      </c>
      <c r="C197" s="56" t="s">
        <v>400</v>
      </c>
      <c r="D197" s="57" t="s">
        <v>401</v>
      </c>
      <c r="E197" s="56">
        <v>113</v>
      </c>
      <c r="F197" s="56">
        <v>110</v>
      </c>
      <c r="G197" s="56">
        <v>124</v>
      </c>
      <c r="H197" s="56">
        <v>74</v>
      </c>
      <c r="I197" s="56">
        <v>87</v>
      </c>
      <c r="J197" s="56">
        <v>80</v>
      </c>
      <c r="K197" s="52">
        <f t="shared" si="11"/>
        <v>588</v>
      </c>
      <c r="L197" s="27">
        <f t="shared" si="9"/>
        <v>6</v>
      </c>
      <c r="M197" s="62">
        <f t="shared" si="10"/>
        <v>152</v>
      </c>
      <c r="N197" s="63"/>
      <c r="O197" s="26" t="s">
        <v>44</v>
      </c>
    </row>
    <row r="198" spans="1:15" ht="16.5" customHeight="1">
      <c r="A198" s="56" t="s">
        <v>2436</v>
      </c>
      <c r="B198" s="57" t="s">
        <v>150</v>
      </c>
      <c r="C198" s="56" t="s">
        <v>1806</v>
      </c>
      <c r="D198" s="57" t="s">
        <v>1807</v>
      </c>
      <c r="E198" s="56">
        <v>85</v>
      </c>
      <c r="F198" s="56">
        <v>100</v>
      </c>
      <c r="G198" s="56">
        <v>83.5</v>
      </c>
      <c r="H198" s="56">
        <v>49</v>
      </c>
      <c r="I198" s="56">
        <v>77</v>
      </c>
      <c r="J198" s="56">
        <v>49</v>
      </c>
      <c r="K198" s="52">
        <f t="shared" si="11"/>
        <v>443.5</v>
      </c>
      <c r="L198" s="27">
        <f t="shared" si="9"/>
        <v>52</v>
      </c>
      <c r="M198" s="62">
        <f t="shared" si="10"/>
        <v>854</v>
      </c>
      <c r="N198" s="63" t="s">
        <v>17</v>
      </c>
      <c r="O198" s="26" t="s">
        <v>42</v>
      </c>
    </row>
    <row r="199" spans="1:15" ht="16.5" customHeight="1">
      <c r="A199" s="56" t="s">
        <v>2437</v>
      </c>
      <c r="B199" s="57" t="s">
        <v>150</v>
      </c>
      <c r="C199" s="56" t="s">
        <v>1962</v>
      </c>
      <c r="D199" s="57" t="s">
        <v>1963</v>
      </c>
      <c r="E199" s="56">
        <v>73</v>
      </c>
      <c r="F199" s="56">
        <v>104</v>
      </c>
      <c r="G199" s="56">
        <v>65.5</v>
      </c>
      <c r="H199" s="56">
        <v>32</v>
      </c>
      <c r="I199" s="56">
        <v>63</v>
      </c>
      <c r="J199" s="56">
        <v>52</v>
      </c>
      <c r="K199" s="52">
        <f t="shared" si="11"/>
        <v>389.5</v>
      </c>
      <c r="L199" s="27">
        <f t="shared" si="9"/>
        <v>57</v>
      </c>
      <c r="M199" s="62">
        <f t="shared" si="10"/>
        <v>935</v>
      </c>
      <c r="N199" s="63" t="s">
        <v>17</v>
      </c>
      <c r="O199" s="26" t="s">
        <v>2243</v>
      </c>
    </row>
    <row r="200" spans="1:15" ht="16.5" customHeight="1">
      <c r="A200" s="56" t="s">
        <v>2438</v>
      </c>
      <c r="B200" s="57" t="s">
        <v>150</v>
      </c>
      <c r="C200" s="56" t="s">
        <v>940</v>
      </c>
      <c r="D200" s="57" t="s">
        <v>941</v>
      </c>
      <c r="E200" s="56">
        <v>103</v>
      </c>
      <c r="F200" s="56">
        <v>105</v>
      </c>
      <c r="G200" s="56">
        <v>95</v>
      </c>
      <c r="H200" s="56">
        <v>64</v>
      </c>
      <c r="I200" s="56">
        <v>86</v>
      </c>
      <c r="J200" s="56">
        <v>79</v>
      </c>
      <c r="K200" s="52">
        <f t="shared" si="11"/>
        <v>532</v>
      </c>
      <c r="L200" s="27">
        <f t="shared" si="9"/>
        <v>29</v>
      </c>
      <c r="M200" s="62">
        <f t="shared" si="10"/>
        <v>422</v>
      </c>
      <c r="N200" s="63" t="s">
        <v>17</v>
      </c>
      <c r="O200" s="26" t="s">
        <v>2243</v>
      </c>
    </row>
    <row r="201" spans="1:15" ht="16.5" customHeight="1">
      <c r="A201" s="56" t="s">
        <v>2439</v>
      </c>
      <c r="B201" s="57" t="s">
        <v>150</v>
      </c>
      <c r="C201" s="56" t="s">
        <v>1234</v>
      </c>
      <c r="D201" s="57" t="s">
        <v>1235</v>
      </c>
      <c r="E201" s="56">
        <v>102</v>
      </c>
      <c r="F201" s="56">
        <v>88</v>
      </c>
      <c r="G201" s="56">
        <v>113.5</v>
      </c>
      <c r="H201" s="56">
        <v>61</v>
      </c>
      <c r="I201" s="56">
        <v>81</v>
      </c>
      <c r="J201" s="56">
        <v>66</v>
      </c>
      <c r="K201" s="52">
        <f t="shared" si="11"/>
        <v>511.5</v>
      </c>
      <c r="L201" s="27">
        <f t="shared" si="9"/>
        <v>37</v>
      </c>
      <c r="M201" s="62">
        <f t="shared" si="10"/>
        <v>565</v>
      </c>
      <c r="N201" s="63" t="s">
        <v>17</v>
      </c>
      <c r="O201" s="26" t="s">
        <v>2243</v>
      </c>
    </row>
    <row r="202" spans="1:15" ht="16.5" customHeight="1">
      <c r="A202" s="56" t="s">
        <v>2440</v>
      </c>
      <c r="B202" s="57" t="s">
        <v>150</v>
      </c>
      <c r="C202" s="56" t="s">
        <v>228</v>
      </c>
      <c r="D202" s="57" t="s">
        <v>229</v>
      </c>
      <c r="E202" s="56">
        <v>117</v>
      </c>
      <c r="F202" s="56">
        <v>121</v>
      </c>
      <c r="G202" s="56">
        <v>116</v>
      </c>
      <c r="H202" s="56">
        <v>80</v>
      </c>
      <c r="I202" s="56">
        <v>95</v>
      </c>
      <c r="J202" s="56">
        <v>84</v>
      </c>
      <c r="K202" s="52">
        <f t="shared" si="11"/>
        <v>613</v>
      </c>
      <c r="L202" s="27">
        <f t="shared" si="9"/>
        <v>3</v>
      </c>
      <c r="M202" s="62">
        <f t="shared" si="10"/>
        <v>64</v>
      </c>
      <c r="N202" s="63" t="s">
        <v>16</v>
      </c>
      <c r="O202" s="26" t="s">
        <v>2243</v>
      </c>
    </row>
    <row r="203" spans="1:15" ht="16.5" customHeight="1">
      <c r="A203" s="56" t="s">
        <v>2441</v>
      </c>
      <c r="B203" s="57" t="s">
        <v>150</v>
      </c>
      <c r="C203" s="56" t="s">
        <v>1916</v>
      </c>
      <c r="D203" s="57" t="s">
        <v>1917</v>
      </c>
      <c r="E203" s="56">
        <v>96</v>
      </c>
      <c r="F203" s="56">
        <v>62</v>
      </c>
      <c r="G203" s="56">
        <v>89.5</v>
      </c>
      <c r="H203" s="56">
        <v>45</v>
      </c>
      <c r="I203" s="56">
        <v>72</v>
      </c>
      <c r="J203" s="56">
        <v>56</v>
      </c>
      <c r="K203" s="52">
        <f t="shared" si="11"/>
        <v>420.5</v>
      </c>
      <c r="L203" s="27">
        <f t="shared" si="9"/>
        <v>55</v>
      </c>
      <c r="M203" s="62">
        <f t="shared" si="10"/>
        <v>912</v>
      </c>
      <c r="N203" s="63" t="s">
        <v>17</v>
      </c>
      <c r="O203" s="26" t="s">
        <v>2243</v>
      </c>
    </row>
    <row r="204" spans="1:15" ht="16.5" customHeight="1">
      <c r="A204" s="56" t="s">
        <v>2442</v>
      </c>
      <c r="B204" s="57" t="s">
        <v>150</v>
      </c>
      <c r="C204" s="56" t="s">
        <v>1320</v>
      </c>
      <c r="D204" s="57" t="s">
        <v>1321</v>
      </c>
      <c r="E204" s="56">
        <v>105</v>
      </c>
      <c r="F204" s="56">
        <v>85</v>
      </c>
      <c r="G204" s="56">
        <v>105.5</v>
      </c>
      <c r="H204" s="56">
        <v>62</v>
      </c>
      <c r="I204" s="56">
        <v>79</v>
      </c>
      <c r="J204" s="56">
        <v>68</v>
      </c>
      <c r="K204" s="52">
        <f t="shared" si="11"/>
        <v>504.5</v>
      </c>
      <c r="L204" s="27">
        <f t="shared" si="9"/>
        <v>42</v>
      </c>
      <c r="M204" s="62">
        <f t="shared" si="10"/>
        <v>612</v>
      </c>
      <c r="N204" s="63" t="s">
        <v>16</v>
      </c>
      <c r="O204" s="26" t="s">
        <v>44</v>
      </c>
    </row>
    <row r="205" spans="1:15" ht="16.5" customHeight="1">
      <c r="A205" s="56" t="s">
        <v>2443</v>
      </c>
      <c r="B205" s="57" t="s">
        <v>150</v>
      </c>
      <c r="C205" s="56" t="s">
        <v>599</v>
      </c>
      <c r="D205" s="57" t="s">
        <v>600</v>
      </c>
      <c r="E205" s="56">
        <v>97</v>
      </c>
      <c r="F205" s="56">
        <v>120</v>
      </c>
      <c r="G205" s="56">
        <v>104.5</v>
      </c>
      <c r="H205" s="56">
        <v>77</v>
      </c>
      <c r="I205" s="56">
        <v>87</v>
      </c>
      <c r="J205" s="56">
        <v>80</v>
      </c>
      <c r="K205" s="52">
        <f t="shared" si="11"/>
        <v>565.5</v>
      </c>
      <c r="L205" s="27">
        <f t="shared" si="9"/>
        <v>14</v>
      </c>
      <c r="M205" s="62">
        <f t="shared" si="10"/>
        <v>253</v>
      </c>
      <c r="N205" s="63" t="s">
        <v>16</v>
      </c>
      <c r="O205" s="26" t="s">
        <v>2243</v>
      </c>
    </row>
    <row r="206" spans="1:15" ht="16.5" customHeight="1">
      <c r="A206" s="56" t="s">
        <v>2444</v>
      </c>
      <c r="B206" s="57" t="s">
        <v>150</v>
      </c>
      <c r="C206" s="56" t="s">
        <v>1594</v>
      </c>
      <c r="D206" s="57" t="s">
        <v>1595</v>
      </c>
      <c r="E206" s="56">
        <v>110</v>
      </c>
      <c r="F206" s="56">
        <v>95</v>
      </c>
      <c r="G206" s="56">
        <v>89.5</v>
      </c>
      <c r="H206" s="56">
        <v>42</v>
      </c>
      <c r="I206" s="56">
        <v>79</v>
      </c>
      <c r="J206" s="56">
        <v>61</v>
      </c>
      <c r="K206" s="52">
        <f t="shared" si="11"/>
        <v>476.5</v>
      </c>
      <c r="L206" s="27">
        <f t="shared" si="9"/>
        <v>46</v>
      </c>
      <c r="M206" s="62">
        <f t="shared" si="10"/>
        <v>750</v>
      </c>
      <c r="N206" s="63" t="s">
        <v>16</v>
      </c>
      <c r="O206" s="26" t="s">
        <v>44</v>
      </c>
    </row>
    <row r="207" spans="1:15" ht="16.5" customHeight="1">
      <c r="A207" s="56" t="s">
        <v>2445</v>
      </c>
      <c r="B207" s="57" t="s">
        <v>150</v>
      </c>
      <c r="C207" s="56" t="s">
        <v>543</v>
      </c>
      <c r="D207" s="57" t="s">
        <v>544</v>
      </c>
      <c r="E207" s="56">
        <v>106</v>
      </c>
      <c r="F207" s="56">
        <v>120</v>
      </c>
      <c r="G207" s="56">
        <v>120</v>
      </c>
      <c r="H207" s="56">
        <v>67</v>
      </c>
      <c r="I207" s="56">
        <v>92</v>
      </c>
      <c r="J207" s="56">
        <v>68</v>
      </c>
      <c r="K207" s="52">
        <f t="shared" si="11"/>
        <v>573</v>
      </c>
      <c r="L207" s="27">
        <f t="shared" si="9"/>
        <v>10</v>
      </c>
      <c r="M207" s="62">
        <f t="shared" si="10"/>
        <v>224</v>
      </c>
      <c r="N207" s="63" t="s">
        <v>16</v>
      </c>
      <c r="O207" s="26" t="s">
        <v>2243</v>
      </c>
    </row>
    <row r="208" spans="1:15" ht="16.5" customHeight="1">
      <c r="A208" s="56" t="s">
        <v>2446</v>
      </c>
      <c r="B208" s="57" t="s">
        <v>150</v>
      </c>
      <c r="C208" s="56" t="s">
        <v>1048</v>
      </c>
      <c r="D208" s="57" t="s">
        <v>1049</v>
      </c>
      <c r="E208" s="56">
        <v>106</v>
      </c>
      <c r="F208" s="56">
        <v>96</v>
      </c>
      <c r="G208" s="56">
        <v>112.5</v>
      </c>
      <c r="H208" s="56">
        <v>39</v>
      </c>
      <c r="I208" s="56">
        <v>93</v>
      </c>
      <c r="J208" s="56">
        <v>77</v>
      </c>
      <c r="K208" s="52">
        <f t="shared" si="11"/>
        <v>523.5</v>
      </c>
      <c r="L208" s="27">
        <f t="shared" si="9"/>
        <v>32</v>
      </c>
      <c r="M208" s="62">
        <f t="shared" si="10"/>
        <v>475</v>
      </c>
      <c r="N208" s="63" t="s">
        <v>17</v>
      </c>
      <c r="O208" s="26" t="s">
        <v>2243</v>
      </c>
    </row>
    <row r="209" spans="1:15" ht="16.5" customHeight="1">
      <c r="A209" s="56" t="s">
        <v>2447</v>
      </c>
      <c r="B209" s="57" t="s">
        <v>150</v>
      </c>
      <c r="C209" s="56" t="s">
        <v>1034</v>
      </c>
      <c r="D209" s="57" t="s">
        <v>1035</v>
      </c>
      <c r="E209" s="56">
        <v>91</v>
      </c>
      <c r="F209" s="56">
        <v>136</v>
      </c>
      <c r="G209" s="56">
        <v>48.5</v>
      </c>
      <c r="H209" s="56">
        <v>78</v>
      </c>
      <c r="I209" s="56">
        <v>97</v>
      </c>
      <c r="J209" s="56">
        <v>74</v>
      </c>
      <c r="K209" s="52">
        <f t="shared" si="11"/>
        <v>524.5</v>
      </c>
      <c r="L209" s="27">
        <f t="shared" si="9"/>
        <v>31</v>
      </c>
      <c r="M209" s="62">
        <f t="shared" si="10"/>
        <v>470</v>
      </c>
      <c r="N209" s="63" t="s">
        <v>17</v>
      </c>
      <c r="O209" s="26" t="s">
        <v>2243</v>
      </c>
    </row>
    <row r="210" spans="1:15" ht="16.5" customHeight="1">
      <c r="A210" s="56" t="s">
        <v>2448</v>
      </c>
      <c r="B210" s="57" t="s">
        <v>150</v>
      </c>
      <c r="C210" s="56" t="s">
        <v>1348</v>
      </c>
      <c r="D210" s="56" t="s">
        <v>1349</v>
      </c>
      <c r="E210" s="56">
        <v>81</v>
      </c>
      <c r="F210" s="56">
        <v>97</v>
      </c>
      <c r="G210" s="56">
        <v>103.5</v>
      </c>
      <c r="H210" s="56">
        <v>69</v>
      </c>
      <c r="I210" s="56">
        <v>92</v>
      </c>
      <c r="J210" s="56">
        <v>59</v>
      </c>
      <c r="K210" s="52">
        <f t="shared" si="11"/>
        <v>501.5</v>
      </c>
      <c r="L210" s="27">
        <f t="shared" si="9"/>
        <v>43</v>
      </c>
      <c r="M210" s="62">
        <f t="shared" si="10"/>
        <v>628</v>
      </c>
      <c r="N210" s="63" t="s">
        <v>16</v>
      </c>
      <c r="O210" s="26" t="s">
        <v>2243</v>
      </c>
    </row>
    <row r="211" spans="1:15" ht="16.5" customHeight="1">
      <c r="A211" s="56" t="s">
        <v>2449</v>
      </c>
      <c r="B211" s="57" t="s">
        <v>150</v>
      </c>
      <c r="C211" s="56" t="s">
        <v>394</v>
      </c>
      <c r="D211" s="57" t="s">
        <v>395</v>
      </c>
      <c r="E211" s="56">
        <v>110</v>
      </c>
      <c r="F211" s="56">
        <v>134</v>
      </c>
      <c r="G211" s="56">
        <v>99.5</v>
      </c>
      <c r="H211" s="56">
        <v>70</v>
      </c>
      <c r="I211" s="56">
        <v>96</v>
      </c>
      <c r="J211" s="56">
        <v>79</v>
      </c>
      <c r="K211" s="52">
        <f t="shared" si="11"/>
        <v>588.5</v>
      </c>
      <c r="L211" s="27">
        <f t="shared" si="9"/>
        <v>5</v>
      </c>
      <c r="M211" s="62">
        <f t="shared" si="10"/>
        <v>146</v>
      </c>
      <c r="N211" s="63" t="s">
        <v>16</v>
      </c>
      <c r="O211" s="26" t="s">
        <v>2243</v>
      </c>
    </row>
    <row r="212" spans="1:15" ht="16.5" customHeight="1">
      <c r="A212" s="56" t="s">
        <v>2450</v>
      </c>
      <c r="B212" s="57" t="s">
        <v>150</v>
      </c>
      <c r="C212" s="56" t="s">
        <v>902</v>
      </c>
      <c r="D212" s="57" t="s">
        <v>903</v>
      </c>
      <c r="E212" s="56">
        <v>104</v>
      </c>
      <c r="F212" s="56">
        <v>79</v>
      </c>
      <c r="G212" s="56">
        <v>127.5</v>
      </c>
      <c r="H212" s="56">
        <v>59</v>
      </c>
      <c r="I212" s="56">
        <v>94</v>
      </c>
      <c r="J212" s="56">
        <v>73</v>
      </c>
      <c r="K212" s="52">
        <f t="shared" si="11"/>
        <v>536.5</v>
      </c>
      <c r="L212" s="27">
        <f t="shared" si="9"/>
        <v>28</v>
      </c>
      <c r="M212" s="62">
        <f t="shared" si="10"/>
        <v>405</v>
      </c>
      <c r="N212" s="63" t="s">
        <v>17</v>
      </c>
      <c r="O212" s="26" t="s">
        <v>2243</v>
      </c>
    </row>
    <row r="213" spans="1:15" ht="16.5" customHeight="1">
      <c r="A213" s="56" t="s">
        <v>2451</v>
      </c>
      <c r="B213" s="57" t="s">
        <v>150</v>
      </c>
      <c r="C213" s="56" t="s">
        <v>1490</v>
      </c>
      <c r="D213" s="57" t="s">
        <v>1491</v>
      </c>
      <c r="E213" s="56">
        <v>100</v>
      </c>
      <c r="F213" s="56">
        <v>76</v>
      </c>
      <c r="G213" s="56">
        <v>128</v>
      </c>
      <c r="H213" s="56">
        <v>39</v>
      </c>
      <c r="I213" s="56">
        <v>75</v>
      </c>
      <c r="J213" s="56">
        <v>71</v>
      </c>
      <c r="K213" s="52">
        <f t="shared" si="11"/>
        <v>489</v>
      </c>
      <c r="L213" s="27">
        <f t="shared" si="9"/>
        <v>45</v>
      </c>
      <c r="M213" s="62">
        <f t="shared" si="10"/>
        <v>697</v>
      </c>
      <c r="N213" s="63"/>
      <c r="O213" s="26" t="s">
        <v>44</v>
      </c>
    </row>
    <row r="214" spans="1:15" ht="16.5" customHeight="1">
      <c r="A214" s="56" t="s">
        <v>2452</v>
      </c>
      <c r="B214" s="57" t="s">
        <v>150</v>
      </c>
      <c r="C214" s="56" t="s">
        <v>790</v>
      </c>
      <c r="D214" s="57" t="s">
        <v>791</v>
      </c>
      <c r="E214" s="56">
        <v>111</v>
      </c>
      <c r="F214" s="56">
        <v>96</v>
      </c>
      <c r="G214" s="56">
        <v>120.5</v>
      </c>
      <c r="H214" s="56">
        <v>74</v>
      </c>
      <c r="I214" s="56">
        <v>76</v>
      </c>
      <c r="J214" s="56">
        <v>69</v>
      </c>
      <c r="K214" s="52">
        <f t="shared" si="11"/>
        <v>546.5</v>
      </c>
      <c r="L214" s="27">
        <f t="shared" si="9"/>
        <v>26</v>
      </c>
      <c r="M214" s="62">
        <f t="shared" si="10"/>
        <v>349</v>
      </c>
      <c r="N214" s="63" t="s">
        <v>16</v>
      </c>
      <c r="O214" s="26" t="s">
        <v>44</v>
      </c>
    </row>
    <row r="215" spans="1:15" ht="16.5" customHeight="1">
      <c r="A215" s="56" t="s">
        <v>2453</v>
      </c>
      <c r="B215" s="57" t="s">
        <v>150</v>
      </c>
      <c r="C215" s="56" t="s">
        <v>523</v>
      </c>
      <c r="D215" s="57" t="s">
        <v>524</v>
      </c>
      <c r="E215" s="56">
        <v>104</v>
      </c>
      <c r="F215" s="56">
        <v>128</v>
      </c>
      <c r="G215" s="56">
        <v>95.5</v>
      </c>
      <c r="H215" s="56">
        <v>78</v>
      </c>
      <c r="I215" s="56">
        <v>92</v>
      </c>
      <c r="J215" s="56">
        <v>77</v>
      </c>
      <c r="K215" s="52">
        <f t="shared" si="11"/>
        <v>574.5</v>
      </c>
      <c r="L215" s="27">
        <f t="shared" si="9"/>
        <v>8</v>
      </c>
      <c r="M215" s="62">
        <f t="shared" si="10"/>
        <v>213</v>
      </c>
      <c r="N215" s="63" t="s">
        <v>16</v>
      </c>
      <c r="O215" s="26" t="s">
        <v>2243</v>
      </c>
    </row>
    <row r="216" spans="1:15" ht="16.5" customHeight="1">
      <c r="A216" s="56" t="s">
        <v>2454</v>
      </c>
      <c r="B216" s="57" t="s">
        <v>150</v>
      </c>
      <c r="C216" s="56" t="s">
        <v>699</v>
      </c>
      <c r="D216" s="57" t="s">
        <v>700</v>
      </c>
      <c r="E216" s="56">
        <v>105</v>
      </c>
      <c r="F216" s="56">
        <v>108</v>
      </c>
      <c r="G216" s="56">
        <v>116</v>
      </c>
      <c r="H216" s="56">
        <v>60</v>
      </c>
      <c r="I216" s="56">
        <v>91</v>
      </c>
      <c r="J216" s="56">
        <v>75</v>
      </c>
      <c r="K216" s="52">
        <f t="shared" si="11"/>
        <v>555</v>
      </c>
      <c r="L216" s="27">
        <f t="shared" si="9"/>
        <v>20</v>
      </c>
      <c r="M216" s="62">
        <f t="shared" si="10"/>
        <v>301</v>
      </c>
      <c r="N216" s="63" t="s">
        <v>16</v>
      </c>
      <c r="O216" s="26" t="s">
        <v>44</v>
      </c>
    </row>
    <row r="217" spans="1:15" ht="16.5" customHeight="1">
      <c r="A217" s="56" t="s">
        <v>2455</v>
      </c>
      <c r="B217" s="57" t="s">
        <v>150</v>
      </c>
      <c r="C217" s="56" t="s">
        <v>191</v>
      </c>
      <c r="D217" s="57" t="s">
        <v>192</v>
      </c>
      <c r="E217" s="56">
        <v>117</v>
      </c>
      <c r="F217" s="56">
        <v>114</v>
      </c>
      <c r="G217" s="56">
        <v>136</v>
      </c>
      <c r="H217" s="56">
        <v>80</v>
      </c>
      <c r="I217" s="56">
        <v>93</v>
      </c>
      <c r="J217" s="56">
        <v>82</v>
      </c>
      <c r="K217" s="52">
        <f t="shared" si="11"/>
        <v>622</v>
      </c>
      <c r="L217" s="27">
        <f t="shared" si="9"/>
        <v>2</v>
      </c>
      <c r="M217" s="62">
        <f t="shared" si="10"/>
        <v>49</v>
      </c>
      <c r="N217" s="63" t="s">
        <v>16</v>
      </c>
      <c r="O217" s="26" t="s">
        <v>42</v>
      </c>
    </row>
    <row r="218" spans="1:15" ht="16.5" customHeight="1">
      <c r="A218" s="56" t="s">
        <v>2456</v>
      </c>
      <c r="B218" s="57" t="s">
        <v>150</v>
      </c>
      <c r="C218" s="56" t="s">
        <v>148</v>
      </c>
      <c r="D218" s="57" t="s">
        <v>149</v>
      </c>
      <c r="E218" s="56">
        <v>104</v>
      </c>
      <c r="F218" s="56">
        <v>136</v>
      </c>
      <c r="G218" s="56">
        <v>117</v>
      </c>
      <c r="H218" s="56">
        <v>95</v>
      </c>
      <c r="I218" s="56">
        <v>98</v>
      </c>
      <c r="J218" s="56">
        <v>84</v>
      </c>
      <c r="K218" s="52">
        <f t="shared" si="11"/>
        <v>634</v>
      </c>
      <c r="L218" s="27">
        <f t="shared" si="9"/>
        <v>1</v>
      </c>
      <c r="M218" s="62">
        <f t="shared" si="10"/>
        <v>29</v>
      </c>
      <c r="N218" s="63" t="s">
        <v>16</v>
      </c>
      <c r="O218" s="26" t="s">
        <v>2243</v>
      </c>
    </row>
    <row r="219" spans="1:15" ht="15.75" customHeight="1">
      <c r="A219" s="56" t="s">
        <v>2457</v>
      </c>
      <c r="B219" s="57" t="s">
        <v>150</v>
      </c>
      <c r="C219" s="59" t="s">
        <v>1640</v>
      </c>
      <c r="D219" s="57" t="s">
        <v>1641</v>
      </c>
      <c r="E219" s="56">
        <v>97</v>
      </c>
      <c r="F219" s="56">
        <v>111</v>
      </c>
      <c r="G219" s="56">
        <v>87.5</v>
      </c>
      <c r="H219" s="56">
        <v>55</v>
      </c>
      <c r="I219" s="56">
        <v>67</v>
      </c>
      <c r="J219" s="56">
        <v>54</v>
      </c>
      <c r="K219" s="52">
        <f t="shared" si="11"/>
        <v>471.5</v>
      </c>
      <c r="L219" s="27">
        <f t="shared" si="9"/>
        <v>48</v>
      </c>
      <c r="M219" s="62">
        <f t="shared" si="10"/>
        <v>774</v>
      </c>
      <c r="N219" s="63" t="s">
        <v>17</v>
      </c>
      <c r="O219" s="26" t="s">
        <v>2243</v>
      </c>
    </row>
    <row r="220" spans="1:15" ht="15.75" customHeight="1">
      <c r="A220" s="56" t="s">
        <v>2458</v>
      </c>
      <c r="B220" s="57" t="s">
        <v>150</v>
      </c>
      <c r="C220" s="59" t="s">
        <v>1706</v>
      </c>
      <c r="D220" s="57" t="s">
        <v>1707</v>
      </c>
      <c r="E220" s="56">
        <v>91</v>
      </c>
      <c r="F220" s="56">
        <v>70</v>
      </c>
      <c r="G220" s="56">
        <v>112.5</v>
      </c>
      <c r="H220" s="56">
        <v>52</v>
      </c>
      <c r="I220" s="56">
        <v>65</v>
      </c>
      <c r="J220" s="56">
        <v>73</v>
      </c>
      <c r="K220" s="52">
        <f t="shared" si="11"/>
        <v>463.5</v>
      </c>
      <c r="L220" s="27">
        <f t="shared" si="9"/>
        <v>49</v>
      </c>
      <c r="M220" s="62">
        <f t="shared" si="10"/>
        <v>804</v>
      </c>
      <c r="N220" s="63" t="s">
        <v>16</v>
      </c>
      <c r="O220" s="26" t="s">
        <v>44</v>
      </c>
    </row>
    <row r="221" spans="1:15" ht="15.75" customHeight="1">
      <c r="A221" s="56" t="s">
        <v>2459</v>
      </c>
      <c r="B221" s="57" t="s">
        <v>150</v>
      </c>
      <c r="C221" s="59" t="s">
        <v>661</v>
      </c>
      <c r="D221" s="57" t="s">
        <v>662</v>
      </c>
      <c r="E221" s="56">
        <v>109</v>
      </c>
      <c r="F221" s="56">
        <v>99</v>
      </c>
      <c r="G221" s="56">
        <v>125.5</v>
      </c>
      <c r="H221" s="56">
        <v>59</v>
      </c>
      <c r="I221" s="56">
        <v>91</v>
      </c>
      <c r="J221" s="56">
        <v>75</v>
      </c>
      <c r="K221" s="52">
        <f t="shared" si="11"/>
        <v>558.5</v>
      </c>
      <c r="L221" s="27">
        <f t="shared" si="9"/>
        <v>17</v>
      </c>
      <c r="M221" s="62">
        <f t="shared" si="10"/>
        <v>284</v>
      </c>
      <c r="N221" s="63" t="s">
        <v>16</v>
      </c>
      <c r="O221" s="26" t="s">
        <v>42</v>
      </c>
    </row>
    <row r="222" spans="1:15" ht="15.75" customHeight="1">
      <c r="A222" s="56" t="s">
        <v>2460</v>
      </c>
      <c r="B222" s="57" t="s">
        <v>150</v>
      </c>
      <c r="C222" s="59" t="s">
        <v>539</v>
      </c>
      <c r="D222" s="57" t="s">
        <v>540</v>
      </c>
      <c r="E222" s="56">
        <v>114</v>
      </c>
      <c r="F222" s="56">
        <v>110</v>
      </c>
      <c r="G222" s="56">
        <v>110.5</v>
      </c>
      <c r="H222" s="56">
        <v>68</v>
      </c>
      <c r="I222" s="56">
        <v>92</v>
      </c>
      <c r="J222" s="56">
        <v>79</v>
      </c>
      <c r="K222" s="52">
        <f t="shared" si="11"/>
        <v>573.5</v>
      </c>
      <c r="L222" s="27">
        <f t="shared" si="9"/>
        <v>9</v>
      </c>
      <c r="M222" s="62">
        <f t="shared" si="10"/>
        <v>221</v>
      </c>
      <c r="N222" s="63" t="s">
        <v>16</v>
      </c>
      <c r="O222" s="26" t="s">
        <v>44</v>
      </c>
    </row>
    <row r="223" spans="1:15" ht="15.75" customHeight="1">
      <c r="A223" s="56" t="s">
        <v>2461</v>
      </c>
      <c r="B223" s="57" t="s">
        <v>150</v>
      </c>
      <c r="C223" s="59" t="s">
        <v>1242</v>
      </c>
      <c r="D223" s="57" t="s">
        <v>1243</v>
      </c>
      <c r="E223" s="56">
        <v>91</v>
      </c>
      <c r="F223" s="56">
        <v>126</v>
      </c>
      <c r="G223" s="56">
        <v>56.5</v>
      </c>
      <c r="H223" s="56">
        <v>83</v>
      </c>
      <c r="I223" s="56">
        <v>87</v>
      </c>
      <c r="J223" s="56">
        <v>67</v>
      </c>
      <c r="K223" s="52">
        <f t="shared" si="11"/>
        <v>510.5</v>
      </c>
      <c r="L223" s="27">
        <f t="shared" si="9"/>
        <v>38</v>
      </c>
      <c r="M223" s="62">
        <f t="shared" si="10"/>
        <v>573</v>
      </c>
      <c r="N223" s="63" t="s">
        <v>17</v>
      </c>
      <c r="O223" s="26" t="s">
        <v>2243</v>
      </c>
    </row>
    <row r="224" spans="1:15" ht="15.75" customHeight="1">
      <c r="A224" s="56" t="s">
        <v>2462</v>
      </c>
      <c r="B224" s="57" t="s">
        <v>150</v>
      </c>
      <c r="C224" s="59" t="s">
        <v>1722</v>
      </c>
      <c r="D224" s="57" t="s">
        <v>1723</v>
      </c>
      <c r="E224" s="56">
        <v>100</v>
      </c>
      <c r="F224" s="56">
        <v>63</v>
      </c>
      <c r="G224" s="56">
        <v>90.5</v>
      </c>
      <c r="H224" s="56">
        <v>61</v>
      </c>
      <c r="I224" s="56">
        <v>73</v>
      </c>
      <c r="J224" s="56">
        <v>74</v>
      </c>
      <c r="K224" s="52">
        <f t="shared" si="11"/>
        <v>461.5</v>
      </c>
      <c r="L224" s="27">
        <f t="shared" si="9"/>
        <v>50</v>
      </c>
      <c r="M224" s="62">
        <f t="shared" si="10"/>
        <v>815</v>
      </c>
      <c r="N224" s="63" t="s">
        <v>16</v>
      </c>
      <c r="O224" s="26" t="s">
        <v>2243</v>
      </c>
    </row>
    <row r="225" spans="1:15" ht="15.75" customHeight="1">
      <c r="A225" s="56" t="s">
        <v>2463</v>
      </c>
      <c r="B225" s="57" t="s">
        <v>150</v>
      </c>
      <c r="C225" s="59" t="s">
        <v>1062</v>
      </c>
      <c r="D225" s="57" t="s">
        <v>1063</v>
      </c>
      <c r="E225" s="56">
        <v>111</v>
      </c>
      <c r="F225" s="56">
        <v>103</v>
      </c>
      <c r="G225" s="56">
        <v>105</v>
      </c>
      <c r="H225" s="56">
        <v>60</v>
      </c>
      <c r="I225" s="56">
        <v>79</v>
      </c>
      <c r="J225" s="56">
        <v>65</v>
      </c>
      <c r="K225" s="52">
        <f t="shared" si="11"/>
        <v>523</v>
      </c>
      <c r="L225" s="27">
        <f t="shared" si="9"/>
        <v>33</v>
      </c>
      <c r="M225" s="62">
        <f t="shared" si="10"/>
        <v>481</v>
      </c>
      <c r="N225" s="63" t="s">
        <v>16</v>
      </c>
      <c r="O225" s="26" t="s">
        <v>2243</v>
      </c>
    </row>
    <row r="226" spans="1:15" ht="15.75" customHeight="1">
      <c r="A226" s="56" t="s">
        <v>2464</v>
      </c>
      <c r="B226" s="57" t="s">
        <v>150</v>
      </c>
      <c r="C226" s="59" t="s">
        <v>1116</v>
      </c>
      <c r="D226" s="57" t="s">
        <v>1117</v>
      </c>
      <c r="E226" s="56">
        <v>109</v>
      </c>
      <c r="F226" s="56">
        <v>95</v>
      </c>
      <c r="G226" s="56">
        <v>106</v>
      </c>
      <c r="H226" s="56">
        <v>54</v>
      </c>
      <c r="I226" s="56">
        <v>87</v>
      </c>
      <c r="J226" s="56">
        <v>68</v>
      </c>
      <c r="K226" s="52">
        <f t="shared" si="11"/>
        <v>519</v>
      </c>
      <c r="L226" s="27">
        <f t="shared" si="9"/>
        <v>35</v>
      </c>
      <c r="M226" s="62">
        <f t="shared" si="10"/>
        <v>509</v>
      </c>
      <c r="N226" s="63" t="s">
        <v>17</v>
      </c>
      <c r="O226" s="26" t="s">
        <v>44</v>
      </c>
    </row>
    <row r="227" spans="1:15" ht="15.75" customHeight="1">
      <c r="A227" s="56" t="s">
        <v>2465</v>
      </c>
      <c r="B227" s="57" t="s">
        <v>150</v>
      </c>
      <c r="C227" s="59" t="s">
        <v>629</v>
      </c>
      <c r="D227" s="57" t="s">
        <v>630</v>
      </c>
      <c r="E227" s="56">
        <v>101</v>
      </c>
      <c r="F227" s="56">
        <v>121</v>
      </c>
      <c r="G227" s="56">
        <v>114.5</v>
      </c>
      <c r="H227" s="56">
        <v>71</v>
      </c>
      <c r="I227" s="56">
        <v>84</v>
      </c>
      <c r="J227" s="56">
        <v>72</v>
      </c>
      <c r="K227" s="52">
        <f t="shared" si="11"/>
        <v>563.5</v>
      </c>
      <c r="L227" s="27">
        <f t="shared" si="9"/>
        <v>15</v>
      </c>
      <c r="M227" s="62">
        <f t="shared" si="10"/>
        <v>263</v>
      </c>
      <c r="N227" s="63" t="s">
        <v>16</v>
      </c>
      <c r="O227" s="26" t="s">
        <v>42</v>
      </c>
    </row>
    <row r="228" spans="1:15" ht="15.75" customHeight="1">
      <c r="A228" s="56" t="s">
        <v>2466</v>
      </c>
      <c r="B228" s="57" t="s">
        <v>150</v>
      </c>
      <c r="C228" s="59" t="s">
        <v>766</v>
      </c>
      <c r="D228" s="57" t="s">
        <v>767</v>
      </c>
      <c r="E228" s="56">
        <v>100</v>
      </c>
      <c r="F228" s="56">
        <v>111</v>
      </c>
      <c r="G228" s="56">
        <v>92.5</v>
      </c>
      <c r="H228" s="56">
        <v>82</v>
      </c>
      <c r="I228" s="56">
        <v>81</v>
      </c>
      <c r="J228" s="56">
        <v>83</v>
      </c>
      <c r="K228" s="52">
        <f t="shared" si="11"/>
        <v>549.5</v>
      </c>
      <c r="L228" s="27">
        <f t="shared" si="9"/>
        <v>24</v>
      </c>
      <c r="M228" s="62">
        <f t="shared" si="10"/>
        <v>335</v>
      </c>
      <c r="N228" s="63" t="s">
        <v>17</v>
      </c>
      <c r="O228" s="26" t="s">
        <v>42</v>
      </c>
    </row>
    <row r="229" spans="1:15" ht="15.75" customHeight="1">
      <c r="A229" s="56" t="s">
        <v>2467</v>
      </c>
      <c r="B229" s="57" t="s">
        <v>150</v>
      </c>
      <c r="C229" s="59" t="s">
        <v>1360</v>
      </c>
      <c r="D229" s="57" t="s">
        <v>1361</v>
      </c>
      <c r="E229" s="56">
        <v>103</v>
      </c>
      <c r="F229" s="56">
        <v>60</v>
      </c>
      <c r="G229" s="56">
        <v>113.5</v>
      </c>
      <c r="H229" s="56">
        <v>66</v>
      </c>
      <c r="I229" s="56">
        <v>81</v>
      </c>
      <c r="J229" s="56">
        <v>77</v>
      </c>
      <c r="K229" s="52">
        <f t="shared" si="11"/>
        <v>500.5</v>
      </c>
      <c r="L229" s="27">
        <f t="shared" si="9"/>
        <v>44</v>
      </c>
      <c r="M229" s="62">
        <f t="shared" si="10"/>
        <v>633</v>
      </c>
      <c r="N229" s="63" t="s">
        <v>16</v>
      </c>
      <c r="O229" s="26" t="s">
        <v>2243</v>
      </c>
    </row>
    <row r="230" spans="1:15" ht="15.75" customHeight="1">
      <c r="A230" s="56" t="s">
        <v>2468</v>
      </c>
      <c r="B230" s="57" t="s">
        <v>150</v>
      </c>
      <c r="C230" s="59" t="s">
        <v>498</v>
      </c>
      <c r="D230" s="57" t="s">
        <v>499</v>
      </c>
      <c r="E230" s="56">
        <v>105</v>
      </c>
      <c r="F230" s="56">
        <v>115</v>
      </c>
      <c r="G230" s="56">
        <v>117.5</v>
      </c>
      <c r="H230" s="56">
        <v>80</v>
      </c>
      <c r="I230" s="56">
        <v>85</v>
      </c>
      <c r="J230" s="56">
        <v>74</v>
      </c>
      <c r="K230" s="52">
        <f t="shared" si="11"/>
        <v>576.5</v>
      </c>
      <c r="L230" s="27">
        <f t="shared" si="9"/>
        <v>7</v>
      </c>
      <c r="M230" s="62">
        <f t="shared" si="10"/>
        <v>200</v>
      </c>
      <c r="N230" s="63" t="s">
        <v>16</v>
      </c>
      <c r="O230" s="26" t="s">
        <v>44</v>
      </c>
    </row>
    <row r="231" spans="1:15" ht="15.75" customHeight="1">
      <c r="A231" s="56" t="s">
        <v>2469</v>
      </c>
      <c r="B231" s="57" t="s">
        <v>106</v>
      </c>
      <c r="C231" s="59" t="s">
        <v>1182</v>
      </c>
      <c r="D231" s="57" t="s">
        <v>1183</v>
      </c>
      <c r="E231" s="56">
        <v>107</v>
      </c>
      <c r="F231" s="56">
        <v>81</v>
      </c>
      <c r="G231" s="56">
        <v>118.5</v>
      </c>
      <c r="H231" s="56">
        <v>52</v>
      </c>
      <c r="I231" s="56">
        <v>83</v>
      </c>
      <c r="J231" s="56">
        <v>73</v>
      </c>
      <c r="K231" s="52">
        <f t="shared" si="11"/>
        <v>514.5</v>
      </c>
      <c r="L231" s="27">
        <f>RANK(K231,$K$231:$K$286)</f>
        <v>22</v>
      </c>
      <c r="M231" s="62">
        <f t="shared" si="10"/>
        <v>545</v>
      </c>
      <c r="N231" s="63" t="s">
        <v>16</v>
      </c>
      <c r="O231" s="26" t="s">
        <v>2243</v>
      </c>
    </row>
    <row r="232" spans="1:15" ht="15.75" customHeight="1">
      <c r="A232" s="56" t="s">
        <v>2470</v>
      </c>
      <c r="B232" s="57" t="s">
        <v>106</v>
      </c>
      <c r="C232" s="59" t="s">
        <v>1564</v>
      </c>
      <c r="D232" s="57" t="s">
        <v>1565</v>
      </c>
      <c r="E232" s="56">
        <v>118</v>
      </c>
      <c r="F232" s="56">
        <v>80</v>
      </c>
      <c r="G232" s="56">
        <v>92</v>
      </c>
      <c r="H232" s="56">
        <v>59</v>
      </c>
      <c r="I232" s="56">
        <v>77</v>
      </c>
      <c r="J232" s="56">
        <v>55</v>
      </c>
      <c r="K232" s="52">
        <f t="shared" si="11"/>
        <v>481</v>
      </c>
      <c r="L232" s="27">
        <f t="shared" ref="L232:L286" si="12">RANK(K232,$K$231:$K$286)</f>
        <v>38</v>
      </c>
      <c r="M232" s="62">
        <f t="shared" si="10"/>
        <v>736</v>
      </c>
      <c r="N232" s="63" t="s">
        <v>17</v>
      </c>
      <c r="O232" s="26" t="s">
        <v>2243</v>
      </c>
    </row>
    <row r="233" spans="1:15" ht="15.75" customHeight="1">
      <c r="A233" s="56" t="s">
        <v>2471</v>
      </c>
      <c r="B233" s="57" t="s">
        <v>106</v>
      </c>
      <c r="C233" s="59" t="s">
        <v>1960</v>
      </c>
      <c r="D233" s="57" t="s">
        <v>1961</v>
      </c>
      <c r="E233" s="56">
        <v>101</v>
      </c>
      <c r="F233" s="56">
        <v>45</v>
      </c>
      <c r="G233" s="56">
        <v>98.5</v>
      </c>
      <c r="H233" s="56">
        <v>33</v>
      </c>
      <c r="I233" s="56">
        <v>70</v>
      </c>
      <c r="J233" s="56">
        <v>44</v>
      </c>
      <c r="K233" s="52">
        <f t="shared" si="11"/>
        <v>391.5</v>
      </c>
      <c r="L233" s="27">
        <f t="shared" si="12"/>
        <v>55</v>
      </c>
      <c r="M233" s="62">
        <f t="shared" si="10"/>
        <v>934</v>
      </c>
      <c r="N233" s="63" t="s">
        <v>17</v>
      </c>
      <c r="O233" s="26" t="s">
        <v>2243</v>
      </c>
    </row>
    <row r="234" spans="1:15" ht="15.75" customHeight="1">
      <c r="A234" s="56" t="s">
        <v>2472</v>
      </c>
      <c r="B234" s="57" t="s">
        <v>106</v>
      </c>
      <c r="C234" s="59" t="s">
        <v>1284</v>
      </c>
      <c r="D234" s="57" t="s">
        <v>1285</v>
      </c>
      <c r="E234" s="56">
        <v>114</v>
      </c>
      <c r="F234" s="56">
        <v>85</v>
      </c>
      <c r="G234" s="56">
        <v>123</v>
      </c>
      <c r="H234" s="56">
        <v>54</v>
      </c>
      <c r="I234" s="56">
        <v>69</v>
      </c>
      <c r="J234" s="56">
        <v>62</v>
      </c>
      <c r="K234" s="52">
        <f t="shared" si="11"/>
        <v>507</v>
      </c>
      <c r="L234" s="27">
        <f t="shared" si="12"/>
        <v>26</v>
      </c>
      <c r="M234" s="62">
        <f t="shared" si="10"/>
        <v>595</v>
      </c>
      <c r="N234" s="63" t="s">
        <v>16</v>
      </c>
      <c r="O234" s="26" t="s">
        <v>2243</v>
      </c>
    </row>
    <row r="235" spans="1:15" ht="15.75" customHeight="1">
      <c r="A235" s="56" t="s">
        <v>2473</v>
      </c>
      <c r="B235" s="57" t="s">
        <v>106</v>
      </c>
      <c r="C235" s="59" t="s">
        <v>970</v>
      </c>
      <c r="D235" s="57" t="s">
        <v>971</v>
      </c>
      <c r="E235" s="56">
        <v>105</v>
      </c>
      <c r="F235" s="56">
        <v>97</v>
      </c>
      <c r="G235" s="56">
        <v>81</v>
      </c>
      <c r="H235" s="56">
        <v>84</v>
      </c>
      <c r="I235" s="56">
        <v>85</v>
      </c>
      <c r="J235" s="56">
        <v>77</v>
      </c>
      <c r="K235" s="52">
        <f t="shared" si="11"/>
        <v>529</v>
      </c>
      <c r="L235" s="27">
        <f t="shared" si="12"/>
        <v>17</v>
      </c>
      <c r="M235" s="62">
        <f t="shared" si="10"/>
        <v>439</v>
      </c>
      <c r="N235" s="63" t="s">
        <v>17</v>
      </c>
      <c r="O235" s="26" t="s">
        <v>2243</v>
      </c>
    </row>
    <row r="236" spans="1:15" ht="15.75" customHeight="1">
      <c r="A236" s="56" t="s">
        <v>2474</v>
      </c>
      <c r="B236" s="57" t="s">
        <v>106</v>
      </c>
      <c r="C236" s="59" t="s">
        <v>500</v>
      </c>
      <c r="D236" s="57" t="s">
        <v>501</v>
      </c>
      <c r="E236" s="56">
        <v>109</v>
      </c>
      <c r="F236" s="56">
        <v>127</v>
      </c>
      <c r="G236" s="56">
        <v>112</v>
      </c>
      <c r="H236" s="56">
        <v>74</v>
      </c>
      <c r="I236" s="56">
        <v>89</v>
      </c>
      <c r="J236" s="56">
        <v>65</v>
      </c>
      <c r="K236" s="52">
        <f t="shared" si="11"/>
        <v>576</v>
      </c>
      <c r="L236" s="27">
        <f t="shared" si="12"/>
        <v>9</v>
      </c>
      <c r="M236" s="62">
        <f t="shared" si="10"/>
        <v>202</v>
      </c>
      <c r="N236" s="63"/>
      <c r="O236" s="26" t="s">
        <v>44</v>
      </c>
    </row>
    <row r="237" spans="1:15" ht="15.75" customHeight="1">
      <c r="A237" s="56" t="s">
        <v>2475</v>
      </c>
      <c r="B237" s="57" t="s">
        <v>106</v>
      </c>
      <c r="C237" s="59" t="s">
        <v>496</v>
      </c>
      <c r="D237" s="57" t="s">
        <v>497</v>
      </c>
      <c r="E237" s="56">
        <v>102</v>
      </c>
      <c r="F237" s="56">
        <v>100</v>
      </c>
      <c r="G237" s="56">
        <v>127.5</v>
      </c>
      <c r="H237" s="56">
        <v>80</v>
      </c>
      <c r="I237" s="56">
        <v>91</v>
      </c>
      <c r="J237" s="56">
        <v>76</v>
      </c>
      <c r="K237" s="52">
        <f t="shared" si="11"/>
        <v>576.5</v>
      </c>
      <c r="L237" s="27">
        <f t="shared" si="12"/>
        <v>8</v>
      </c>
      <c r="M237" s="62">
        <f t="shared" si="10"/>
        <v>200</v>
      </c>
      <c r="N237" s="63" t="s">
        <v>16</v>
      </c>
      <c r="O237" s="26" t="s">
        <v>2243</v>
      </c>
    </row>
    <row r="238" spans="1:15" ht="15.75" customHeight="1">
      <c r="A238" s="56" t="s">
        <v>2476</v>
      </c>
      <c r="B238" s="57" t="s">
        <v>106</v>
      </c>
      <c r="C238" s="59" t="s">
        <v>1162</v>
      </c>
      <c r="D238" s="57" t="s">
        <v>1163</v>
      </c>
      <c r="E238" s="56">
        <v>105</v>
      </c>
      <c r="F238" s="56">
        <v>99</v>
      </c>
      <c r="G238" s="56">
        <v>104</v>
      </c>
      <c r="H238" s="56">
        <v>51</v>
      </c>
      <c r="I238" s="56">
        <v>77</v>
      </c>
      <c r="J238" s="56">
        <v>80</v>
      </c>
      <c r="K238" s="52">
        <f t="shared" si="11"/>
        <v>516</v>
      </c>
      <c r="L238" s="27">
        <f t="shared" si="12"/>
        <v>21</v>
      </c>
      <c r="M238" s="62">
        <f t="shared" si="10"/>
        <v>533</v>
      </c>
      <c r="N238" s="63" t="s">
        <v>16</v>
      </c>
      <c r="O238" s="26" t="s">
        <v>44</v>
      </c>
    </row>
    <row r="239" spans="1:15" ht="15.75" customHeight="1">
      <c r="A239" s="56" t="s">
        <v>2477</v>
      </c>
      <c r="B239" s="59" t="s">
        <v>106</v>
      </c>
      <c r="C239" s="59" t="s">
        <v>914</v>
      </c>
      <c r="D239" s="59" t="s">
        <v>915</v>
      </c>
      <c r="E239" s="56">
        <v>110</v>
      </c>
      <c r="F239" s="56">
        <v>95</v>
      </c>
      <c r="G239" s="56">
        <v>111.5</v>
      </c>
      <c r="H239" s="56">
        <v>77</v>
      </c>
      <c r="I239" s="56">
        <v>79</v>
      </c>
      <c r="J239" s="56">
        <v>62</v>
      </c>
      <c r="K239" s="52">
        <f t="shared" si="11"/>
        <v>534.5</v>
      </c>
      <c r="L239" s="27">
        <f t="shared" si="12"/>
        <v>15</v>
      </c>
      <c r="M239" s="62">
        <f t="shared" si="10"/>
        <v>411</v>
      </c>
      <c r="N239" s="63" t="s">
        <v>16</v>
      </c>
      <c r="O239" s="26" t="s">
        <v>44</v>
      </c>
    </row>
    <row r="240" spans="1:15" ht="15.75" customHeight="1">
      <c r="A240" s="56" t="s">
        <v>2478</v>
      </c>
      <c r="B240" s="57" t="s">
        <v>106</v>
      </c>
      <c r="C240" s="59" t="s">
        <v>104</v>
      </c>
      <c r="D240" s="57" t="s">
        <v>105</v>
      </c>
      <c r="E240" s="56">
        <v>114</v>
      </c>
      <c r="F240" s="56">
        <v>139</v>
      </c>
      <c r="G240" s="56">
        <v>125</v>
      </c>
      <c r="H240" s="56">
        <v>93</v>
      </c>
      <c r="I240" s="56">
        <v>100</v>
      </c>
      <c r="J240" s="56">
        <v>85</v>
      </c>
      <c r="K240" s="52">
        <f t="shared" si="11"/>
        <v>656</v>
      </c>
      <c r="L240" s="27">
        <f t="shared" si="12"/>
        <v>1</v>
      </c>
      <c r="M240" s="62">
        <f t="shared" si="10"/>
        <v>10</v>
      </c>
      <c r="N240" s="63" t="s">
        <v>16</v>
      </c>
      <c r="O240" s="26" t="s">
        <v>42</v>
      </c>
    </row>
    <row r="241" spans="1:15" ht="15.75" customHeight="1">
      <c r="A241" s="56" t="s">
        <v>2479</v>
      </c>
      <c r="B241" s="57" t="s">
        <v>106</v>
      </c>
      <c r="C241" s="59" t="s">
        <v>1474</v>
      </c>
      <c r="D241" s="57" t="s">
        <v>1475</v>
      </c>
      <c r="E241" s="56">
        <v>113</v>
      </c>
      <c r="F241" s="56">
        <v>68</v>
      </c>
      <c r="G241" s="56">
        <v>121</v>
      </c>
      <c r="H241" s="56">
        <v>62</v>
      </c>
      <c r="I241" s="56">
        <v>80</v>
      </c>
      <c r="J241" s="56">
        <v>47</v>
      </c>
      <c r="K241" s="52">
        <f t="shared" si="11"/>
        <v>491</v>
      </c>
      <c r="L241" s="27">
        <f t="shared" si="12"/>
        <v>31</v>
      </c>
      <c r="M241" s="62">
        <f t="shared" si="10"/>
        <v>690</v>
      </c>
      <c r="N241" s="63" t="s">
        <v>16</v>
      </c>
      <c r="O241" s="26" t="s">
        <v>44</v>
      </c>
    </row>
    <row r="242" spans="1:15" ht="15.75" customHeight="1">
      <c r="A242" s="56" t="s">
        <v>2480</v>
      </c>
      <c r="B242" s="57" t="s">
        <v>106</v>
      </c>
      <c r="C242" s="59" t="s">
        <v>1841</v>
      </c>
      <c r="D242" s="57" t="s">
        <v>1842</v>
      </c>
      <c r="E242" s="56">
        <v>117</v>
      </c>
      <c r="F242" s="56">
        <v>41</v>
      </c>
      <c r="G242" s="56">
        <v>92.5</v>
      </c>
      <c r="H242" s="56">
        <v>64</v>
      </c>
      <c r="I242" s="56">
        <v>70</v>
      </c>
      <c r="J242" s="56">
        <v>52</v>
      </c>
      <c r="K242" s="52">
        <f t="shared" si="11"/>
        <v>436.5</v>
      </c>
      <c r="L242" s="27">
        <f t="shared" si="12"/>
        <v>50</v>
      </c>
      <c r="M242" s="62">
        <f t="shared" si="10"/>
        <v>874</v>
      </c>
      <c r="N242" s="63" t="s">
        <v>17</v>
      </c>
      <c r="O242" s="26" t="s">
        <v>42</v>
      </c>
    </row>
    <row r="243" spans="1:15" ht="15.75" customHeight="1">
      <c r="A243" s="56" t="s">
        <v>2481</v>
      </c>
      <c r="B243" s="57" t="s">
        <v>106</v>
      </c>
      <c r="C243" s="59" t="s">
        <v>802</v>
      </c>
      <c r="D243" s="57" t="s">
        <v>803</v>
      </c>
      <c r="E243" s="56">
        <v>96</v>
      </c>
      <c r="F243" s="56">
        <v>110</v>
      </c>
      <c r="G243" s="56">
        <v>115.5</v>
      </c>
      <c r="H243" s="56">
        <v>72</v>
      </c>
      <c r="I243" s="56">
        <v>79</v>
      </c>
      <c r="J243" s="56">
        <v>73</v>
      </c>
      <c r="K243" s="52">
        <f t="shared" si="11"/>
        <v>545.5</v>
      </c>
      <c r="L243" s="27">
        <f t="shared" si="12"/>
        <v>13</v>
      </c>
      <c r="M243" s="62">
        <f t="shared" si="10"/>
        <v>354</v>
      </c>
      <c r="N243" s="63" t="s">
        <v>16</v>
      </c>
      <c r="O243" s="26" t="s">
        <v>42</v>
      </c>
    </row>
    <row r="244" spans="1:15" ht="15.75" customHeight="1">
      <c r="A244" s="56" t="s">
        <v>2482</v>
      </c>
      <c r="B244" s="57" t="s">
        <v>106</v>
      </c>
      <c r="C244" s="59" t="s">
        <v>153</v>
      </c>
      <c r="D244" s="57" t="s">
        <v>154</v>
      </c>
      <c r="E244" s="56">
        <v>119</v>
      </c>
      <c r="F244" s="56">
        <v>126</v>
      </c>
      <c r="G244" s="56">
        <v>124.5</v>
      </c>
      <c r="H244" s="56">
        <v>83</v>
      </c>
      <c r="I244" s="56">
        <v>95</v>
      </c>
      <c r="J244" s="56">
        <v>83</v>
      </c>
      <c r="K244" s="52">
        <f t="shared" si="11"/>
        <v>630.5</v>
      </c>
      <c r="L244" s="27">
        <f t="shared" si="12"/>
        <v>2</v>
      </c>
      <c r="M244" s="62">
        <f t="shared" si="10"/>
        <v>32</v>
      </c>
      <c r="N244" s="63" t="s">
        <v>16</v>
      </c>
      <c r="O244" s="26" t="s">
        <v>42</v>
      </c>
    </row>
    <row r="245" spans="1:15" ht="15.75" customHeight="1">
      <c r="A245" s="56" t="s">
        <v>2483</v>
      </c>
      <c r="B245" s="57" t="s">
        <v>106</v>
      </c>
      <c r="C245" s="59" t="s">
        <v>968</v>
      </c>
      <c r="D245" s="57" t="s">
        <v>969</v>
      </c>
      <c r="E245" s="56">
        <v>106</v>
      </c>
      <c r="F245" s="56">
        <v>113</v>
      </c>
      <c r="G245" s="56">
        <v>111.5</v>
      </c>
      <c r="H245" s="56">
        <v>57</v>
      </c>
      <c r="I245" s="56">
        <v>76</v>
      </c>
      <c r="J245" s="56">
        <v>66</v>
      </c>
      <c r="K245" s="52">
        <f t="shared" si="11"/>
        <v>529.5</v>
      </c>
      <c r="L245" s="27">
        <f t="shared" si="12"/>
        <v>16</v>
      </c>
      <c r="M245" s="62">
        <f t="shared" si="10"/>
        <v>435</v>
      </c>
      <c r="N245" s="63" t="s">
        <v>17</v>
      </c>
      <c r="O245" s="26" t="s">
        <v>2243</v>
      </c>
    </row>
    <row r="246" spans="1:15" ht="15.75" customHeight="1">
      <c r="A246" s="56" t="s">
        <v>2484</v>
      </c>
      <c r="B246" s="57" t="s">
        <v>106</v>
      </c>
      <c r="C246" s="59" t="s">
        <v>348</v>
      </c>
      <c r="D246" s="57" t="s">
        <v>349</v>
      </c>
      <c r="E246" s="56">
        <v>111</v>
      </c>
      <c r="F246" s="56">
        <v>115</v>
      </c>
      <c r="G246" s="56">
        <v>118</v>
      </c>
      <c r="H246" s="56">
        <v>85</v>
      </c>
      <c r="I246" s="56">
        <v>93</v>
      </c>
      <c r="J246" s="56">
        <v>71</v>
      </c>
      <c r="K246" s="52">
        <f t="shared" si="11"/>
        <v>593</v>
      </c>
      <c r="L246" s="27">
        <f t="shared" si="12"/>
        <v>5</v>
      </c>
      <c r="M246" s="62">
        <f t="shared" si="10"/>
        <v>126</v>
      </c>
      <c r="N246" s="63" t="s">
        <v>16</v>
      </c>
      <c r="O246" s="26" t="s">
        <v>44</v>
      </c>
    </row>
    <row r="247" spans="1:15" ht="15.75" customHeight="1">
      <c r="A247" s="56" t="s">
        <v>2485</v>
      </c>
      <c r="B247" s="57" t="s">
        <v>106</v>
      </c>
      <c r="C247" s="59" t="s">
        <v>1538</v>
      </c>
      <c r="D247" s="57" t="s">
        <v>1539</v>
      </c>
      <c r="E247" s="56">
        <v>100</v>
      </c>
      <c r="F247" s="56">
        <v>79</v>
      </c>
      <c r="G247" s="56">
        <v>121.5</v>
      </c>
      <c r="H247" s="56">
        <v>70</v>
      </c>
      <c r="I247" s="56">
        <v>65</v>
      </c>
      <c r="J247" s="56">
        <v>48</v>
      </c>
      <c r="K247" s="52">
        <f t="shared" si="11"/>
        <v>483.5</v>
      </c>
      <c r="L247" s="27">
        <f t="shared" si="12"/>
        <v>36</v>
      </c>
      <c r="M247" s="62">
        <f t="shared" si="10"/>
        <v>722</v>
      </c>
      <c r="N247" s="63" t="s">
        <v>16</v>
      </c>
      <c r="O247" s="26" t="s">
        <v>2243</v>
      </c>
    </row>
    <row r="248" spans="1:15" ht="15.75" customHeight="1">
      <c r="A248" s="56" t="s">
        <v>2486</v>
      </c>
      <c r="B248" s="57" t="s">
        <v>106</v>
      </c>
      <c r="C248" s="59" t="s">
        <v>1544</v>
      </c>
      <c r="D248" s="57" t="s">
        <v>1545</v>
      </c>
      <c r="E248" s="56">
        <v>109</v>
      </c>
      <c r="F248" s="56">
        <v>85</v>
      </c>
      <c r="G248" s="56">
        <v>88.5</v>
      </c>
      <c r="H248" s="56">
        <v>63</v>
      </c>
      <c r="I248" s="56">
        <v>78</v>
      </c>
      <c r="J248" s="56">
        <v>59</v>
      </c>
      <c r="K248" s="52">
        <f t="shared" si="11"/>
        <v>482.5</v>
      </c>
      <c r="L248" s="27">
        <f t="shared" si="12"/>
        <v>37</v>
      </c>
      <c r="M248" s="62">
        <f t="shared" si="10"/>
        <v>725</v>
      </c>
      <c r="N248" s="63" t="s">
        <v>17</v>
      </c>
      <c r="O248" s="26" t="s">
        <v>2243</v>
      </c>
    </row>
    <row r="249" spans="1:15" ht="15.75" customHeight="1">
      <c r="A249" s="56" t="s">
        <v>2487</v>
      </c>
      <c r="B249" s="57" t="s">
        <v>106</v>
      </c>
      <c r="C249" s="59" t="s">
        <v>1646</v>
      </c>
      <c r="D249" s="57" t="s">
        <v>1647</v>
      </c>
      <c r="E249" s="56">
        <v>103</v>
      </c>
      <c r="F249" s="56">
        <v>53</v>
      </c>
      <c r="G249" s="56">
        <v>118</v>
      </c>
      <c r="H249" s="56">
        <v>70</v>
      </c>
      <c r="I249" s="56">
        <v>69</v>
      </c>
      <c r="J249" s="56">
        <v>58</v>
      </c>
      <c r="K249" s="52">
        <f t="shared" si="11"/>
        <v>471</v>
      </c>
      <c r="L249" s="27">
        <f t="shared" si="12"/>
        <v>41</v>
      </c>
      <c r="M249" s="62">
        <f t="shared" si="10"/>
        <v>777</v>
      </c>
      <c r="N249" s="63" t="s">
        <v>16</v>
      </c>
      <c r="O249" s="26" t="s">
        <v>44</v>
      </c>
    </row>
    <row r="250" spans="1:15" ht="15.75" customHeight="1">
      <c r="A250" s="56" t="s">
        <v>2488</v>
      </c>
      <c r="B250" s="57" t="s">
        <v>106</v>
      </c>
      <c r="C250" s="59" t="s">
        <v>1304</v>
      </c>
      <c r="D250" s="57" t="s">
        <v>1305</v>
      </c>
      <c r="E250" s="56">
        <v>93</v>
      </c>
      <c r="F250" s="56">
        <v>104</v>
      </c>
      <c r="G250" s="56">
        <v>97</v>
      </c>
      <c r="H250" s="56">
        <v>65</v>
      </c>
      <c r="I250" s="56">
        <v>76</v>
      </c>
      <c r="J250" s="56">
        <v>70</v>
      </c>
      <c r="K250" s="52">
        <f t="shared" si="11"/>
        <v>505</v>
      </c>
      <c r="L250" s="27">
        <f t="shared" si="12"/>
        <v>28</v>
      </c>
      <c r="M250" s="62">
        <f t="shared" si="10"/>
        <v>606</v>
      </c>
      <c r="N250" s="63" t="s">
        <v>16</v>
      </c>
      <c r="O250" s="26" t="s">
        <v>2243</v>
      </c>
    </row>
    <row r="251" spans="1:15" ht="15.75" customHeight="1">
      <c r="A251" s="56" t="s">
        <v>2489</v>
      </c>
      <c r="B251" s="57" t="s">
        <v>106</v>
      </c>
      <c r="C251" s="59" t="s">
        <v>1835</v>
      </c>
      <c r="D251" s="57" t="s">
        <v>1836</v>
      </c>
      <c r="E251" s="56">
        <v>118</v>
      </c>
      <c r="F251" s="56">
        <v>44</v>
      </c>
      <c r="G251" s="56">
        <v>95.5</v>
      </c>
      <c r="H251" s="56">
        <v>63</v>
      </c>
      <c r="I251" s="56">
        <v>79</v>
      </c>
      <c r="J251" s="56">
        <v>38</v>
      </c>
      <c r="K251" s="52">
        <f t="shared" si="11"/>
        <v>437.5</v>
      </c>
      <c r="L251" s="27">
        <f t="shared" si="12"/>
        <v>49</v>
      </c>
      <c r="M251" s="62">
        <f t="shared" si="10"/>
        <v>871</v>
      </c>
      <c r="N251" s="63" t="s">
        <v>17</v>
      </c>
      <c r="O251" s="26" t="s">
        <v>2243</v>
      </c>
    </row>
    <row r="252" spans="1:15" ht="15.75" customHeight="1">
      <c r="A252" s="56" t="s">
        <v>2490</v>
      </c>
      <c r="B252" s="57" t="s">
        <v>106</v>
      </c>
      <c r="C252" s="59" t="s">
        <v>1004</v>
      </c>
      <c r="D252" s="57" t="s">
        <v>1005</v>
      </c>
      <c r="E252" s="56">
        <v>111</v>
      </c>
      <c r="F252" s="56">
        <v>106</v>
      </c>
      <c r="G252" s="56">
        <v>113.5</v>
      </c>
      <c r="H252" s="56">
        <v>67</v>
      </c>
      <c r="I252" s="56">
        <v>78</v>
      </c>
      <c r="J252" s="56">
        <v>52</v>
      </c>
      <c r="K252" s="52">
        <f t="shared" si="11"/>
        <v>527.5</v>
      </c>
      <c r="L252" s="27">
        <f t="shared" si="12"/>
        <v>19</v>
      </c>
      <c r="M252" s="62">
        <f t="shared" si="10"/>
        <v>455</v>
      </c>
      <c r="N252" s="63" t="s">
        <v>16</v>
      </c>
      <c r="O252" s="26" t="s">
        <v>44</v>
      </c>
    </row>
    <row r="253" spans="1:15" ht="15.75" customHeight="1">
      <c r="A253" s="56" t="s">
        <v>2491</v>
      </c>
      <c r="B253" s="57" t="s">
        <v>106</v>
      </c>
      <c r="C253" s="59" t="s">
        <v>1592</v>
      </c>
      <c r="D253" s="57" t="s">
        <v>1593</v>
      </c>
      <c r="E253" s="56">
        <v>93</v>
      </c>
      <c r="F253" s="56">
        <v>111</v>
      </c>
      <c r="G253" s="56">
        <v>77.5</v>
      </c>
      <c r="H253" s="56">
        <v>54</v>
      </c>
      <c r="I253" s="56">
        <v>71</v>
      </c>
      <c r="J253" s="56">
        <v>70</v>
      </c>
      <c r="K253" s="52">
        <f t="shared" si="11"/>
        <v>476.5</v>
      </c>
      <c r="L253" s="27">
        <f t="shared" si="12"/>
        <v>40</v>
      </c>
      <c r="M253" s="62">
        <f t="shared" si="10"/>
        <v>750</v>
      </c>
      <c r="N253" s="63" t="s">
        <v>16</v>
      </c>
      <c r="O253" s="26" t="s">
        <v>44</v>
      </c>
    </row>
    <row r="254" spans="1:15" ht="15.75" customHeight="1">
      <c r="A254" s="56" t="s">
        <v>2492</v>
      </c>
      <c r="B254" s="57" t="s">
        <v>106</v>
      </c>
      <c r="C254" s="59" t="s">
        <v>627</v>
      </c>
      <c r="D254" s="57" t="s">
        <v>628</v>
      </c>
      <c r="E254" s="56">
        <v>113</v>
      </c>
      <c r="F254" s="56">
        <v>79</v>
      </c>
      <c r="G254" s="56">
        <v>123.5</v>
      </c>
      <c r="H254" s="56">
        <v>86</v>
      </c>
      <c r="I254" s="56">
        <v>83</v>
      </c>
      <c r="J254" s="56">
        <v>79</v>
      </c>
      <c r="K254" s="52">
        <f t="shared" si="11"/>
        <v>563.5</v>
      </c>
      <c r="L254" s="27">
        <f t="shared" si="12"/>
        <v>11</v>
      </c>
      <c r="M254" s="62">
        <f t="shared" si="10"/>
        <v>263</v>
      </c>
      <c r="N254" s="63" t="s">
        <v>16</v>
      </c>
      <c r="O254" s="26" t="s">
        <v>42</v>
      </c>
    </row>
    <row r="255" spans="1:15" ht="15.75" customHeight="1">
      <c r="A255" s="56" t="s">
        <v>2493</v>
      </c>
      <c r="B255" s="57" t="s">
        <v>106</v>
      </c>
      <c r="C255" s="59" t="s">
        <v>1815</v>
      </c>
      <c r="D255" s="57" t="s">
        <v>1816</v>
      </c>
      <c r="E255" s="56">
        <v>97</v>
      </c>
      <c r="F255" s="56">
        <v>49</v>
      </c>
      <c r="G255" s="56">
        <v>106.5</v>
      </c>
      <c r="H255" s="56">
        <v>68</v>
      </c>
      <c r="I255" s="56">
        <v>68</v>
      </c>
      <c r="J255" s="56">
        <v>53</v>
      </c>
      <c r="K255" s="52">
        <f t="shared" si="11"/>
        <v>441.5</v>
      </c>
      <c r="L255" s="27">
        <f t="shared" si="12"/>
        <v>47</v>
      </c>
      <c r="M255" s="62">
        <f t="shared" si="10"/>
        <v>861</v>
      </c>
      <c r="N255" s="63" t="s">
        <v>16</v>
      </c>
      <c r="O255" s="26" t="s">
        <v>44</v>
      </c>
    </row>
    <row r="256" spans="1:15" ht="15.75" customHeight="1">
      <c r="A256" s="56" t="s">
        <v>2494</v>
      </c>
      <c r="B256" s="57" t="s">
        <v>106</v>
      </c>
      <c r="C256" s="59" t="s">
        <v>1918</v>
      </c>
      <c r="D256" s="57" t="s">
        <v>1919</v>
      </c>
      <c r="E256" s="56">
        <v>103</v>
      </c>
      <c r="F256" s="56">
        <v>51</v>
      </c>
      <c r="G256" s="56">
        <v>84</v>
      </c>
      <c r="H256" s="56">
        <v>52</v>
      </c>
      <c r="I256" s="56">
        <v>70</v>
      </c>
      <c r="J256" s="56">
        <v>59</v>
      </c>
      <c r="K256" s="52">
        <f t="shared" si="11"/>
        <v>419</v>
      </c>
      <c r="L256" s="27">
        <f t="shared" si="12"/>
        <v>53</v>
      </c>
      <c r="M256" s="62">
        <f t="shared" si="10"/>
        <v>913</v>
      </c>
      <c r="N256" s="63" t="s">
        <v>17</v>
      </c>
      <c r="O256" s="26" t="s">
        <v>42</v>
      </c>
    </row>
    <row r="257" spans="1:15" ht="15.75" customHeight="1">
      <c r="A257" s="56" t="s">
        <v>2495</v>
      </c>
      <c r="B257" s="57" t="s">
        <v>106</v>
      </c>
      <c r="C257" s="59" t="s">
        <v>601</v>
      </c>
      <c r="D257" s="57" t="s">
        <v>602</v>
      </c>
      <c r="E257" s="56">
        <v>114</v>
      </c>
      <c r="F257" s="56">
        <v>106</v>
      </c>
      <c r="G257" s="56">
        <v>117.5</v>
      </c>
      <c r="H257" s="56">
        <v>85</v>
      </c>
      <c r="I257" s="56">
        <v>70</v>
      </c>
      <c r="J257" s="56">
        <v>73</v>
      </c>
      <c r="K257" s="52">
        <f t="shared" si="11"/>
        <v>565.5</v>
      </c>
      <c r="L257" s="27">
        <f t="shared" si="12"/>
        <v>10</v>
      </c>
      <c r="M257" s="62">
        <f t="shared" si="10"/>
        <v>253</v>
      </c>
      <c r="N257" s="63" t="s">
        <v>16</v>
      </c>
      <c r="O257" s="26" t="s">
        <v>42</v>
      </c>
    </row>
    <row r="258" spans="1:15" ht="15.75" customHeight="1">
      <c r="A258" s="56" t="s">
        <v>2496</v>
      </c>
      <c r="B258" s="57" t="s">
        <v>106</v>
      </c>
      <c r="C258" s="59" t="s">
        <v>226</v>
      </c>
      <c r="D258" s="57" t="s">
        <v>227</v>
      </c>
      <c r="E258" s="56">
        <v>106</v>
      </c>
      <c r="F258" s="56">
        <v>120</v>
      </c>
      <c r="G258" s="56">
        <v>121</v>
      </c>
      <c r="H258" s="56">
        <v>97</v>
      </c>
      <c r="I258" s="56">
        <v>88</v>
      </c>
      <c r="J258" s="56">
        <v>81</v>
      </c>
      <c r="K258" s="52">
        <f t="shared" si="11"/>
        <v>613</v>
      </c>
      <c r="L258" s="27">
        <f t="shared" si="12"/>
        <v>4</v>
      </c>
      <c r="M258" s="62">
        <f t="shared" si="10"/>
        <v>64</v>
      </c>
      <c r="N258" s="63" t="s">
        <v>16</v>
      </c>
      <c r="O258" s="26" t="s">
        <v>2243</v>
      </c>
    </row>
    <row r="259" spans="1:15" ht="15.75" customHeight="1">
      <c r="A259" s="56" t="s">
        <v>2497</v>
      </c>
      <c r="B259" s="57" t="s">
        <v>106</v>
      </c>
      <c r="C259" s="59" t="s">
        <v>456</v>
      </c>
      <c r="D259" s="57" t="s">
        <v>457</v>
      </c>
      <c r="E259" s="56">
        <v>118</v>
      </c>
      <c r="F259" s="56">
        <v>105</v>
      </c>
      <c r="G259" s="56">
        <v>121</v>
      </c>
      <c r="H259" s="56">
        <v>86</v>
      </c>
      <c r="I259" s="56">
        <v>80</v>
      </c>
      <c r="J259" s="56">
        <v>70</v>
      </c>
      <c r="K259" s="52">
        <f t="shared" si="11"/>
        <v>580</v>
      </c>
      <c r="L259" s="27">
        <f t="shared" si="12"/>
        <v>7</v>
      </c>
      <c r="M259" s="62">
        <f t="shared" ref="M259:M322" si="13">RANK(K259,$K$3:$K$953)</f>
        <v>180</v>
      </c>
      <c r="N259" s="63" t="s">
        <v>16</v>
      </c>
      <c r="O259" s="26" t="s">
        <v>2243</v>
      </c>
    </row>
    <row r="260" spans="1:15" ht="15.75" customHeight="1">
      <c r="A260" s="56" t="s">
        <v>2498</v>
      </c>
      <c r="B260" s="57" t="s">
        <v>106</v>
      </c>
      <c r="C260" s="59" t="s">
        <v>972</v>
      </c>
      <c r="D260" s="57" t="s">
        <v>973</v>
      </c>
      <c r="E260" s="56">
        <v>107</v>
      </c>
      <c r="F260" s="56">
        <v>80</v>
      </c>
      <c r="G260" s="56">
        <v>116</v>
      </c>
      <c r="H260" s="56">
        <v>66</v>
      </c>
      <c r="I260" s="56">
        <v>93</v>
      </c>
      <c r="J260" s="56">
        <v>67</v>
      </c>
      <c r="K260" s="52">
        <f t="shared" ref="K260:K323" si="14">SUM(E260:J260)</f>
        <v>529</v>
      </c>
      <c r="L260" s="27">
        <f t="shared" si="12"/>
        <v>17</v>
      </c>
      <c r="M260" s="62">
        <f t="shared" si="13"/>
        <v>439</v>
      </c>
      <c r="N260" s="63" t="s">
        <v>17</v>
      </c>
      <c r="O260" s="26" t="s">
        <v>2243</v>
      </c>
    </row>
    <row r="261" spans="1:15" ht="15.75" customHeight="1">
      <c r="A261" s="56" t="s">
        <v>2499</v>
      </c>
      <c r="B261" s="57" t="s">
        <v>106</v>
      </c>
      <c r="C261" s="59" t="s">
        <v>1668</v>
      </c>
      <c r="D261" s="57" t="s">
        <v>1669</v>
      </c>
      <c r="E261" s="56">
        <v>98</v>
      </c>
      <c r="F261" s="56">
        <v>99</v>
      </c>
      <c r="G261" s="56">
        <v>92.5</v>
      </c>
      <c r="H261" s="56">
        <v>60</v>
      </c>
      <c r="I261" s="56">
        <v>64</v>
      </c>
      <c r="J261" s="56">
        <v>53</v>
      </c>
      <c r="K261" s="52">
        <f t="shared" si="14"/>
        <v>466.5</v>
      </c>
      <c r="L261" s="27">
        <f t="shared" si="12"/>
        <v>44</v>
      </c>
      <c r="M261" s="62">
        <f t="shared" si="13"/>
        <v>787</v>
      </c>
      <c r="N261" s="63" t="s">
        <v>17</v>
      </c>
      <c r="O261" s="26" t="s">
        <v>43</v>
      </c>
    </row>
    <row r="262" spans="1:15" ht="15.75" customHeight="1">
      <c r="A262" s="56" t="s">
        <v>2500</v>
      </c>
      <c r="B262" s="57" t="s">
        <v>106</v>
      </c>
      <c r="C262" s="59" t="s">
        <v>1358</v>
      </c>
      <c r="D262" s="57" t="s">
        <v>1359</v>
      </c>
      <c r="E262" s="56">
        <v>95</v>
      </c>
      <c r="F262" s="56">
        <v>113</v>
      </c>
      <c r="G262" s="56">
        <v>85.5</v>
      </c>
      <c r="H262" s="56">
        <v>59</v>
      </c>
      <c r="I262" s="56">
        <v>88</v>
      </c>
      <c r="J262" s="56">
        <v>60</v>
      </c>
      <c r="K262" s="52">
        <f t="shared" si="14"/>
        <v>500.5</v>
      </c>
      <c r="L262" s="27">
        <f t="shared" si="12"/>
        <v>30</v>
      </c>
      <c r="M262" s="62">
        <f t="shared" si="13"/>
        <v>633</v>
      </c>
      <c r="N262" s="63" t="s">
        <v>17</v>
      </c>
      <c r="O262" s="26" t="s">
        <v>2243</v>
      </c>
    </row>
    <row r="263" spans="1:15" ht="15.75" customHeight="1">
      <c r="A263" s="56" t="s">
        <v>2501</v>
      </c>
      <c r="B263" s="57" t="s">
        <v>106</v>
      </c>
      <c r="C263" s="59" t="s">
        <v>1821</v>
      </c>
      <c r="D263" s="57" t="s">
        <v>1822</v>
      </c>
      <c r="E263" s="56">
        <v>109</v>
      </c>
      <c r="F263" s="56">
        <v>66</v>
      </c>
      <c r="G263" s="56">
        <v>103</v>
      </c>
      <c r="H263" s="56">
        <v>54</v>
      </c>
      <c r="I263" s="56">
        <v>68</v>
      </c>
      <c r="J263" s="56">
        <v>40</v>
      </c>
      <c r="K263" s="52">
        <f t="shared" si="14"/>
        <v>440</v>
      </c>
      <c r="L263" s="27">
        <f t="shared" si="12"/>
        <v>48</v>
      </c>
      <c r="M263" s="62">
        <f t="shared" si="13"/>
        <v>864</v>
      </c>
      <c r="N263" s="63" t="s">
        <v>17</v>
      </c>
      <c r="O263" s="26" t="s">
        <v>2243</v>
      </c>
    </row>
    <row r="264" spans="1:15" ht="15.75" customHeight="1">
      <c r="A264" s="56" t="s">
        <v>2502</v>
      </c>
      <c r="B264" s="57" t="s">
        <v>106</v>
      </c>
      <c r="C264" s="59" t="s">
        <v>679</v>
      </c>
      <c r="D264" s="57" t="s">
        <v>680</v>
      </c>
      <c r="E264" s="56">
        <v>115</v>
      </c>
      <c r="F264" s="56">
        <v>110</v>
      </c>
      <c r="G264" s="56">
        <v>116</v>
      </c>
      <c r="H264" s="56">
        <v>67</v>
      </c>
      <c r="I264" s="56">
        <v>83</v>
      </c>
      <c r="J264" s="56">
        <v>66</v>
      </c>
      <c r="K264" s="52">
        <f t="shared" si="14"/>
        <v>557</v>
      </c>
      <c r="L264" s="27">
        <f t="shared" si="12"/>
        <v>12</v>
      </c>
      <c r="M264" s="62">
        <f t="shared" si="13"/>
        <v>291</v>
      </c>
      <c r="N264" s="63" t="s">
        <v>16</v>
      </c>
      <c r="O264" s="26" t="s">
        <v>42</v>
      </c>
    </row>
    <row r="265" spans="1:15" ht="15.75" customHeight="1">
      <c r="A265" s="56" t="s">
        <v>2503</v>
      </c>
      <c r="B265" s="57" t="s">
        <v>106</v>
      </c>
      <c r="C265" s="59" t="s">
        <v>197</v>
      </c>
      <c r="D265" s="57" t="s">
        <v>198</v>
      </c>
      <c r="E265" s="56">
        <v>122</v>
      </c>
      <c r="F265" s="56">
        <v>121</v>
      </c>
      <c r="G265" s="56">
        <v>126.5</v>
      </c>
      <c r="H265" s="56">
        <v>95</v>
      </c>
      <c r="I265" s="56">
        <v>83</v>
      </c>
      <c r="J265" s="56">
        <v>72</v>
      </c>
      <c r="K265" s="52">
        <f t="shared" si="14"/>
        <v>619.5</v>
      </c>
      <c r="L265" s="27">
        <f t="shared" si="12"/>
        <v>3</v>
      </c>
      <c r="M265" s="62">
        <f t="shared" si="13"/>
        <v>53</v>
      </c>
      <c r="N265" s="63" t="s">
        <v>16</v>
      </c>
      <c r="O265" s="26" t="s">
        <v>2243</v>
      </c>
    </row>
    <row r="266" spans="1:15" ht="15.75" customHeight="1">
      <c r="A266" s="56" t="s">
        <v>2504</v>
      </c>
      <c r="B266" s="57" t="s">
        <v>106</v>
      </c>
      <c r="C266" s="59" t="s">
        <v>1584</v>
      </c>
      <c r="D266" s="57" t="s">
        <v>1585</v>
      </c>
      <c r="E266" s="56">
        <v>114</v>
      </c>
      <c r="F266" s="56">
        <v>78</v>
      </c>
      <c r="G266" s="56">
        <v>100</v>
      </c>
      <c r="H266" s="56">
        <v>47</v>
      </c>
      <c r="I266" s="56">
        <v>79</v>
      </c>
      <c r="J266" s="56">
        <v>60</v>
      </c>
      <c r="K266" s="52">
        <f t="shared" si="14"/>
        <v>478</v>
      </c>
      <c r="L266" s="27">
        <f t="shared" si="12"/>
        <v>39</v>
      </c>
      <c r="M266" s="62">
        <f t="shared" si="13"/>
        <v>744</v>
      </c>
      <c r="N266" s="63" t="s">
        <v>16</v>
      </c>
      <c r="O266" s="26" t="s">
        <v>2243</v>
      </c>
    </row>
    <row r="267" spans="1:15" ht="15.75" customHeight="1">
      <c r="A267" s="56" t="s">
        <v>2505</v>
      </c>
      <c r="B267" s="57" t="s">
        <v>106</v>
      </c>
      <c r="C267" s="59" t="s">
        <v>1232</v>
      </c>
      <c r="D267" s="57" t="s">
        <v>1233</v>
      </c>
      <c r="E267" s="56">
        <v>112</v>
      </c>
      <c r="F267" s="56">
        <v>86</v>
      </c>
      <c r="G267" s="56">
        <v>94.5</v>
      </c>
      <c r="H267" s="56">
        <v>70</v>
      </c>
      <c r="I267" s="56">
        <v>79</v>
      </c>
      <c r="J267" s="56">
        <v>70</v>
      </c>
      <c r="K267" s="52">
        <f t="shared" si="14"/>
        <v>511.5</v>
      </c>
      <c r="L267" s="27">
        <f t="shared" si="12"/>
        <v>25</v>
      </c>
      <c r="M267" s="62">
        <f t="shared" si="13"/>
        <v>565</v>
      </c>
      <c r="N267" s="63" t="s">
        <v>17</v>
      </c>
      <c r="O267" s="26" t="s">
        <v>42</v>
      </c>
    </row>
    <row r="268" spans="1:15" ht="15.75" customHeight="1">
      <c r="A268" s="56" t="s">
        <v>2506</v>
      </c>
      <c r="B268" s="57" t="s">
        <v>106</v>
      </c>
      <c r="C268" s="59" t="s">
        <v>1886</v>
      </c>
      <c r="D268" s="57" t="s">
        <v>1887</v>
      </c>
      <c r="E268" s="56">
        <v>112</v>
      </c>
      <c r="F268" s="56">
        <v>58</v>
      </c>
      <c r="G268" s="56">
        <v>92</v>
      </c>
      <c r="H268" s="56">
        <v>56</v>
      </c>
      <c r="I268" s="56">
        <v>52</v>
      </c>
      <c r="J268" s="56">
        <v>58</v>
      </c>
      <c r="K268" s="52">
        <f t="shared" si="14"/>
        <v>428</v>
      </c>
      <c r="L268" s="27">
        <f t="shared" si="12"/>
        <v>52</v>
      </c>
      <c r="M268" s="62">
        <f t="shared" si="13"/>
        <v>897</v>
      </c>
      <c r="N268" s="63" t="s">
        <v>17</v>
      </c>
      <c r="O268" s="26" t="s">
        <v>42</v>
      </c>
    </row>
    <row r="269" spans="1:15" ht="15.75" customHeight="1">
      <c r="A269" s="56" t="s">
        <v>2507</v>
      </c>
      <c r="B269" s="57" t="s">
        <v>106</v>
      </c>
      <c r="C269" s="59" t="s">
        <v>1986</v>
      </c>
      <c r="D269" s="57" t="s">
        <v>1987</v>
      </c>
      <c r="E269" s="56">
        <v>103</v>
      </c>
      <c r="F269" s="56">
        <v>58</v>
      </c>
      <c r="G269" s="56">
        <v>54</v>
      </c>
      <c r="H269" s="56">
        <v>47</v>
      </c>
      <c r="I269" s="56">
        <v>55</v>
      </c>
      <c r="J269" s="56">
        <v>43</v>
      </c>
      <c r="K269" s="52">
        <f t="shared" si="14"/>
        <v>360</v>
      </c>
      <c r="L269" s="27">
        <f t="shared" si="12"/>
        <v>56</v>
      </c>
      <c r="M269" s="62">
        <f t="shared" si="13"/>
        <v>947</v>
      </c>
      <c r="N269" s="63" t="s">
        <v>17</v>
      </c>
      <c r="O269" s="26" t="s">
        <v>42</v>
      </c>
    </row>
    <row r="270" spans="1:15" ht="15.75" customHeight="1">
      <c r="A270" s="56" t="s">
        <v>2508</v>
      </c>
      <c r="B270" s="57" t="s">
        <v>106</v>
      </c>
      <c r="C270" s="59" t="s">
        <v>1654</v>
      </c>
      <c r="D270" s="57" t="s">
        <v>1655</v>
      </c>
      <c r="E270" s="56">
        <v>94</v>
      </c>
      <c r="F270" s="56">
        <v>80</v>
      </c>
      <c r="G270" s="56">
        <v>113.5</v>
      </c>
      <c r="H270" s="56">
        <v>43</v>
      </c>
      <c r="I270" s="56">
        <v>68</v>
      </c>
      <c r="J270" s="56">
        <v>71</v>
      </c>
      <c r="K270" s="52">
        <f t="shared" si="14"/>
        <v>469.5</v>
      </c>
      <c r="L270" s="27">
        <f t="shared" si="12"/>
        <v>42</v>
      </c>
      <c r="M270" s="62">
        <f t="shared" si="13"/>
        <v>781</v>
      </c>
      <c r="N270" s="63" t="s">
        <v>17</v>
      </c>
      <c r="O270" s="26" t="s">
        <v>2243</v>
      </c>
    </row>
    <row r="271" spans="1:15" ht="15.75" customHeight="1">
      <c r="A271" s="56" t="s">
        <v>2509</v>
      </c>
      <c r="B271" s="57" t="s">
        <v>106</v>
      </c>
      <c r="C271" s="59" t="s">
        <v>1922</v>
      </c>
      <c r="D271" s="57" t="s">
        <v>1923</v>
      </c>
      <c r="E271" s="56">
        <v>110</v>
      </c>
      <c r="F271" s="56">
        <v>86</v>
      </c>
      <c r="G271" s="56">
        <v>61</v>
      </c>
      <c r="H271" s="56">
        <v>59</v>
      </c>
      <c r="I271" s="56">
        <v>61</v>
      </c>
      <c r="J271" s="56">
        <v>41</v>
      </c>
      <c r="K271" s="52">
        <f t="shared" si="14"/>
        <v>418</v>
      </c>
      <c r="L271" s="27">
        <f t="shared" si="12"/>
        <v>54</v>
      </c>
      <c r="M271" s="62">
        <f t="shared" si="13"/>
        <v>915</v>
      </c>
      <c r="N271" s="63" t="s">
        <v>17</v>
      </c>
      <c r="O271" s="26" t="s">
        <v>2243</v>
      </c>
    </row>
    <row r="272" spans="1:15" ht="15.75" customHeight="1">
      <c r="A272" s="56" t="s">
        <v>2510</v>
      </c>
      <c r="B272" s="57" t="s">
        <v>106</v>
      </c>
      <c r="C272" s="59" t="s">
        <v>1356</v>
      </c>
      <c r="D272" s="57" t="s">
        <v>1357</v>
      </c>
      <c r="E272" s="56">
        <v>99</v>
      </c>
      <c r="F272" s="56">
        <v>104</v>
      </c>
      <c r="G272" s="56">
        <v>76</v>
      </c>
      <c r="H272" s="56">
        <v>81</v>
      </c>
      <c r="I272" s="56">
        <v>73</v>
      </c>
      <c r="J272" s="56">
        <v>68</v>
      </c>
      <c r="K272" s="52">
        <f t="shared" si="14"/>
        <v>501</v>
      </c>
      <c r="L272" s="27">
        <f t="shared" si="12"/>
        <v>29</v>
      </c>
      <c r="M272" s="62">
        <f t="shared" si="13"/>
        <v>631</v>
      </c>
      <c r="N272" s="63" t="s">
        <v>17</v>
      </c>
      <c r="O272" s="26" t="s">
        <v>2243</v>
      </c>
    </row>
    <row r="273" spans="1:15" ht="16.5" customHeight="1">
      <c r="A273" s="56" t="s">
        <v>2511</v>
      </c>
      <c r="B273" s="57" t="s">
        <v>106</v>
      </c>
      <c r="C273" s="56" t="s">
        <v>1086</v>
      </c>
      <c r="D273" s="57" t="s">
        <v>1087</v>
      </c>
      <c r="E273" s="56">
        <v>113</v>
      </c>
      <c r="F273" s="56">
        <v>95</v>
      </c>
      <c r="G273" s="56">
        <v>105.5</v>
      </c>
      <c r="H273" s="56">
        <v>60</v>
      </c>
      <c r="I273" s="56">
        <v>81</v>
      </c>
      <c r="J273" s="56">
        <v>67</v>
      </c>
      <c r="K273" s="52">
        <f t="shared" si="14"/>
        <v>521.5</v>
      </c>
      <c r="L273" s="27">
        <f t="shared" si="12"/>
        <v>20</v>
      </c>
      <c r="M273" s="62">
        <f t="shared" si="13"/>
        <v>495</v>
      </c>
      <c r="N273" s="63" t="s">
        <v>16</v>
      </c>
      <c r="O273" s="26" t="s">
        <v>44</v>
      </c>
    </row>
    <row r="274" spans="1:15" ht="16.5" customHeight="1">
      <c r="A274" s="56" t="s">
        <v>2512</v>
      </c>
      <c r="B274" s="57" t="s">
        <v>106</v>
      </c>
      <c r="C274" s="56" t="s">
        <v>1488</v>
      </c>
      <c r="D274" s="57" t="s">
        <v>1489</v>
      </c>
      <c r="E274" s="56">
        <v>111</v>
      </c>
      <c r="F274" s="56">
        <v>51</v>
      </c>
      <c r="G274" s="56">
        <v>130</v>
      </c>
      <c r="H274" s="56">
        <v>62</v>
      </c>
      <c r="I274" s="56">
        <v>76</v>
      </c>
      <c r="J274" s="56">
        <v>59</v>
      </c>
      <c r="K274" s="52">
        <f t="shared" si="14"/>
        <v>489</v>
      </c>
      <c r="L274" s="27">
        <f t="shared" si="12"/>
        <v>32</v>
      </c>
      <c r="M274" s="62">
        <f t="shared" si="13"/>
        <v>697</v>
      </c>
      <c r="N274" s="63" t="s">
        <v>16</v>
      </c>
      <c r="O274" s="26" t="s">
        <v>2243</v>
      </c>
    </row>
    <row r="275" spans="1:15" ht="16.5" customHeight="1">
      <c r="A275" s="56" t="s">
        <v>2513</v>
      </c>
      <c r="B275" s="57" t="s">
        <v>106</v>
      </c>
      <c r="C275" s="56" t="s">
        <v>1658</v>
      </c>
      <c r="D275" s="57" t="s">
        <v>1659</v>
      </c>
      <c r="E275" s="56">
        <v>106</v>
      </c>
      <c r="F275" s="56">
        <v>59</v>
      </c>
      <c r="G275" s="56">
        <v>106</v>
      </c>
      <c r="H275" s="56">
        <v>68</v>
      </c>
      <c r="I275" s="56">
        <v>76</v>
      </c>
      <c r="J275" s="56">
        <v>53</v>
      </c>
      <c r="K275" s="52">
        <f t="shared" si="14"/>
        <v>468</v>
      </c>
      <c r="L275" s="27">
        <f t="shared" si="12"/>
        <v>43</v>
      </c>
      <c r="M275" s="62">
        <f t="shared" si="13"/>
        <v>783</v>
      </c>
      <c r="N275" s="63" t="s">
        <v>16</v>
      </c>
      <c r="O275" s="26" t="s">
        <v>2243</v>
      </c>
    </row>
    <row r="276" spans="1:15" ht="16.5" customHeight="1">
      <c r="A276" s="56" t="s">
        <v>2514</v>
      </c>
      <c r="B276" s="57" t="s">
        <v>106</v>
      </c>
      <c r="C276" s="56" t="s">
        <v>352</v>
      </c>
      <c r="D276" s="57" t="s">
        <v>353</v>
      </c>
      <c r="E276" s="56">
        <v>119</v>
      </c>
      <c r="F276" s="56">
        <v>117</v>
      </c>
      <c r="G276" s="56">
        <v>123</v>
      </c>
      <c r="H276" s="56">
        <v>87</v>
      </c>
      <c r="I276" s="56">
        <v>75</v>
      </c>
      <c r="J276" s="56">
        <v>71</v>
      </c>
      <c r="K276" s="52">
        <f t="shared" si="14"/>
        <v>592</v>
      </c>
      <c r="L276" s="27">
        <f t="shared" si="12"/>
        <v>6</v>
      </c>
      <c r="M276" s="62">
        <f t="shared" si="13"/>
        <v>128</v>
      </c>
      <c r="N276" s="63" t="s">
        <v>16</v>
      </c>
      <c r="O276" s="26" t="s">
        <v>42</v>
      </c>
    </row>
    <row r="277" spans="1:15" ht="16.5" customHeight="1">
      <c r="A277" s="56" t="s">
        <v>2515</v>
      </c>
      <c r="B277" s="57" t="s">
        <v>106</v>
      </c>
      <c r="C277" s="56" t="s">
        <v>1716</v>
      </c>
      <c r="D277" s="57" t="s">
        <v>1717</v>
      </c>
      <c r="E277" s="56">
        <v>99</v>
      </c>
      <c r="F277" s="56">
        <v>99</v>
      </c>
      <c r="G277" s="56">
        <v>103.5</v>
      </c>
      <c r="H277" s="56">
        <v>43</v>
      </c>
      <c r="I277" s="56">
        <v>65</v>
      </c>
      <c r="J277" s="56">
        <v>53</v>
      </c>
      <c r="K277" s="52">
        <f t="shared" si="14"/>
        <v>462.5</v>
      </c>
      <c r="L277" s="27">
        <f t="shared" si="12"/>
        <v>46</v>
      </c>
      <c r="M277" s="62">
        <f t="shared" si="13"/>
        <v>810</v>
      </c>
      <c r="N277" s="63" t="s">
        <v>16</v>
      </c>
      <c r="O277" s="26" t="s">
        <v>44</v>
      </c>
    </row>
    <row r="278" spans="1:15" ht="16.5" customHeight="1">
      <c r="A278" s="56" t="s">
        <v>2516</v>
      </c>
      <c r="B278" s="57" t="s">
        <v>106</v>
      </c>
      <c r="C278" s="56" t="s">
        <v>1196</v>
      </c>
      <c r="D278" s="57" t="s">
        <v>1197</v>
      </c>
      <c r="E278" s="56">
        <v>111</v>
      </c>
      <c r="F278" s="56">
        <v>108</v>
      </c>
      <c r="G278" s="56">
        <v>97</v>
      </c>
      <c r="H278" s="56">
        <v>61</v>
      </c>
      <c r="I278" s="56">
        <v>73</v>
      </c>
      <c r="J278" s="56">
        <v>63</v>
      </c>
      <c r="K278" s="52">
        <f t="shared" si="14"/>
        <v>513</v>
      </c>
      <c r="L278" s="27">
        <f t="shared" si="12"/>
        <v>23</v>
      </c>
      <c r="M278" s="62">
        <f t="shared" si="13"/>
        <v>551</v>
      </c>
      <c r="N278" s="63" t="s">
        <v>16</v>
      </c>
      <c r="O278" s="26" t="s">
        <v>2243</v>
      </c>
    </row>
    <row r="279" spans="1:15" ht="16.5" customHeight="1">
      <c r="A279" s="56" t="s">
        <v>2517</v>
      </c>
      <c r="B279" s="57" t="s">
        <v>106</v>
      </c>
      <c r="C279" s="56" t="s">
        <v>1688</v>
      </c>
      <c r="D279" s="57" t="s">
        <v>1689</v>
      </c>
      <c r="E279" s="56">
        <v>81</v>
      </c>
      <c r="F279" s="56">
        <v>98</v>
      </c>
      <c r="G279" s="56">
        <v>108.5</v>
      </c>
      <c r="H279" s="56">
        <v>62</v>
      </c>
      <c r="I279" s="56">
        <v>61</v>
      </c>
      <c r="J279" s="56">
        <v>55</v>
      </c>
      <c r="K279" s="52">
        <f t="shared" si="14"/>
        <v>465.5</v>
      </c>
      <c r="L279" s="27">
        <f t="shared" si="12"/>
        <v>45</v>
      </c>
      <c r="M279" s="62">
        <f t="shared" si="13"/>
        <v>797</v>
      </c>
      <c r="N279" s="63" t="s">
        <v>16</v>
      </c>
      <c r="O279" s="26" t="s">
        <v>2243</v>
      </c>
    </row>
    <row r="280" spans="1:15" ht="16.5" customHeight="1">
      <c r="A280" s="56" t="s">
        <v>2518</v>
      </c>
      <c r="B280" s="57" t="s">
        <v>106</v>
      </c>
      <c r="C280" s="56" t="s">
        <v>1286</v>
      </c>
      <c r="D280" s="57" t="s">
        <v>1287</v>
      </c>
      <c r="E280" s="56">
        <v>100</v>
      </c>
      <c r="F280" s="56">
        <v>97</v>
      </c>
      <c r="G280" s="56">
        <v>125</v>
      </c>
      <c r="H280" s="56">
        <v>54</v>
      </c>
      <c r="I280" s="56">
        <v>67</v>
      </c>
      <c r="J280" s="56">
        <v>64</v>
      </c>
      <c r="K280" s="52">
        <f t="shared" si="14"/>
        <v>507</v>
      </c>
      <c r="L280" s="27">
        <f t="shared" si="12"/>
        <v>26</v>
      </c>
      <c r="M280" s="62">
        <f t="shared" si="13"/>
        <v>595</v>
      </c>
      <c r="N280" s="63" t="s">
        <v>17</v>
      </c>
      <c r="O280" s="26" t="s">
        <v>2243</v>
      </c>
    </row>
    <row r="281" spans="1:15" ht="16.5" customHeight="1">
      <c r="A281" s="56" t="s">
        <v>2519</v>
      </c>
      <c r="B281" s="57" t="s">
        <v>106</v>
      </c>
      <c r="C281" s="56" t="s">
        <v>1496</v>
      </c>
      <c r="D281" s="57" t="s">
        <v>1497</v>
      </c>
      <c r="E281" s="56">
        <v>123</v>
      </c>
      <c r="F281" s="56">
        <v>88</v>
      </c>
      <c r="G281" s="56">
        <v>121</v>
      </c>
      <c r="H281" s="56">
        <v>38</v>
      </c>
      <c r="I281" s="56">
        <v>66</v>
      </c>
      <c r="J281" s="56">
        <v>52</v>
      </c>
      <c r="K281" s="52">
        <f t="shared" si="14"/>
        <v>488</v>
      </c>
      <c r="L281" s="27">
        <f t="shared" si="12"/>
        <v>34</v>
      </c>
      <c r="M281" s="62">
        <f t="shared" si="13"/>
        <v>702</v>
      </c>
      <c r="N281" s="63" t="s">
        <v>16</v>
      </c>
      <c r="O281" s="26" t="s">
        <v>2243</v>
      </c>
    </row>
    <row r="282" spans="1:15" ht="16.5" customHeight="1">
      <c r="A282" s="56" t="s">
        <v>2520</v>
      </c>
      <c r="B282" s="57" t="s">
        <v>106</v>
      </c>
      <c r="C282" s="56" t="s">
        <v>1212</v>
      </c>
      <c r="D282" s="57" t="s">
        <v>1213</v>
      </c>
      <c r="E282" s="56">
        <v>100</v>
      </c>
      <c r="F282" s="56">
        <v>103</v>
      </c>
      <c r="G282" s="56">
        <v>120.5</v>
      </c>
      <c r="H282" s="56">
        <v>53</v>
      </c>
      <c r="I282" s="56">
        <v>81</v>
      </c>
      <c r="J282" s="56">
        <v>55</v>
      </c>
      <c r="K282" s="52">
        <f t="shared" si="14"/>
        <v>512.5</v>
      </c>
      <c r="L282" s="27">
        <f t="shared" si="12"/>
        <v>24</v>
      </c>
      <c r="M282" s="62">
        <f t="shared" si="13"/>
        <v>555</v>
      </c>
      <c r="N282" s="63" t="s">
        <v>16</v>
      </c>
      <c r="O282" s="26" t="s">
        <v>42</v>
      </c>
    </row>
    <row r="283" spans="1:15" ht="16.5" customHeight="1">
      <c r="A283" s="56" t="s">
        <v>2521</v>
      </c>
      <c r="B283" s="57" t="s">
        <v>106</v>
      </c>
      <c r="C283" s="56" t="s">
        <v>1498</v>
      </c>
      <c r="D283" s="57" t="s">
        <v>1499</v>
      </c>
      <c r="E283" s="56">
        <v>124</v>
      </c>
      <c r="F283" s="56">
        <v>61</v>
      </c>
      <c r="G283" s="56">
        <v>118</v>
      </c>
      <c r="H283" s="56">
        <v>57</v>
      </c>
      <c r="I283" s="56">
        <v>77</v>
      </c>
      <c r="J283" s="56">
        <v>51</v>
      </c>
      <c r="K283" s="52">
        <f t="shared" si="14"/>
        <v>488</v>
      </c>
      <c r="L283" s="27">
        <f t="shared" si="12"/>
        <v>34</v>
      </c>
      <c r="M283" s="62">
        <f t="shared" si="13"/>
        <v>702</v>
      </c>
      <c r="N283" s="63" t="s">
        <v>16</v>
      </c>
      <c r="O283" s="26" t="s">
        <v>2243</v>
      </c>
    </row>
    <row r="284" spans="1:15" ht="16.5" customHeight="1">
      <c r="A284" s="56" t="s">
        <v>2522</v>
      </c>
      <c r="B284" s="57" t="s">
        <v>106</v>
      </c>
      <c r="C284" s="56" t="s">
        <v>1858</v>
      </c>
      <c r="D284" s="57" t="s">
        <v>1859</v>
      </c>
      <c r="E284" s="56">
        <v>96</v>
      </c>
      <c r="F284" s="56">
        <v>56</v>
      </c>
      <c r="G284" s="56">
        <v>90</v>
      </c>
      <c r="H284" s="56">
        <v>50</v>
      </c>
      <c r="I284" s="56">
        <v>75</v>
      </c>
      <c r="J284" s="56">
        <v>65</v>
      </c>
      <c r="K284" s="52">
        <f t="shared" si="14"/>
        <v>432</v>
      </c>
      <c r="L284" s="27">
        <f t="shared" si="12"/>
        <v>51</v>
      </c>
      <c r="M284" s="62">
        <f t="shared" si="13"/>
        <v>883</v>
      </c>
      <c r="N284" s="63" t="s">
        <v>17</v>
      </c>
      <c r="O284" s="26" t="s">
        <v>42</v>
      </c>
    </row>
    <row r="285" spans="1:15" ht="16.5" customHeight="1">
      <c r="A285" s="56" t="s">
        <v>2523</v>
      </c>
      <c r="B285" s="57" t="s">
        <v>106</v>
      </c>
      <c r="C285" s="56" t="s">
        <v>1492</v>
      </c>
      <c r="D285" s="57" t="s">
        <v>1493</v>
      </c>
      <c r="E285" s="56">
        <v>109</v>
      </c>
      <c r="F285" s="56">
        <v>78</v>
      </c>
      <c r="G285" s="56">
        <v>97</v>
      </c>
      <c r="H285" s="56">
        <v>63</v>
      </c>
      <c r="I285" s="56">
        <v>78</v>
      </c>
      <c r="J285" s="56">
        <v>64</v>
      </c>
      <c r="K285" s="52">
        <f t="shared" si="14"/>
        <v>489</v>
      </c>
      <c r="L285" s="27">
        <f t="shared" si="12"/>
        <v>32</v>
      </c>
      <c r="M285" s="62">
        <f t="shared" si="13"/>
        <v>697</v>
      </c>
      <c r="N285" s="63" t="s">
        <v>17</v>
      </c>
      <c r="O285" s="26" t="s">
        <v>2243</v>
      </c>
    </row>
    <row r="286" spans="1:15" ht="16.5" customHeight="1">
      <c r="A286" s="56" t="s">
        <v>2524</v>
      </c>
      <c r="B286" s="57" t="s">
        <v>106</v>
      </c>
      <c r="C286" s="56" t="s">
        <v>830</v>
      </c>
      <c r="D286" s="57" t="s">
        <v>831</v>
      </c>
      <c r="E286" s="56">
        <v>117</v>
      </c>
      <c r="F286" s="56">
        <v>120</v>
      </c>
      <c r="G286" s="56">
        <v>89</v>
      </c>
      <c r="H286" s="56">
        <v>68</v>
      </c>
      <c r="I286" s="56">
        <v>82</v>
      </c>
      <c r="J286" s="56">
        <v>66</v>
      </c>
      <c r="K286" s="52">
        <f t="shared" si="14"/>
        <v>542</v>
      </c>
      <c r="L286" s="27">
        <f t="shared" si="12"/>
        <v>14</v>
      </c>
      <c r="M286" s="62">
        <f t="shared" si="13"/>
        <v>367</v>
      </c>
      <c r="N286" s="63" t="s">
        <v>16</v>
      </c>
      <c r="O286" s="26" t="s">
        <v>44</v>
      </c>
    </row>
    <row r="287" spans="1:15" ht="16.5" customHeight="1">
      <c r="A287" s="56" t="s">
        <v>2525</v>
      </c>
      <c r="B287" s="57" t="s">
        <v>249</v>
      </c>
      <c r="C287" s="56" t="s">
        <v>1942</v>
      </c>
      <c r="D287" s="57" t="s">
        <v>1943</v>
      </c>
      <c r="E287" s="56">
        <v>115</v>
      </c>
      <c r="F287" s="56">
        <v>56</v>
      </c>
      <c r="G287" s="56">
        <v>101</v>
      </c>
      <c r="H287" s="56">
        <v>31</v>
      </c>
      <c r="I287" s="56">
        <v>57</v>
      </c>
      <c r="J287" s="56">
        <v>46</v>
      </c>
      <c r="K287" s="52">
        <f t="shared" si="14"/>
        <v>406</v>
      </c>
      <c r="L287" s="27">
        <f>RANK(K287,$K$287:$K$343)</f>
        <v>53</v>
      </c>
      <c r="M287" s="62">
        <f t="shared" si="13"/>
        <v>925</v>
      </c>
      <c r="N287" s="63" t="s">
        <v>17</v>
      </c>
      <c r="O287" s="26" t="s">
        <v>2243</v>
      </c>
    </row>
    <row r="288" spans="1:15" ht="16.5" customHeight="1">
      <c r="A288" s="56" t="s">
        <v>2526</v>
      </c>
      <c r="B288" s="57" t="s">
        <v>249</v>
      </c>
      <c r="C288" s="56" t="s">
        <v>1500</v>
      </c>
      <c r="D288" s="57" t="s">
        <v>1501</v>
      </c>
      <c r="E288" s="56">
        <v>100</v>
      </c>
      <c r="F288" s="56">
        <v>94</v>
      </c>
      <c r="G288" s="56">
        <v>97.5</v>
      </c>
      <c r="H288" s="56">
        <v>73</v>
      </c>
      <c r="I288" s="56">
        <v>73</v>
      </c>
      <c r="J288" s="56">
        <v>50</v>
      </c>
      <c r="K288" s="52">
        <f t="shared" si="14"/>
        <v>487.5</v>
      </c>
      <c r="L288" s="27">
        <f t="shared" ref="L288:L343" si="15">RANK(K288,$K$287:$K$343)</f>
        <v>37</v>
      </c>
      <c r="M288" s="62">
        <f t="shared" si="13"/>
        <v>704</v>
      </c>
      <c r="N288" s="63" t="s">
        <v>16</v>
      </c>
      <c r="O288" s="26" t="s">
        <v>42</v>
      </c>
    </row>
    <row r="289" spans="1:15" ht="16.5" customHeight="1">
      <c r="A289" s="56" t="s">
        <v>2527</v>
      </c>
      <c r="B289" s="57" t="s">
        <v>249</v>
      </c>
      <c r="C289" s="56" t="s">
        <v>1386</v>
      </c>
      <c r="D289" s="57" t="s">
        <v>1387</v>
      </c>
      <c r="E289" s="56">
        <v>112</v>
      </c>
      <c r="F289" s="56">
        <v>83</v>
      </c>
      <c r="G289" s="56">
        <v>109</v>
      </c>
      <c r="H289" s="56">
        <v>63</v>
      </c>
      <c r="I289" s="56">
        <v>70</v>
      </c>
      <c r="J289" s="56">
        <v>62</v>
      </c>
      <c r="K289" s="52">
        <f t="shared" si="14"/>
        <v>499</v>
      </c>
      <c r="L289" s="27">
        <f t="shared" si="15"/>
        <v>33</v>
      </c>
      <c r="M289" s="62">
        <f t="shared" si="13"/>
        <v>646</v>
      </c>
      <c r="N289" s="63" t="s">
        <v>16</v>
      </c>
      <c r="O289" s="26" t="s">
        <v>2243</v>
      </c>
    </row>
    <row r="290" spans="1:15" ht="16.5" customHeight="1">
      <c r="A290" s="56" t="s">
        <v>2528</v>
      </c>
      <c r="B290" s="57" t="s">
        <v>249</v>
      </c>
      <c r="C290" s="56" t="s">
        <v>247</v>
      </c>
      <c r="D290" s="57" t="s">
        <v>248</v>
      </c>
      <c r="E290" s="56">
        <v>107</v>
      </c>
      <c r="F290" s="56">
        <v>122</v>
      </c>
      <c r="G290" s="56">
        <v>119.5</v>
      </c>
      <c r="H290" s="56">
        <v>92</v>
      </c>
      <c r="I290" s="56">
        <v>95</v>
      </c>
      <c r="J290" s="56">
        <v>74</v>
      </c>
      <c r="K290" s="52">
        <f t="shared" si="14"/>
        <v>609.5</v>
      </c>
      <c r="L290" s="27">
        <f t="shared" si="15"/>
        <v>1</v>
      </c>
      <c r="M290" s="62">
        <f t="shared" si="13"/>
        <v>74</v>
      </c>
      <c r="N290" s="63" t="s">
        <v>16</v>
      </c>
      <c r="O290" s="26" t="s">
        <v>42</v>
      </c>
    </row>
    <row r="291" spans="1:15" ht="16.5" customHeight="1">
      <c r="A291" s="56" t="s">
        <v>2529</v>
      </c>
      <c r="B291" s="57" t="s">
        <v>249</v>
      </c>
      <c r="C291" s="56" t="s">
        <v>323</v>
      </c>
      <c r="D291" s="57" t="s">
        <v>324</v>
      </c>
      <c r="E291" s="56">
        <v>105</v>
      </c>
      <c r="F291" s="56">
        <v>133</v>
      </c>
      <c r="G291" s="56">
        <v>95</v>
      </c>
      <c r="H291" s="56">
        <v>102</v>
      </c>
      <c r="I291" s="56">
        <v>85</v>
      </c>
      <c r="J291" s="56">
        <v>77</v>
      </c>
      <c r="K291" s="52">
        <f t="shared" si="14"/>
        <v>597</v>
      </c>
      <c r="L291" s="27">
        <f t="shared" si="15"/>
        <v>5</v>
      </c>
      <c r="M291" s="62">
        <f t="shared" si="13"/>
        <v>113</v>
      </c>
      <c r="N291" s="63" t="s">
        <v>16</v>
      </c>
      <c r="O291" s="26" t="s">
        <v>2243</v>
      </c>
    </row>
    <row r="292" spans="1:15" ht="16.5" customHeight="1">
      <c r="A292" s="56" t="s">
        <v>2530</v>
      </c>
      <c r="B292" s="57" t="s">
        <v>249</v>
      </c>
      <c r="C292" s="56" t="s">
        <v>718</v>
      </c>
      <c r="D292" s="57" t="s">
        <v>719</v>
      </c>
      <c r="E292" s="56">
        <v>116</v>
      </c>
      <c r="F292" s="56">
        <v>102</v>
      </c>
      <c r="G292" s="56">
        <v>118.5</v>
      </c>
      <c r="H292" s="56">
        <v>60</v>
      </c>
      <c r="I292" s="56">
        <v>85</v>
      </c>
      <c r="J292" s="56">
        <v>72</v>
      </c>
      <c r="K292" s="52">
        <f t="shared" si="14"/>
        <v>553.5</v>
      </c>
      <c r="L292" s="27">
        <f t="shared" si="15"/>
        <v>14</v>
      </c>
      <c r="M292" s="62">
        <f t="shared" si="13"/>
        <v>313</v>
      </c>
      <c r="N292" s="63" t="s">
        <v>16</v>
      </c>
      <c r="O292" s="26" t="s">
        <v>44</v>
      </c>
    </row>
    <row r="293" spans="1:15" ht="16.5" customHeight="1">
      <c r="A293" s="56" t="s">
        <v>2531</v>
      </c>
      <c r="B293" s="57" t="s">
        <v>249</v>
      </c>
      <c r="C293" s="56" t="s">
        <v>1354</v>
      </c>
      <c r="D293" s="57" t="s">
        <v>1355</v>
      </c>
      <c r="E293" s="56">
        <v>101</v>
      </c>
      <c r="F293" s="56">
        <v>95</v>
      </c>
      <c r="G293" s="56">
        <v>114</v>
      </c>
      <c r="H293" s="56">
        <v>58</v>
      </c>
      <c r="I293" s="56">
        <v>68</v>
      </c>
      <c r="J293" s="56">
        <v>65</v>
      </c>
      <c r="K293" s="52">
        <f t="shared" si="14"/>
        <v>501</v>
      </c>
      <c r="L293" s="27">
        <f t="shared" si="15"/>
        <v>30</v>
      </c>
      <c r="M293" s="62">
        <f t="shared" si="13"/>
        <v>631</v>
      </c>
      <c r="N293" s="63" t="s">
        <v>16</v>
      </c>
      <c r="O293" s="26" t="s">
        <v>44</v>
      </c>
    </row>
    <row r="294" spans="1:15" ht="16.5" customHeight="1">
      <c r="A294" s="56" t="s">
        <v>2532</v>
      </c>
      <c r="B294" s="57" t="s">
        <v>249</v>
      </c>
      <c r="C294" s="56" t="s">
        <v>442</v>
      </c>
      <c r="D294" s="57" t="s">
        <v>443</v>
      </c>
      <c r="E294" s="56">
        <v>118</v>
      </c>
      <c r="F294" s="56">
        <v>112</v>
      </c>
      <c r="G294" s="56">
        <v>126.5</v>
      </c>
      <c r="H294" s="56">
        <v>72</v>
      </c>
      <c r="I294" s="56">
        <v>85</v>
      </c>
      <c r="J294" s="56">
        <v>68</v>
      </c>
      <c r="K294" s="52">
        <f t="shared" si="14"/>
        <v>581.5</v>
      </c>
      <c r="L294" s="27">
        <f t="shared" si="15"/>
        <v>9</v>
      </c>
      <c r="M294" s="62">
        <f t="shared" si="13"/>
        <v>173</v>
      </c>
      <c r="N294" s="63" t="s">
        <v>16</v>
      </c>
      <c r="O294" s="26" t="s">
        <v>42</v>
      </c>
    </row>
    <row r="295" spans="1:15" ht="16.5" customHeight="1">
      <c r="A295" s="56" t="s">
        <v>2533</v>
      </c>
      <c r="B295" s="57" t="s">
        <v>249</v>
      </c>
      <c r="C295" s="56" t="s">
        <v>290</v>
      </c>
      <c r="D295" s="57" t="s">
        <v>291</v>
      </c>
      <c r="E295" s="56">
        <v>120</v>
      </c>
      <c r="F295" s="56">
        <v>120</v>
      </c>
      <c r="G295" s="56">
        <v>124</v>
      </c>
      <c r="H295" s="56">
        <v>77</v>
      </c>
      <c r="I295" s="56">
        <v>84</v>
      </c>
      <c r="J295" s="56">
        <v>77</v>
      </c>
      <c r="K295" s="52">
        <f t="shared" si="14"/>
        <v>602</v>
      </c>
      <c r="L295" s="27">
        <f t="shared" si="15"/>
        <v>4</v>
      </c>
      <c r="M295" s="62">
        <f t="shared" si="13"/>
        <v>97</v>
      </c>
      <c r="N295" s="63" t="s">
        <v>17</v>
      </c>
      <c r="O295" s="26" t="s">
        <v>2243</v>
      </c>
    </row>
    <row r="296" spans="1:15" ht="16.5" customHeight="1">
      <c r="A296" s="56" t="s">
        <v>2534</v>
      </c>
      <c r="B296" s="57" t="s">
        <v>249</v>
      </c>
      <c r="C296" s="56" t="s">
        <v>1880</v>
      </c>
      <c r="D296" s="57" t="s">
        <v>1881</v>
      </c>
      <c r="E296" s="56">
        <v>115</v>
      </c>
      <c r="F296" s="56">
        <v>61</v>
      </c>
      <c r="G296" s="56">
        <v>97.5</v>
      </c>
      <c r="H296" s="56">
        <v>38</v>
      </c>
      <c r="I296" s="56">
        <v>64</v>
      </c>
      <c r="J296" s="56">
        <v>53</v>
      </c>
      <c r="K296" s="52">
        <f t="shared" si="14"/>
        <v>428.5</v>
      </c>
      <c r="L296" s="27">
        <f t="shared" si="15"/>
        <v>51</v>
      </c>
      <c r="M296" s="62">
        <f t="shared" si="13"/>
        <v>894</v>
      </c>
      <c r="N296" s="63" t="s">
        <v>17</v>
      </c>
      <c r="O296" s="26" t="s">
        <v>2243</v>
      </c>
    </row>
    <row r="297" spans="1:15" ht="16.5" customHeight="1">
      <c r="A297" s="56" t="s">
        <v>2535</v>
      </c>
      <c r="B297" s="57" t="s">
        <v>249</v>
      </c>
      <c r="C297" s="56" t="s">
        <v>1854</v>
      </c>
      <c r="D297" s="57" t="s">
        <v>1855</v>
      </c>
      <c r="E297" s="56">
        <v>105</v>
      </c>
      <c r="F297" s="56">
        <v>51</v>
      </c>
      <c r="G297" s="56">
        <v>108</v>
      </c>
      <c r="H297" s="56">
        <v>34</v>
      </c>
      <c r="I297" s="56">
        <v>73</v>
      </c>
      <c r="J297" s="56">
        <v>63</v>
      </c>
      <c r="K297" s="52">
        <f t="shared" si="14"/>
        <v>434</v>
      </c>
      <c r="L297" s="27">
        <f t="shared" si="15"/>
        <v>47</v>
      </c>
      <c r="M297" s="62">
        <f t="shared" si="13"/>
        <v>880</v>
      </c>
      <c r="N297" s="63" t="s">
        <v>16</v>
      </c>
      <c r="O297" s="26" t="s">
        <v>2243</v>
      </c>
    </row>
    <row r="298" spans="1:15" ht="16.5" customHeight="1">
      <c r="A298" s="56" t="s">
        <v>2536</v>
      </c>
      <c r="B298" s="57" t="s">
        <v>249</v>
      </c>
      <c r="C298" s="56" t="s">
        <v>884</v>
      </c>
      <c r="D298" s="57" t="s">
        <v>885</v>
      </c>
      <c r="E298" s="56">
        <v>113</v>
      </c>
      <c r="F298" s="56">
        <v>83</v>
      </c>
      <c r="G298" s="56">
        <v>121.5</v>
      </c>
      <c r="H298" s="56">
        <v>80</v>
      </c>
      <c r="I298" s="56">
        <v>74</v>
      </c>
      <c r="J298" s="56">
        <v>66</v>
      </c>
      <c r="K298" s="52">
        <f t="shared" si="14"/>
        <v>537.5</v>
      </c>
      <c r="L298" s="27">
        <f t="shared" si="15"/>
        <v>17</v>
      </c>
      <c r="M298" s="62">
        <f t="shared" si="13"/>
        <v>396</v>
      </c>
      <c r="N298" s="63" t="s">
        <v>16</v>
      </c>
      <c r="O298" s="26" t="s">
        <v>42</v>
      </c>
    </row>
    <row r="299" spans="1:15" ht="16.5" customHeight="1">
      <c r="A299" s="56" t="s">
        <v>2537</v>
      </c>
      <c r="B299" s="57" t="s">
        <v>249</v>
      </c>
      <c r="C299" s="56" t="s">
        <v>547</v>
      </c>
      <c r="D299" s="57" t="s">
        <v>548</v>
      </c>
      <c r="E299" s="56">
        <v>111</v>
      </c>
      <c r="F299" s="56">
        <v>124</v>
      </c>
      <c r="G299" s="56">
        <v>122.5</v>
      </c>
      <c r="H299" s="56">
        <v>82</v>
      </c>
      <c r="I299" s="56">
        <v>70</v>
      </c>
      <c r="J299" s="56">
        <v>63</v>
      </c>
      <c r="K299" s="52">
        <f t="shared" si="14"/>
        <v>572.5</v>
      </c>
      <c r="L299" s="27">
        <f t="shared" si="15"/>
        <v>11</v>
      </c>
      <c r="M299" s="62">
        <f t="shared" si="13"/>
        <v>226</v>
      </c>
      <c r="N299" s="63" t="s">
        <v>16</v>
      </c>
      <c r="O299" s="26" t="s">
        <v>42</v>
      </c>
    </row>
    <row r="300" spans="1:15" ht="16.5" customHeight="1">
      <c r="A300" s="56" t="s">
        <v>2538</v>
      </c>
      <c r="B300" s="57" t="s">
        <v>249</v>
      </c>
      <c r="C300" s="56" t="s">
        <v>1954</v>
      </c>
      <c r="D300" s="57" t="s">
        <v>1955</v>
      </c>
      <c r="E300" s="56">
        <v>105</v>
      </c>
      <c r="F300" s="56">
        <v>55</v>
      </c>
      <c r="G300" s="56">
        <v>85.5</v>
      </c>
      <c r="H300" s="56">
        <v>51</v>
      </c>
      <c r="I300" s="56">
        <v>52</v>
      </c>
      <c r="J300" s="56">
        <v>50</v>
      </c>
      <c r="K300" s="52">
        <f t="shared" si="14"/>
        <v>398.5</v>
      </c>
      <c r="L300" s="27">
        <f t="shared" si="15"/>
        <v>54</v>
      </c>
      <c r="M300" s="62">
        <f t="shared" si="13"/>
        <v>931</v>
      </c>
      <c r="N300" s="63" t="s">
        <v>17</v>
      </c>
      <c r="O300" s="26" t="s">
        <v>2243</v>
      </c>
    </row>
    <row r="301" spans="1:15" ht="16.5" customHeight="1">
      <c r="A301" s="56" t="s">
        <v>2539</v>
      </c>
      <c r="B301" s="57" t="s">
        <v>249</v>
      </c>
      <c r="C301" s="56" t="s">
        <v>362</v>
      </c>
      <c r="D301" s="57" t="s">
        <v>363</v>
      </c>
      <c r="E301" s="56">
        <v>100</v>
      </c>
      <c r="F301" s="56">
        <v>132</v>
      </c>
      <c r="G301" s="56">
        <v>101.5</v>
      </c>
      <c r="H301" s="56">
        <v>93</v>
      </c>
      <c r="I301" s="56">
        <v>86</v>
      </c>
      <c r="J301" s="56">
        <v>79</v>
      </c>
      <c r="K301" s="52">
        <f t="shared" si="14"/>
        <v>591.5</v>
      </c>
      <c r="L301" s="27">
        <f t="shared" si="15"/>
        <v>6</v>
      </c>
      <c r="M301" s="62">
        <f t="shared" si="13"/>
        <v>132</v>
      </c>
      <c r="N301" s="63" t="s">
        <v>17</v>
      </c>
      <c r="O301" s="26" t="s">
        <v>42</v>
      </c>
    </row>
    <row r="302" spans="1:15" ht="16.5" customHeight="1">
      <c r="A302" s="56" t="s">
        <v>2540</v>
      </c>
      <c r="B302" s="57" t="s">
        <v>249</v>
      </c>
      <c r="C302" s="56" t="s">
        <v>1070</v>
      </c>
      <c r="D302" s="57" t="s">
        <v>1071</v>
      </c>
      <c r="E302" s="56">
        <v>113</v>
      </c>
      <c r="F302" s="56">
        <v>102</v>
      </c>
      <c r="G302" s="56">
        <v>103.5</v>
      </c>
      <c r="H302" s="56">
        <v>59</v>
      </c>
      <c r="I302" s="56">
        <v>86</v>
      </c>
      <c r="J302" s="56">
        <v>59</v>
      </c>
      <c r="K302" s="52">
        <f t="shared" si="14"/>
        <v>522.5</v>
      </c>
      <c r="L302" s="27">
        <f t="shared" si="15"/>
        <v>23</v>
      </c>
      <c r="M302" s="62">
        <f t="shared" si="13"/>
        <v>488</v>
      </c>
      <c r="N302" s="63" t="s">
        <v>16</v>
      </c>
      <c r="O302" s="26" t="s">
        <v>2243</v>
      </c>
    </row>
    <row r="303" spans="1:15" ht="16.5" customHeight="1">
      <c r="A303" s="56" t="s">
        <v>2541</v>
      </c>
      <c r="B303" s="57" t="s">
        <v>249</v>
      </c>
      <c r="C303" s="56" t="s">
        <v>1170</v>
      </c>
      <c r="D303" s="57" t="s">
        <v>1171</v>
      </c>
      <c r="E303" s="56">
        <v>115</v>
      </c>
      <c r="F303" s="56">
        <v>102</v>
      </c>
      <c r="G303" s="56">
        <v>96.5</v>
      </c>
      <c r="H303" s="56">
        <v>66</v>
      </c>
      <c r="I303" s="56">
        <v>79</v>
      </c>
      <c r="J303" s="56">
        <v>57</v>
      </c>
      <c r="K303" s="52">
        <f t="shared" si="14"/>
        <v>515.5</v>
      </c>
      <c r="L303" s="27">
        <f t="shared" si="15"/>
        <v>25</v>
      </c>
      <c r="M303" s="62">
        <f t="shared" si="13"/>
        <v>537</v>
      </c>
      <c r="N303" s="63" t="s">
        <v>17</v>
      </c>
      <c r="O303" s="26" t="s">
        <v>2243</v>
      </c>
    </row>
    <row r="304" spans="1:15" ht="16.5" customHeight="1">
      <c r="A304" s="56" t="s">
        <v>2542</v>
      </c>
      <c r="B304" s="57" t="s">
        <v>249</v>
      </c>
      <c r="C304" s="56" t="s">
        <v>1030</v>
      </c>
      <c r="D304" s="57" t="s">
        <v>1031</v>
      </c>
      <c r="E304" s="56">
        <v>109</v>
      </c>
      <c r="F304" s="56">
        <v>88</v>
      </c>
      <c r="G304" s="56">
        <v>111</v>
      </c>
      <c r="H304" s="56">
        <v>66</v>
      </c>
      <c r="I304" s="56">
        <v>74</v>
      </c>
      <c r="J304" s="56">
        <v>77</v>
      </c>
      <c r="K304" s="52">
        <f t="shared" si="14"/>
        <v>525</v>
      </c>
      <c r="L304" s="27">
        <f t="shared" si="15"/>
        <v>22</v>
      </c>
      <c r="M304" s="62">
        <f t="shared" si="13"/>
        <v>467</v>
      </c>
      <c r="N304" s="63" t="s">
        <v>16</v>
      </c>
      <c r="O304" s="26" t="s">
        <v>2243</v>
      </c>
    </row>
    <row r="305" spans="1:15" ht="16.5" customHeight="1">
      <c r="A305" s="56" t="s">
        <v>2543</v>
      </c>
      <c r="B305" s="57" t="s">
        <v>249</v>
      </c>
      <c r="C305" s="56" t="s">
        <v>1576</v>
      </c>
      <c r="D305" s="57" t="s">
        <v>1577</v>
      </c>
      <c r="E305" s="56">
        <v>89</v>
      </c>
      <c r="F305" s="56">
        <v>79</v>
      </c>
      <c r="G305" s="56">
        <v>90</v>
      </c>
      <c r="H305" s="56">
        <v>74</v>
      </c>
      <c r="I305" s="56">
        <v>87</v>
      </c>
      <c r="J305" s="56">
        <v>60</v>
      </c>
      <c r="K305" s="52">
        <f t="shared" si="14"/>
        <v>479</v>
      </c>
      <c r="L305" s="27">
        <f t="shared" si="15"/>
        <v>41</v>
      </c>
      <c r="M305" s="62">
        <f t="shared" si="13"/>
        <v>742</v>
      </c>
      <c r="N305" s="63" t="s">
        <v>16</v>
      </c>
      <c r="O305" s="26" t="s">
        <v>44</v>
      </c>
    </row>
    <row r="306" spans="1:15" ht="16.5" customHeight="1">
      <c r="A306" s="56" t="s">
        <v>2544</v>
      </c>
      <c r="B306" s="57" t="s">
        <v>249</v>
      </c>
      <c r="C306" s="56" t="s">
        <v>958</v>
      </c>
      <c r="D306" s="57" t="s">
        <v>959</v>
      </c>
      <c r="E306" s="56">
        <v>110</v>
      </c>
      <c r="F306" s="56">
        <v>94</v>
      </c>
      <c r="G306" s="56">
        <v>112</v>
      </c>
      <c r="H306" s="56">
        <v>67</v>
      </c>
      <c r="I306" s="56">
        <v>85</v>
      </c>
      <c r="J306" s="56">
        <v>62</v>
      </c>
      <c r="K306" s="52">
        <f t="shared" si="14"/>
        <v>530</v>
      </c>
      <c r="L306" s="27">
        <f t="shared" si="15"/>
        <v>20</v>
      </c>
      <c r="M306" s="62">
        <f t="shared" si="13"/>
        <v>433</v>
      </c>
      <c r="N306" s="63" t="s">
        <v>16</v>
      </c>
      <c r="O306" s="26" t="s">
        <v>44</v>
      </c>
    </row>
    <row r="307" spans="1:15" ht="16.5" customHeight="1">
      <c r="A307" s="56" t="s">
        <v>2545</v>
      </c>
      <c r="B307" s="57" t="s">
        <v>249</v>
      </c>
      <c r="C307" s="56" t="s">
        <v>1536</v>
      </c>
      <c r="D307" s="57" t="s">
        <v>1537</v>
      </c>
      <c r="E307" s="56">
        <v>121</v>
      </c>
      <c r="F307" s="56">
        <v>75</v>
      </c>
      <c r="G307" s="56">
        <v>99.5</v>
      </c>
      <c r="H307" s="56">
        <v>54</v>
      </c>
      <c r="I307" s="56">
        <v>70</v>
      </c>
      <c r="J307" s="56">
        <v>64</v>
      </c>
      <c r="K307" s="52">
        <f t="shared" si="14"/>
        <v>483.5</v>
      </c>
      <c r="L307" s="27">
        <f t="shared" si="15"/>
        <v>38</v>
      </c>
      <c r="M307" s="62">
        <f t="shared" si="13"/>
        <v>722</v>
      </c>
      <c r="N307" s="63" t="s">
        <v>16</v>
      </c>
      <c r="O307" s="26" t="s">
        <v>42</v>
      </c>
    </row>
    <row r="308" spans="1:15" ht="16.5" customHeight="1">
      <c r="A308" s="56" t="s">
        <v>2546</v>
      </c>
      <c r="B308" s="57" t="s">
        <v>249</v>
      </c>
      <c r="C308" s="56" t="s">
        <v>1698</v>
      </c>
      <c r="D308" s="57" t="s">
        <v>1699</v>
      </c>
      <c r="E308" s="56">
        <v>100</v>
      </c>
      <c r="F308" s="56">
        <v>95</v>
      </c>
      <c r="G308" s="56">
        <v>89</v>
      </c>
      <c r="H308" s="56">
        <v>41</v>
      </c>
      <c r="I308" s="56">
        <v>76</v>
      </c>
      <c r="J308" s="56">
        <v>63</v>
      </c>
      <c r="K308" s="52">
        <f t="shared" si="14"/>
        <v>464</v>
      </c>
      <c r="L308" s="27">
        <f t="shared" si="15"/>
        <v>44</v>
      </c>
      <c r="M308" s="62">
        <f t="shared" si="13"/>
        <v>802</v>
      </c>
      <c r="N308" s="63" t="s">
        <v>16</v>
      </c>
      <c r="O308" s="26" t="s">
        <v>44</v>
      </c>
    </row>
    <row r="309" spans="1:15" ht="16.5" customHeight="1">
      <c r="A309" s="56" t="s">
        <v>2547</v>
      </c>
      <c r="B309" s="57" t="s">
        <v>249</v>
      </c>
      <c r="C309" s="56" t="s">
        <v>1872</v>
      </c>
      <c r="D309" s="57" t="s">
        <v>1873</v>
      </c>
      <c r="E309" s="56">
        <v>107</v>
      </c>
      <c r="F309" s="56">
        <v>61</v>
      </c>
      <c r="G309" s="56">
        <v>90.5</v>
      </c>
      <c r="H309" s="56">
        <v>44</v>
      </c>
      <c r="I309" s="56">
        <v>68</v>
      </c>
      <c r="J309" s="56">
        <v>59</v>
      </c>
      <c r="K309" s="52">
        <f t="shared" si="14"/>
        <v>429.5</v>
      </c>
      <c r="L309" s="27">
        <f t="shared" si="15"/>
        <v>49</v>
      </c>
      <c r="M309" s="62">
        <f t="shared" si="13"/>
        <v>890</v>
      </c>
      <c r="N309" s="63" t="s">
        <v>17</v>
      </c>
      <c r="O309" s="26" t="s">
        <v>42</v>
      </c>
    </row>
    <row r="310" spans="1:15" ht="16.5" customHeight="1">
      <c r="A310" s="56" t="s">
        <v>2548</v>
      </c>
      <c r="B310" s="57" t="s">
        <v>249</v>
      </c>
      <c r="C310" s="56" t="s">
        <v>1930</v>
      </c>
      <c r="D310" s="57" t="s">
        <v>1931</v>
      </c>
      <c r="E310" s="56">
        <v>116</v>
      </c>
      <c r="F310" s="56">
        <v>44</v>
      </c>
      <c r="G310" s="56">
        <v>117</v>
      </c>
      <c r="H310" s="56">
        <v>35</v>
      </c>
      <c r="I310" s="56">
        <v>57</v>
      </c>
      <c r="J310" s="56">
        <v>45</v>
      </c>
      <c r="K310" s="52">
        <f t="shared" si="14"/>
        <v>414</v>
      </c>
      <c r="L310" s="27">
        <f t="shared" si="15"/>
        <v>52</v>
      </c>
      <c r="M310" s="62">
        <f t="shared" si="13"/>
        <v>919</v>
      </c>
      <c r="N310" s="63" t="s">
        <v>17</v>
      </c>
      <c r="O310" s="26" t="s">
        <v>2243</v>
      </c>
    </row>
    <row r="311" spans="1:15" ht="16.5" customHeight="1">
      <c r="A311" s="56" t="s">
        <v>2549</v>
      </c>
      <c r="B311" s="57" t="s">
        <v>249</v>
      </c>
      <c r="C311" s="56" t="s">
        <v>732</v>
      </c>
      <c r="D311" s="57" t="s">
        <v>733</v>
      </c>
      <c r="E311" s="56">
        <v>117</v>
      </c>
      <c r="F311" s="56">
        <v>106</v>
      </c>
      <c r="G311" s="56">
        <v>111</v>
      </c>
      <c r="H311" s="56">
        <v>79</v>
      </c>
      <c r="I311" s="56">
        <v>80</v>
      </c>
      <c r="J311" s="56">
        <v>59</v>
      </c>
      <c r="K311" s="52">
        <f t="shared" si="14"/>
        <v>552</v>
      </c>
      <c r="L311" s="27">
        <f t="shared" si="15"/>
        <v>15</v>
      </c>
      <c r="M311" s="62">
        <f t="shared" si="13"/>
        <v>319</v>
      </c>
      <c r="N311" s="63" t="s">
        <v>16</v>
      </c>
      <c r="O311" s="26" t="s">
        <v>2243</v>
      </c>
    </row>
    <row r="312" spans="1:15" ht="16.5" customHeight="1">
      <c r="A312" s="56" t="s">
        <v>2550</v>
      </c>
      <c r="B312" s="57" t="s">
        <v>249</v>
      </c>
      <c r="C312" s="56" t="s">
        <v>1274</v>
      </c>
      <c r="D312" s="57" t="s">
        <v>1275</v>
      </c>
      <c r="E312" s="56">
        <v>116</v>
      </c>
      <c r="F312" s="56">
        <v>72</v>
      </c>
      <c r="G312" s="56">
        <v>114</v>
      </c>
      <c r="H312" s="56">
        <v>70</v>
      </c>
      <c r="I312" s="56">
        <v>60</v>
      </c>
      <c r="J312" s="56">
        <v>76</v>
      </c>
      <c r="K312" s="52">
        <f t="shared" si="14"/>
        <v>508</v>
      </c>
      <c r="L312" s="27">
        <f t="shared" si="15"/>
        <v>27</v>
      </c>
      <c r="M312" s="62">
        <f t="shared" si="13"/>
        <v>588</v>
      </c>
      <c r="N312" s="63" t="s">
        <v>16</v>
      </c>
      <c r="O312" s="26" t="s">
        <v>2243</v>
      </c>
    </row>
    <row r="313" spans="1:15" ht="16.5" customHeight="1">
      <c r="A313" s="56" t="s">
        <v>2551</v>
      </c>
      <c r="B313" s="57" t="s">
        <v>249</v>
      </c>
      <c r="C313" s="56" t="s">
        <v>934</v>
      </c>
      <c r="D313" s="57" t="s">
        <v>935</v>
      </c>
      <c r="E313" s="56">
        <v>105</v>
      </c>
      <c r="F313" s="56">
        <v>117</v>
      </c>
      <c r="G313" s="56">
        <v>93.5</v>
      </c>
      <c r="H313" s="56">
        <v>79</v>
      </c>
      <c r="I313" s="56">
        <v>80</v>
      </c>
      <c r="J313" s="56">
        <v>58</v>
      </c>
      <c r="K313" s="52">
        <f t="shared" si="14"/>
        <v>532.5</v>
      </c>
      <c r="L313" s="27">
        <f t="shared" si="15"/>
        <v>18</v>
      </c>
      <c r="M313" s="62">
        <f t="shared" si="13"/>
        <v>418</v>
      </c>
      <c r="N313" s="63" t="s">
        <v>17</v>
      </c>
      <c r="O313" s="26" t="s">
        <v>2243</v>
      </c>
    </row>
    <row r="314" spans="1:15" ht="16.5" customHeight="1">
      <c r="A314" s="56" t="s">
        <v>2552</v>
      </c>
      <c r="B314" s="57" t="s">
        <v>249</v>
      </c>
      <c r="C314" s="56" t="s">
        <v>852</v>
      </c>
      <c r="D314" s="57" t="s">
        <v>853</v>
      </c>
      <c r="E314" s="56">
        <v>112</v>
      </c>
      <c r="F314" s="56">
        <v>97</v>
      </c>
      <c r="G314" s="56">
        <v>99.5</v>
      </c>
      <c r="H314" s="56">
        <v>82</v>
      </c>
      <c r="I314" s="56">
        <v>78</v>
      </c>
      <c r="J314" s="56">
        <v>72</v>
      </c>
      <c r="K314" s="52">
        <f t="shared" si="14"/>
        <v>540.5</v>
      </c>
      <c r="L314" s="27">
        <f t="shared" si="15"/>
        <v>16</v>
      </c>
      <c r="M314" s="62">
        <f t="shared" si="13"/>
        <v>379</v>
      </c>
      <c r="N314" s="63" t="s">
        <v>17</v>
      </c>
      <c r="O314" s="26" t="s">
        <v>42</v>
      </c>
    </row>
    <row r="315" spans="1:15" ht="16.5" customHeight="1">
      <c r="A315" s="56" t="s">
        <v>2553</v>
      </c>
      <c r="B315" s="57" t="s">
        <v>249</v>
      </c>
      <c r="C315" s="56" t="s">
        <v>1574</v>
      </c>
      <c r="D315" s="57" t="s">
        <v>1575</v>
      </c>
      <c r="E315" s="56">
        <v>106</v>
      </c>
      <c r="F315" s="56">
        <v>78</v>
      </c>
      <c r="G315" s="56">
        <v>107.5</v>
      </c>
      <c r="H315" s="56">
        <v>51</v>
      </c>
      <c r="I315" s="56">
        <v>72</v>
      </c>
      <c r="J315" s="56">
        <v>65</v>
      </c>
      <c r="K315" s="52">
        <f t="shared" si="14"/>
        <v>479.5</v>
      </c>
      <c r="L315" s="27">
        <f t="shared" si="15"/>
        <v>40</v>
      </c>
      <c r="M315" s="62">
        <f t="shared" si="13"/>
        <v>740</v>
      </c>
      <c r="N315" s="63" t="s">
        <v>17</v>
      </c>
      <c r="O315" s="26" t="s">
        <v>2243</v>
      </c>
    </row>
    <row r="316" spans="1:15" ht="16.5" customHeight="1">
      <c r="A316" s="56" t="s">
        <v>2554</v>
      </c>
      <c r="B316" s="57" t="s">
        <v>249</v>
      </c>
      <c r="C316" s="56" t="s">
        <v>416</v>
      </c>
      <c r="D316" s="57" t="s">
        <v>417</v>
      </c>
      <c r="E316" s="56">
        <v>111</v>
      </c>
      <c r="F316" s="56">
        <v>112</v>
      </c>
      <c r="G316" s="56">
        <v>137.5</v>
      </c>
      <c r="H316" s="56">
        <v>74</v>
      </c>
      <c r="I316" s="56">
        <v>75</v>
      </c>
      <c r="J316" s="56">
        <v>76</v>
      </c>
      <c r="K316" s="52">
        <f t="shared" si="14"/>
        <v>585.5</v>
      </c>
      <c r="L316" s="27">
        <f t="shared" si="15"/>
        <v>7</v>
      </c>
      <c r="M316" s="62">
        <f t="shared" si="13"/>
        <v>160</v>
      </c>
      <c r="N316" s="63" t="s">
        <v>16</v>
      </c>
      <c r="O316" s="26" t="s">
        <v>42</v>
      </c>
    </row>
    <row r="317" spans="1:15" ht="16.5" customHeight="1">
      <c r="A317" s="56" t="s">
        <v>2555</v>
      </c>
      <c r="B317" s="57" t="s">
        <v>249</v>
      </c>
      <c r="C317" s="56" t="s">
        <v>508</v>
      </c>
      <c r="D317" s="57" t="s">
        <v>509</v>
      </c>
      <c r="E317" s="56">
        <v>112</v>
      </c>
      <c r="F317" s="56">
        <v>106</v>
      </c>
      <c r="G317" s="56">
        <v>128.5</v>
      </c>
      <c r="H317" s="56">
        <v>72</v>
      </c>
      <c r="I317" s="56">
        <v>82</v>
      </c>
      <c r="J317" s="56">
        <v>75</v>
      </c>
      <c r="K317" s="52">
        <f t="shared" si="14"/>
        <v>575.5</v>
      </c>
      <c r="L317" s="27">
        <f t="shared" si="15"/>
        <v>10</v>
      </c>
      <c r="M317" s="62">
        <f t="shared" si="13"/>
        <v>204</v>
      </c>
      <c r="N317" s="63" t="s">
        <v>16</v>
      </c>
      <c r="O317" s="26" t="s">
        <v>44</v>
      </c>
    </row>
    <row r="318" spans="1:15" ht="16.5" customHeight="1">
      <c r="A318" s="56" t="s">
        <v>2556</v>
      </c>
      <c r="B318" s="57" t="s">
        <v>249</v>
      </c>
      <c r="C318" s="56" t="s">
        <v>284</v>
      </c>
      <c r="D318" s="57" t="s">
        <v>285</v>
      </c>
      <c r="E318" s="56">
        <v>113</v>
      </c>
      <c r="F318" s="56">
        <v>115</v>
      </c>
      <c r="G318" s="56">
        <v>127.5</v>
      </c>
      <c r="H318" s="56">
        <v>74</v>
      </c>
      <c r="I318" s="56">
        <v>93</v>
      </c>
      <c r="J318" s="56">
        <v>81</v>
      </c>
      <c r="K318" s="52">
        <f t="shared" si="14"/>
        <v>603.5</v>
      </c>
      <c r="L318" s="27">
        <f t="shared" si="15"/>
        <v>3</v>
      </c>
      <c r="M318" s="62">
        <f t="shared" si="13"/>
        <v>93</v>
      </c>
      <c r="N318" s="63" t="s">
        <v>16</v>
      </c>
      <c r="O318" s="26" t="s">
        <v>2243</v>
      </c>
    </row>
    <row r="319" spans="1:15" ht="16.5" customHeight="1">
      <c r="A319" s="56" t="s">
        <v>2557</v>
      </c>
      <c r="B319" s="57" t="s">
        <v>249</v>
      </c>
      <c r="C319" s="56" t="s">
        <v>1856</v>
      </c>
      <c r="D319" s="57" t="s">
        <v>1857</v>
      </c>
      <c r="E319" s="56">
        <v>104</v>
      </c>
      <c r="F319" s="56">
        <v>56</v>
      </c>
      <c r="G319" s="56">
        <v>76.5</v>
      </c>
      <c r="H319" s="56">
        <v>55</v>
      </c>
      <c r="I319" s="56">
        <v>78</v>
      </c>
      <c r="J319" s="56">
        <v>63</v>
      </c>
      <c r="K319" s="52">
        <f t="shared" si="14"/>
        <v>432.5</v>
      </c>
      <c r="L319" s="27">
        <f t="shared" si="15"/>
        <v>48</v>
      </c>
      <c r="M319" s="62">
        <f t="shared" si="13"/>
        <v>882</v>
      </c>
      <c r="N319" s="63" t="s">
        <v>17</v>
      </c>
      <c r="O319" s="26" t="s">
        <v>42</v>
      </c>
    </row>
    <row r="320" spans="1:15" ht="16.5" customHeight="1">
      <c r="A320" s="56" t="s">
        <v>2558</v>
      </c>
      <c r="B320" s="57" t="s">
        <v>249</v>
      </c>
      <c r="C320" s="56" t="s">
        <v>1470</v>
      </c>
      <c r="D320" s="57" t="s">
        <v>1471</v>
      </c>
      <c r="E320" s="56">
        <v>109</v>
      </c>
      <c r="F320" s="56">
        <v>97</v>
      </c>
      <c r="G320" s="56">
        <v>116.5</v>
      </c>
      <c r="H320" s="56">
        <v>53</v>
      </c>
      <c r="I320" s="56">
        <v>60</v>
      </c>
      <c r="J320" s="56">
        <v>56</v>
      </c>
      <c r="K320" s="52">
        <f t="shared" si="14"/>
        <v>491.5</v>
      </c>
      <c r="L320" s="27">
        <f t="shared" si="15"/>
        <v>35</v>
      </c>
      <c r="M320" s="62">
        <f t="shared" si="13"/>
        <v>688</v>
      </c>
      <c r="N320" s="63" t="s">
        <v>16</v>
      </c>
      <c r="O320" s="26" t="s">
        <v>2243</v>
      </c>
    </row>
    <row r="321" spans="1:15" ht="16.5" customHeight="1">
      <c r="A321" s="56" t="s">
        <v>2559</v>
      </c>
      <c r="B321" s="57" t="s">
        <v>249</v>
      </c>
      <c r="C321" s="56" t="s">
        <v>1642</v>
      </c>
      <c r="D321" s="57" t="s">
        <v>1643</v>
      </c>
      <c r="E321" s="56">
        <v>103</v>
      </c>
      <c r="F321" s="56">
        <v>86</v>
      </c>
      <c r="G321" s="56">
        <v>93.5</v>
      </c>
      <c r="H321" s="56">
        <v>65</v>
      </c>
      <c r="I321" s="56">
        <v>66</v>
      </c>
      <c r="J321" s="56">
        <v>58</v>
      </c>
      <c r="K321" s="52">
        <f t="shared" si="14"/>
        <v>471.5</v>
      </c>
      <c r="L321" s="27">
        <f t="shared" si="15"/>
        <v>43</v>
      </c>
      <c r="M321" s="62">
        <f t="shared" si="13"/>
        <v>774</v>
      </c>
      <c r="N321" s="63" t="s">
        <v>16</v>
      </c>
      <c r="O321" s="26" t="s">
        <v>2243</v>
      </c>
    </row>
    <row r="322" spans="1:15" ht="16.5" customHeight="1">
      <c r="A322" s="56" t="s">
        <v>2560</v>
      </c>
      <c r="B322" s="57" t="s">
        <v>249</v>
      </c>
      <c r="C322" s="56" t="s">
        <v>1002</v>
      </c>
      <c r="D322" s="57" t="s">
        <v>1003</v>
      </c>
      <c r="E322" s="56">
        <v>104</v>
      </c>
      <c r="F322" s="56">
        <v>109</v>
      </c>
      <c r="G322" s="56">
        <v>98.5</v>
      </c>
      <c r="H322" s="56">
        <v>82</v>
      </c>
      <c r="I322" s="56">
        <v>81</v>
      </c>
      <c r="J322" s="56">
        <v>53</v>
      </c>
      <c r="K322" s="52">
        <f t="shared" si="14"/>
        <v>527.5</v>
      </c>
      <c r="L322" s="27">
        <f t="shared" si="15"/>
        <v>21</v>
      </c>
      <c r="M322" s="62">
        <f t="shared" si="13"/>
        <v>455</v>
      </c>
      <c r="N322" s="63" t="s">
        <v>17</v>
      </c>
      <c r="O322" s="26" t="s">
        <v>2243</v>
      </c>
    </row>
    <row r="323" spans="1:15" ht="16.5" customHeight="1">
      <c r="A323" s="56" t="s">
        <v>2561</v>
      </c>
      <c r="B323" s="57" t="s">
        <v>249</v>
      </c>
      <c r="C323" s="56" t="s">
        <v>675</v>
      </c>
      <c r="D323" s="57" t="s">
        <v>676</v>
      </c>
      <c r="E323" s="56">
        <v>113</v>
      </c>
      <c r="F323" s="56">
        <v>115</v>
      </c>
      <c r="G323" s="56">
        <v>114</v>
      </c>
      <c r="H323" s="56">
        <v>77</v>
      </c>
      <c r="I323" s="56">
        <v>79</v>
      </c>
      <c r="J323" s="56">
        <v>59</v>
      </c>
      <c r="K323" s="52">
        <f t="shared" si="14"/>
        <v>557</v>
      </c>
      <c r="L323" s="27">
        <f t="shared" si="15"/>
        <v>12</v>
      </c>
      <c r="M323" s="62">
        <f t="shared" ref="M323:M386" si="16">RANK(K323,$K$3:$K$953)</f>
        <v>291</v>
      </c>
      <c r="N323" s="63" t="s">
        <v>16</v>
      </c>
      <c r="O323" s="26" t="s">
        <v>42</v>
      </c>
    </row>
    <row r="324" spans="1:15" ht="16.5" customHeight="1">
      <c r="A324" s="56" t="s">
        <v>2562</v>
      </c>
      <c r="B324" s="57" t="s">
        <v>249</v>
      </c>
      <c r="C324" s="56" t="s">
        <v>1720</v>
      </c>
      <c r="D324" s="57" t="s">
        <v>1721</v>
      </c>
      <c r="E324" s="56">
        <v>104</v>
      </c>
      <c r="F324" s="56">
        <v>73</v>
      </c>
      <c r="G324" s="56">
        <v>99</v>
      </c>
      <c r="H324" s="56">
        <v>69</v>
      </c>
      <c r="I324" s="56">
        <v>66</v>
      </c>
      <c r="J324" s="56">
        <v>51</v>
      </c>
      <c r="K324" s="52">
        <f t="shared" ref="K324:K387" si="17">SUM(E324:J324)</f>
        <v>462</v>
      </c>
      <c r="L324" s="27">
        <f t="shared" si="15"/>
        <v>45</v>
      </c>
      <c r="M324" s="62">
        <f t="shared" si="16"/>
        <v>814</v>
      </c>
      <c r="N324" s="63" t="s">
        <v>16</v>
      </c>
      <c r="O324" s="26" t="s">
        <v>2243</v>
      </c>
    </row>
    <row r="325" spans="1:15" ht="16.5" customHeight="1">
      <c r="A325" s="56" t="s">
        <v>2563</v>
      </c>
      <c r="B325" s="57" t="s">
        <v>249</v>
      </c>
      <c r="C325" s="56" t="s">
        <v>716</v>
      </c>
      <c r="D325" s="57" t="s">
        <v>717</v>
      </c>
      <c r="E325" s="56">
        <v>112</v>
      </c>
      <c r="F325" s="56">
        <v>106</v>
      </c>
      <c r="G325" s="56">
        <v>104</v>
      </c>
      <c r="H325" s="56">
        <v>81</v>
      </c>
      <c r="I325" s="56">
        <v>80</v>
      </c>
      <c r="J325" s="56">
        <v>71</v>
      </c>
      <c r="K325" s="52">
        <f t="shared" si="17"/>
        <v>554</v>
      </c>
      <c r="L325" s="27">
        <f t="shared" si="15"/>
        <v>13</v>
      </c>
      <c r="M325" s="62">
        <f t="shared" si="16"/>
        <v>310</v>
      </c>
      <c r="N325" s="63" t="s">
        <v>16</v>
      </c>
      <c r="O325" s="26" t="s">
        <v>44</v>
      </c>
    </row>
    <row r="326" spans="1:15" ht="16.5" customHeight="1">
      <c r="A326" s="56" t="s">
        <v>2564</v>
      </c>
      <c r="B326" s="57" t="s">
        <v>249</v>
      </c>
      <c r="C326" s="56" t="s">
        <v>1342</v>
      </c>
      <c r="D326" s="57" t="s">
        <v>1343</v>
      </c>
      <c r="E326" s="56">
        <v>111</v>
      </c>
      <c r="F326" s="56">
        <v>91</v>
      </c>
      <c r="G326" s="56">
        <v>120</v>
      </c>
      <c r="H326" s="56">
        <v>57</v>
      </c>
      <c r="I326" s="56">
        <v>58</v>
      </c>
      <c r="J326" s="56">
        <v>65</v>
      </c>
      <c r="K326" s="52">
        <f t="shared" si="17"/>
        <v>502</v>
      </c>
      <c r="L326" s="27">
        <f t="shared" si="15"/>
        <v>29</v>
      </c>
      <c r="M326" s="62">
        <f t="shared" si="16"/>
        <v>624</v>
      </c>
      <c r="N326" s="63" t="s">
        <v>16</v>
      </c>
      <c r="O326" s="26" t="s">
        <v>2243</v>
      </c>
    </row>
    <row r="327" spans="1:15" ht="16.5" customHeight="1">
      <c r="A327" s="56" t="s">
        <v>2565</v>
      </c>
      <c r="B327" s="57" t="s">
        <v>249</v>
      </c>
      <c r="C327" s="56" t="s">
        <v>1546</v>
      </c>
      <c r="D327" s="57" t="s">
        <v>1547</v>
      </c>
      <c r="E327" s="56">
        <v>105</v>
      </c>
      <c r="F327" s="56">
        <v>102</v>
      </c>
      <c r="G327" s="56">
        <v>73.5</v>
      </c>
      <c r="H327" s="56">
        <v>92</v>
      </c>
      <c r="I327" s="56">
        <v>66</v>
      </c>
      <c r="J327" s="56">
        <v>44</v>
      </c>
      <c r="K327" s="52">
        <f t="shared" si="17"/>
        <v>482.5</v>
      </c>
      <c r="L327" s="27">
        <f t="shared" si="15"/>
        <v>39</v>
      </c>
      <c r="M327" s="62">
        <f t="shared" si="16"/>
        <v>725</v>
      </c>
      <c r="N327" s="63" t="s">
        <v>17</v>
      </c>
      <c r="O327" s="26" t="s">
        <v>2243</v>
      </c>
    </row>
    <row r="328" spans="1:15" ht="16.5" customHeight="1">
      <c r="A328" s="56" t="s">
        <v>2566</v>
      </c>
      <c r="B328" s="57" t="s">
        <v>249</v>
      </c>
      <c r="C328" s="56" t="s">
        <v>276</v>
      </c>
      <c r="D328" s="57" t="s">
        <v>277</v>
      </c>
      <c r="E328" s="56">
        <v>109</v>
      </c>
      <c r="F328" s="56">
        <v>118</v>
      </c>
      <c r="G328" s="56">
        <v>124</v>
      </c>
      <c r="H328" s="56">
        <v>82</v>
      </c>
      <c r="I328" s="56">
        <v>94</v>
      </c>
      <c r="J328" s="56">
        <v>78</v>
      </c>
      <c r="K328" s="52">
        <f t="shared" si="17"/>
        <v>605</v>
      </c>
      <c r="L328" s="27">
        <f t="shared" si="15"/>
        <v>2</v>
      </c>
      <c r="M328" s="62">
        <f t="shared" si="16"/>
        <v>90</v>
      </c>
      <c r="N328" s="63" t="s">
        <v>16</v>
      </c>
      <c r="O328" s="26" t="s">
        <v>42</v>
      </c>
    </row>
    <row r="329" spans="1:15" ht="16.5" customHeight="1">
      <c r="A329" s="56" t="s">
        <v>2567</v>
      </c>
      <c r="B329" s="57" t="s">
        <v>249</v>
      </c>
      <c r="C329" s="56" t="s">
        <v>1364</v>
      </c>
      <c r="D329" s="57" t="s">
        <v>1365</v>
      </c>
      <c r="E329" s="56">
        <v>110</v>
      </c>
      <c r="F329" s="56">
        <v>66</v>
      </c>
      <c r="G329" s="56">
        <v>105</v>
      </c>
      <c r="H329" s="56">
        <v>90</v>
      </c>
      <c r="I329" s="56">
        <v>79</v>
      </c>
      <c r="J329" s="56">
        <v>50</v>
      </c>
      <c r="K329" s="52">
        <f t="shared" si="17"/>
        <v>500</v>
      </c>
      <c r="L329" s="27">
        <f t="shared" si="15"/>
        <v>31</v>
      </c>
      <c r="M329" s="62">
        <f t="shared" si="16"/>
        <v>636</v>
      </c>
      <c r="N329" s="63" t="s">
        <v>17</v>
      </c>
      <c r="O329" s="26" t="s">
        <v>42</v>
      </c>
    </row>
    <row r="330" spans="1:15" ht="16.5" customHeight="1">
      <c r="A330" s="56" t="s">
        <v>2568</v>
      </c>
      <c r="B330" s="57" t="s">
        <v>249</v>
      </c>
      <c r="C330" s="56" t="s">
        <v>1088</v>
      </c>
      <c r="D330" s="57" t="s">
        <v>1089</v>
      </c>
      <c r="E330" s="56">
        <v>118</v>
      </c>
      <c r="F330" s="56">
        <v>91</v>
      </c>
      <c r="G330" s="56">
        <v>112.5</v>
      </c>
      <c r="H330" s="56">
        <v>70</v>
      </c>
      <c r="I330" s="56">
        <v>75</v>
      </c>
      <c r="J330" s="56">
        <v>55</v>
      </c>
      <c r="K330" s="52">
        <f t="shared" si="17"/>
        <v>521.5</v>
      </c>
      <c r="L330" s="27">
        <f t="shared" si="15"/>
        <v>24</v>
      </c>
      <c r="M330" s="62">
        <f t="shared" si="16"/>
        <v>495</v>
      </c>
      <c r="N330" s="63" t="s">
        <v>16</v>
      </c>
      <c r="O330" s="26" t="s">
        <v>2243</v>
      </c>
    </row>
    <row r="331" spans="1:15" ht="16.5" customHeight="1">
      <c r="A331" s="56" t="s">
        <v>2569</v>
      </c>
      <c r="B331" s="57" t="s">
        <v>249</v>
      </c>
      <c r="C331" s="56" t="s">
        <v>1586</v>
      </c>
      <c r="D331" s="57" t="s">
        <v>1587</v>
      </c>
      <c r="E331" s="56">
        <v>98</v>
      </c>
      <c r="F331" s="56">
        <v>82</v>
      </c>
      <c r="G331" s="56">
        <v>97.5</v>
      </c>
      <c r="H331" s="56">
        <v>56</v>
      </c>
      <c r="I331" s="56">
        <v>79</v>
      </c>
      <c r="J331" s="56">
        <v>65</v>
      </c>
      <c r="K331" s="52">
        <f t="shared" si="17"/>
        <v>477.5</v>
      </c>
      <c r="L331" s="27">
        <f t="shared" si="15"/>
        <v>42</v>
      </c>
      <c r="M331" s="62">
        <f t="shared" si="16"/>
        <v>747</v>
      </c>
      <c r="N331" s="63" t="s">
        <v>17</v>
      </c>
      <c r="O331" s="26" t="s">
        <v>42</v>
      </c>
    </row>
    <row r="332" spans="1:15" ht="16.5" customHeight="1">
      <c r="A332" s="56" t="s">
        <v>2570</v>
      </c>
      <c r="B332" s="57" t="s">
        <v>249</v>
      </c>
      <c r="C332" s="56" t="s">
        <v>1778</v>
      </c>
      <c r="D332" s="57" t="s">
        <v>1779</v>
      </c>
      <c r="E332" s="56">
        <v>112</v>
      </c>
      <c r="F332" s="56">
        <v>76</v>
      </c>
      <c r="G332" s="56">
        <v>110</v>
      </c>
      <c r="H332" s="56">
        <v>43</v>
      </c>
      <c r="I332" s="56">
        <v>59</v>
      </c>
      <c r="J332" s="56">
        <v>51</v>
      </c>
      <c r="K332" s="52">
        <f t="shared" si="17"/>
        <v>451</v>
      </c>
      <c r="L332" s="27">
        <f t="shared" si="15"/>
        <v>46</v>
      </c>
      <c r="M332" s="62">
        <f t="shared" si="16"/>
        <v>841</v>
      </c>
      <c r="N332" s="63" t="s">
        <v>17</v>
      </c>
      <c r="O332" s="26" t="s">
        <v>2243</v>
      </c>
    </row>
    <row r="333" spans="1:15" ht="16.5" customHeight="1">
      <c r="A333" s="56" t="s">
        <v>2571</v>
      </c>
      <c r="B333" s="57" t="s">
        <v>249</v>
      </c>
      <c r="C333" s="56" t="s">
        <v>1384</v>
      </c>
      <c r="D333" s="57" t="s">
        <v>1385</v>
      </c>
      <c r="E333" s="56">
        <v>107</v>
      </c>
      <c r="F333" s="56">
        <v>99</v>
      </c>
      <c r="G333" s="56">
        <v>90</v>
      </c>
      <c r="H333" s="56">
        <v>64</v>
      </c>
      <c r="I333" s="56">
        <v>76</v>
      </c>
      <c r="J333" s="56">
        <v>63</v>
      </c>
      <c r="K333" s="52">
        <f t="shared" si="17"/>
        <v>499</v>
      </c>
      <c r="L333" s="27">
        <f t="shared" si="15"/>
        <v>33</v>
      </c>
      <c r="M333" s="62">
        <f t="shared" si="16"/>
        <v>646</v>
      </c>
      <c r="N333" s="63" t="s">
        <v>17</v>
      </c>
      <c r="O333" s="26" t="s">
        <v>2243</v>
      </c>
    </row>
    <row r="334" spans="1:15" ht="16.5" customHeight="1">
      <c r="A334" s="56" t="s">
        <v>2572</v>
      </c>
      <c r="B334" s="57" t="s">
        <v>249</v>
      </c>
      <c r="C334" s="56" t="s">
        <v>1876</v>
      </c>
      <c r="D334" s="57" t="s">
        <v>1877</v>
      </c>
      <c r="E334" s="56">
        <v>117</v>
      </c>
      <c r="F334" s="56">
        <v>42</v>
      </c>
      <c r="G334" s="56">
        <v>92</v>
      </c>
      <c r="H334" s="56">
        <v>38</v>
      </c>
      <c r="I334" s="56">
        <v>75</v>
      </c>
      <c r="J334" s="56">
        <v>65</v>
      </c>
      <c r="K334" s="52">
        <f t="shared" si="17"/>
        <v>429</v>
      </c>
      <c r="L334" s="27">
        <f t="shared" si="15"/>
        <v>50</v>
      </c>
      <c r="M334" s="62">
        <f t="shared" si="16"/>
        <v>892</v>
      </c>
      <c r="N334" s="63" t="s">
        <v>16</v>
      </c>
      <c r="O334" s="26" t="s">
        <v>42</v>
      </c>
    </row>
    <row r="335" spans="1:15" ht="16.5" customHeight="1">
      <c r="A335" s="56" t="s">
        <v>2573</v>
      </c>
      <c r="B335" s="57" t="s">
        <v>249</v>
      </c>
      <c r="C335" s="56" t="s">
        <v>430</v>
      </c>
      <c r="D335" s="57" t="s">
        <v>431</v>
      </c>
      <c r="E335" s="56">
        <v>108</v>
      </c>
      <c r="F335" s="56">
        <v>120</v>
      </c>
      <c r="G335" s="56">
        <v>121.5</v>
      </c>
      <c r="H335" s="56">
        <v>73</v>
      </c>
      <c r="I335" s="56">
        <v>88</v>
      </c>
      <c r="J335" s="56">
        <v>73</v>
      </c>
      <c r="K335" s="52">
        <f t="shared" si="17"/>
        <v>583.5</v>
      </c>
      <c r="L335" s="27">
        <f t="shared" si="15"/>
        <v>8</v>
      </c>
      <c r="M335" s="62">
        <f t="shared" si="16"/>
        <v>167</v>
      </c>
      <c r="N335" s="63" t="s">
        <v>16</v>
      </c>
      <c r="O335" s="26" t="s">
        <v>2243</v>
      </c>
    </row>
    <row r="336" spans="1:15" ht="16.5" customHeight="1">
      <c r="A336" s="56" t="s">
        <v>2574</v>
      </c>
      <c r="B336" s="57" t="s">
        <v>249</v>
      </c>
      <c r="C336" s="56" t="s">
        <v>1288</v>
      </c>
      <c r="D336" s="57" t="s">
        <v>1289</v>
      </c>
      <c r="E336" s="56">
        <v>108</v>
      </c>
      <c r="F336" s="56">
        <v>87</v>
      </c>
      <c r="G336" s="56">
        <v>104.5</v>
      </c>
      <c r="H336" s="56">
        <v>54</v>
      </c>
      <c r="I336" s="56">
        <v>86</v>
      </c>
      <c r="J336" s="56">
        <v>67</v>
      </c>
      <c r="K336" s="52">
        <f t="shared" si="17"/>
        <v>506.5</v>
      </c>
      <c r="L336" s="27">
        <f t="shared" si="15"/>
        <v>28</v>
      </c>
      <c r="M336" s="62">
        <f t="shared" si="16"/>
        <v>598</v>
      </c>
      <c r="N336" s="63" t="s">
        <v>16</v>
      </c>
      <c r="O336" s="26" t="s">
        <v>43</v>
      </c>
    </row>
    <row r="337" spans="1:15" ht="16.5" customHeight="1">
      <c r="A337" s="56" t="s">
        <v>2575</v>
      </c>
      <c r="B337" s="57" t="s">
        <v>249</v>
      </c>
      <c r="C337" s="56" t="s">
        <v>1968</v>
      </c>
      <c r="D337" s="57" t="s">
        <v>1969</v>
      </c>
      <c r="E337" s="56">
        <v>103</v>
      </c>
      <c r="F337" s="56">
        <v>45</v>
      </c>
      <c r="G337" s="56">
        <v>92.5</v>
      </c>
      <c r="H337" s="56">
        <v>39</v>
      </c>
      <c r="I337" s="56">
        <v>46</v>
      </c>
      <c r="J337" s="56">
        <v>59</v>
      </c>
      <c r="K337" s="52">
        <f t="shared" si="17"/>
        <v>384.5</v>
      </c>
      <c r="L337" s="27">
        <f t="shared" si="15"/>
        <v>56</v>
      </c>
      <c r="M337" s="62">
        <f t="shared" si="16"/>
        <v>938</v>
      </c>
      <c r="N337" s="63" t="s">
        <v>17</v>
      </c>
      <c r="O337" s="26" t="s">
        <v>42</v>
      </c>
    </row>
    <row r="338" spans="1:15" ht="16.5" customHeight="1">
      <c r="A338" s="56" t="s">
        <v>2576</v>
      </c>
      <c r="B338" s="57" t="s">
        <v>249</v>
      </c>
      <c r="C338" s="56" t="s">
        <v>950</v>
      </c>
      <c r="D338" s="57" t="s">
        <v>951</v>
      </c>
      <c r="E338" s="56">
        <v>107</v>
      </c>
      <c r="F338" s="56">
        <v>110</v>
      </c>
      <c r="G338" s="56">
        <v>105</v>
      </c>
      <c r="H338" s="56">
        <v>77</v>
      </c>
      <c r="I338" s="56">
        <v>69</v>
      </c>
      <c r="J338" s="56">
        <v>63</v>
      </c>
      <c r="K338" s="52">
        <f t="shared" si="17"/>
        <v>531</v>
      </c>
      <c r="L338" s="27">
        <f t="shared" si="15"/>
        <v>19</v>
      </c>
      <c r="M338" s="62">
        <f t="shared" si="16"/>
        <v>428</v>
      </c>
      <c r="N338" s="63" t="s">
        <v>17</v>
      </c>
      <c r="O338" s="26" t="s">
        <v>2243</v>
      </c>
    </row>
    <row r="339" spans="1:15" ht="16.5" customHeight="1">
      <c r="A339" s="56" t="s">
        <v>2577</v>
      </c>
      <c r="B339" s="57" t="s">
        <v>249</v>
      </c>
      <c r="C339" s="56" t="s">
        <v>1956</v>
      </c>
      <c r="D339" s="57" t="s">
        <v>1957</v>
      </c>
      <c r="E339" s="56">
        <v>92</v>
      </c>
      <c r="F339" s="56">
        <v>86</v>
      </c>
      <c r="G339" s="56">
        <v>64</v>
      </c>
      <c r="H339" s="56">
        <v>53</v>
      </c>
      <c r="I339" s="56">
        <v>52</v>
      </c>
      <c r="J339" s="56">
        <v>50</v>
      </c>
      <c r="K339" s="52">
        <f t="shared" si="17"/>
        <v>397</v>
      </c>
      <c r="L339" s="27">
        <f t="shared" si="15"/>
        <v>55</v>
      </c>
      <c r="M339" s="62">
        <f t="shared" si="16"/>
        <v>932</v>
      </c>
      <c r="N339" s="63" t="s">
        <v>17</v>
      </c>
      <c r="O339" s="26" t="s">
        <v>2243</v>
      </c>
    </row>
    <row r="340" spans="1:15" ht="16.5" customHeight="1">
      <c r="A340" s="56" t="s">
        <v>2578</v>
      </c>
      <c r="B340" s="57" t="s">
        <v>249</v>
      </c>
      <c r="C340" s="56" t="s">
        <v>1982</v>
      </c>
      <c r="D340" s="57" t="s">
        <v>1983</v>
      </c>
      <c r="E340" s="56">
        <v>108</v>
      </c>
      <c r="F340" s="56">
        <v>50</v>
      </c>
      <c r="G340" s="56">
        <v>59.5</v>
      </c>
      <c r="H340" s="56">
        <v>35</v>
      </c>
      <c r="I340" s="56">
        <v>59</v>
      </c>
      <c r="J340" s="56">
        <v>52</v>
      </c>
      <c r="K340" s="52">
        <f t="shared" si="17"/>
        <v>363.5</v>
      </c>
      <c r="L340" s="27">
        <f t="shared" si="15"/>
        <v>57</v>
      </c>
      <c r="M340" s="62">
        <f t="shared" si="16"/>
        <v>945</v>
      </c>
      <c r="N340" s="63" t="s">
        <v>17</v>
      </c>
      <c r="O340" s="26" t="s">
        <v>42</v>
      </c>
    </row>
    <row r="341" spans="1:15" ht="16.5" customHeight="1">
      <c r="A341" s="56" t="s">
        <v>2579</v>
      </c>
      <c r="B341" s="57" t="s">
        <v>249</v>
      </c>
      <c r="C341" s="56" t="s">
        <v>1472</v>
      </c>
      <c r="D341" s="57" t="s">
        <v>1473</v>
      </c>
      <c r="E341" s="56">
        <v>116</v>
      </c>
      <c r="F341" s="56">
        <v>85</v>
      </c>
      <c r="G341" s="56">
        <v>90</v>
      </c>
      <c r="H341" s="56">
        <v>66</v>
      </c>
      <c r="I341" s="56">
        <v>66</v>
      </c>
      <c r="J341" s="56">
        <v>68</v>
      </c>
      <c r="K341" s="52">
        <f t="shared" si="17"/>
        <v>491</v>
      </c>
      <c r="L341" s="27">
        <f t="shared" si="15"/>
        <v>36</v>
      </c>
      <c r="M341" s="62">
        <f t="shared" si="16"/>
        <v>690</v>
      </c>
      <c r="N341" s="63" t="s">
        <v>17</v>
      </c>
      <c r="O341" s="26" t="s">
        <v>42</v>
      </c>
    </row>
    <row r="342" spans="1:15" ht="16.5" customHeight="1">
      <c r="A342" s="56" t="s">
        <v>2580</v>
      </c>
      <c r="B342" s="57" t="s">
        <v>249</v>
      </c>
      <c r="C342" s="56" t="s">
        <v>1382</v>
      </c>
      <c r="D342" s="57" t="s">
        <v>1383</v>
      </c>
      <c r="E342" s="56">
        <v>100</v>
      </c>
      <c r="F342" s="56">
        <v>106</v>
      </c>
      <c r="G342" s="56">
        <v>82.5</v>
      </c>
      <c r="H342" s="56">
        <v>79</v>
      </c>
      <c r="I342" s="56">
        <v>56</v>
      </c>
      <c r="J342" s="56">
        <v>76</v>
      </c>
      <c r="K342" s="52">
        <f t="shared" si="17"/>
        <v>499.5</v>
      </c>
      <c r="L342" s="27">
        <f t="shared" si="15"/>
        <v>32</v>
      </c>
      <c r="M342" s="62">
        <f t="shared" si="16"/>
        <v>641</v>
      </c>
      <c r="N342" s="63" t="s">
        <v>17</v>
      </c>
      <c r="O342" s="26" t="s">
        <v>2243</v>
      </c>
    </row>
    <row r="343" spans="1:15" ht="16.5" customHeight="1">
      <c r="A343" s="56" t="s">
        <v>2581</v>
      </c>
      <c r="B343" s="57" t="s">
        <v>249</v>
      </c>
      <c r="C343" s="56" t="s">
        <v>1184</v>
      </c>
      <c r="D343" s="57" t="s">
        <v>1185</v>
      </c>
      <c r="E343" s="56">
        <v>117</v>
      </c>
      <c r="F343" s="56">
        <v>80</v>
      </c>
      <c r="G343" s="56">
        <v>114.5</v>
      </c>
      <c r="H343" s="56">
        <v>56</v>
      </c>
      <c r="I343" s="56">
        <v>74</v>
      </c>
      <c r="J343" s="56">
        <v>73</v>
      </c>
      <c r="K343" s="52">
        <f t="shared" si="17"/>
        <v>514.5</v>
      </c>
      <c r="L343" s="27">
        <f t="shared" si="15"/>
        <v>26</v>
      </c>
      <c r="M343" s="62">
        <f t="shared" si="16"/>
        <v>545</v>
      </c>
      <c r="N343" s="63" t="s">
        <v>16</v>
      </c>
      <c r="O343" s="26" t="s">
        <v>44</v>
      </c>
    </row>
    <row r="344" spans="1:15" ht="16.5" customHeight="1">
      <c r="A344" s="56" t="s">
        <v>2582</v>
      </c>
      <c r="B344" s="57" t="s">
        <v>217</v>
      </c>
      <c r="C344" s="56" t="s">
        <v>1210</v>
      </c>
      <c r="D344" s="57" t="s">
        <v>1211</v>
      </c>
      <c r="E344" s="56">
        <v>104</v>
      </c>
      <c r="F344" s="56">
        <v>124</v>
      </c>
      <c r="G344" s="56">
        <v>69.5</v>
      </c>
      <c r="H344" s="56">
        <v>72</v>
      </c>
      <c r="I344" s="56">
        <v>79</v>
      </c>
      <c r="J344" s="56">
        <v>64</v>
      </c>
      <c r="K344" s="52">
        <f t="shared" si="17"/>
        <v>512.5</v>
      </c>
      <c r="L344" s="27">
        <f>RANK(K344,$K$344:$K$400)</f>
        <v>26</v>
      </c>
      <c r="M344" s="62">
        <f t="shared" si="16"/>
        <v>555</v>
      </c>
      <c r="N344" s="63" t="s">
        <v>16</v>
      </c>
      <c r="O344" s="26" t="s">
        <v>44</v>
      </c>
    </row>
    <row r="345" spans="1:15" ht="16.5" customHeight="1">
      <c r="A345" s="56" t="s">
        <v>2583</v>
      </c>
      <c r="B345" s="57" t="s">
        <v>217</v>
      </c>
      <c r="C345" s="56" t="s">
        <v>770</v>
      </c>
      <c r="D345" s="57" t="s">
        <v>771</v>
      </c>
      <c r="E345" s="56">
        <v>101</v>
      </c>
      <c r="F345" s="56">
        <v>117</v>
      </c>
      <c r="G345" s="56">
        <v>96.5</v>
      </c>
      <c r="H345" s="56">
        <v>74</v>
      </c>
      <c r="I345" s="56">
        <v>87</v>
      </c>
      <c r="J345" s="56">
        <v>73</v>
      </c>
      <c r="K345" s="52">
        <f t="shared" si="17"/>
        <v>548.5</v>
      </c>
      <c r="L345" s="27">
        <f t="shared" ref="L345:L400" si="18">RANK(K345,$K$344:$K$400)</f>
        <v>13</v>
      </c>
      <c r="M345" s="62">
        <f t="shared" si="16"/>
        <v>339</v>
      </c>
      <c r="N345" s="63" t="s">
        <v>16</v>
      </c>
      <c r="O345" s="26" t="s">
        <v>44</v>
      </c>
    </row>
    <row r="346" spans="1:15" ht="16.5" customHeight="1">
      <c r="A346" s="56" t="s">
        <v>2584</v>
      </c>
      <c r="B346" s="57" t="s">
        <v>217</v>
      </c>
      <c r="C346" s="56" t="s">
        <v>1186</v>
      </c>
      <c r="D346" s="57" t="s">
        <v>1187</v>
      </c>
      <c r="E346" s="56">
        <v>98</v>
      </c>
      <c r="F346" s="56">
        <v>105</v>
      </c>
      <c r="G346" s="56">
        <v>100</v>
      </c>
      <c r="H346" s="56">
        <v>60</v>
      </c>
      <c r="I346" s="56">
        <v>83</v>
      </c>
      <c r="J346" s="56">
        <v>68</v>
      </c>
      <c r="K346" s="52">
        <f t="shared" si="17"/>
        <v>514</v>
      </c>
      <c r="L346" s="27">
        <f t="shared" si="18"/>
        <v>24</v>
      </c>
      <c r="M346" s="62">
        <f t="shared" si="16"/>
        <v>547</v>
      </c>
      <c r="N346" s="63" t="s">
        <v>17</v>
      </c>
      <c r="O346" s="26" t="s">
        <v>2243</v>
      </c>
    </row>
    <row r="347" spans="1:15" ht="16.5" customHeight="1">
      <c r="A347" s="56" t="s">
        <v>2585</v>
      </c>
      <c r="B347" s="57" t="s">
        <v>217</v>
      </c>
      <c r="C347" s="56" t="s">
        <v>1334</v>
      </c>
      <c r="D347" s="57" t="s">
        <v>1335</v>
      </c>
      <c r="E347" s="56">
        <v>107</v>
      </c>
      <c r="F347" s="56">
        <v>85</v>
      </c>
      <c r="G347" s="56">
        <v>114</v>
      </c>
      <c r="H347" s="56">
        <v>53</v>
      </c>
      <c r="I347" s="56">
        <v>76</v>
      </c>
      <c r="J347" s="56">
        <v>68</v>
      </c>
      <c r="K347" s="52">
        <f t="shared" si="17"/>
        <v>503</v>
      </c>
      <c r="L347" s="27">
        <f t="shared" si="18"/>
        <v>29</v>
      </c>
      <c r="M347" s="62">
        <f t="shared" si="16"/>
        <v>619</v>
      </c>
      <c r="N347" s="63" t="s">
        <v>17</v>
      </c>
      <c r="O347" s="26" t="s">
        <v>2243</v>
      </c>
    </row>
    <row r="348" spans="1:15" ht="16.5" customHeight="1">
      <c r="A348" s="56" t="s">
        <v>2586</v>
      </c>
      <c r="B348" s="57" t="s">
        <v>217</v>
      </c>
      <c r="C348" s="56" t="s">
        <v>218</v>
      </c>
      <c r="D348" s="57" t="s">
        <v>219</v>
      </c>
      <c r="E348" s="56">
        <v>121</v>
      </c>
      <c r="F348" s="56">
        <v>118</v>
      </c>
      <c r="G348" s="56">
        <v>114</v>
      </c>
      <c r="H348" s="56">
        <v>89</v>
      </c>
      <c r="I348" s="56">
        <v>91</v>
      </c>
      <c r="J348" s="56">
        <v>82</v>
      </c>
      <c r="K348" s="52">
        <f t="shared" si="17"/>
        <v>615</v>
      </c>
      <c r="L348" s="27">
        <f t="shared" si="18"/>
        <v>1</v>
      </c>
      <c r="M348" s="62">
        <f t="shared" si="16"/>
        <v>61</v>
      </c>
      <c r="N348" s="63" t="s">
        <v>16</v>
      </c>
      <c r="O348" s="26" t="s">
        <v>44</v>
      </c>
    </row>
    <row r="349" spans="1:15">
      <c r="A349" s="56" t="s">
        <v>2587</v>
      </c>
      <c r="B349" s="56" t="s">
        <v>217</v>
      </c>
      <c r="C349" s="56" t="s">
        <v>1042</v>
      </c>
      <c r="D349" s="56" t="s">
        <v>1043</v>
      </c>
      <c r="E349" s="56">
        <v>116</v>
      </c>
      <c r="F349" s="56">
        <v>100</v>
      </c>
      <c r="G349" s="56">
        <v>118.5</v>
      </c>
      <c r="H349" s="56">
        <v>51</v>
      </c>
      <c r="I349" s="56">
        <v>77</v>
      </c>
      <c r="J349" s="56">
        <v>61</v>
      </c>
      <c r="K349" s="52">
        <f t="shared" si="17"/>
        <v>523.5</v>
      </c>
      <c r="L349" s="27">
        <f t="shared" si="18"/>
        <v>21</v>
      </c>
      <c r="M349" s="62">
        <f t="shared" si="16"/>
        <v>475</v>
      </c>
      <c r="N349" s="26" t="s">
        <v>17</v>
      </c>
      <c r="O349" s="26" t="s">
        <v>2243</v>
      </c>
    </row>
    <row r="350" spans="1:15" ht="16.5" customHeight="1">
      <c r="A350" s="56" t="s">
        <v>2588</v>
      </c>
      <c r="B350" s="57" t="s">
        <v>217</v>
      </c>
      <c r="C350" s="56" t="s">
        <v>1502</v>
      </c>
      <c r="D350" s="57" t="s">
        <v>1503</v>
      </c>
      <c r="E350" s="56">
        <v>114</v>
      </c>
      <c r="F350" s="56">
        <v>74</v>
      </c>
      <c r="G350" s="56">
        <v>112</v>
      </c>
      <c r="H350" s="56">
        <v>59</v>
      </c>
      <c r="I350" s="56">
        <v>76</v>
      </c>
      <c r="J350" s="56">
        <v>52</v>
      </c>
      <c r="K350" s="52">
        <f t="shared" si="17"/>
        <v>487</v>
      </c>
      <c r="L350" s="27">
        <f t="shared" si="18"/>
        <v>42</v>
      </c>
      <c r="M350" s="62">
        <f t="shared" si="16"/>
        <v>705</v>
      </c>
      <c r="N350" s="63" t="s">
        <v>17</v>
      </c>
      <c r="O350" s="26" t="s">
        <v>44</v>
      </c>
    </row>
    <row r="351" spans="1:15" ht="16.5" customHeight="1">
      <c r="A351" s="56" t="s">
        <v>2589</v>
      </c>
      <c r="B351" s="57" t="s">
        <v>217</v>
      </c>
      <c r="C351" s="56" t="s">
        <v>1442</v>
      </c>
      <c r="D351" s="57" t="s">
        <v>1443</v>
      </c>
      <c r="E351" s="56">
        <v>98</v>
      </c>
      <c r="F351" s="56">
        <v>93</v>
      </c>
      <c r="G351" s="56">
        <v>112.5</v>
      </c>
      <c r="H351" s="56">
        <v>66</v>
      </c>
      <c r="I351" s="56">
        <v>71</v>
      </c>
      <c r="J351" s="56">
        <v>53</v>
      </c>
      <c r="K351" s="52">
        <f t="shared" si="17"/>
        <v>493.5</v>
      </c>
      <c r="L351" s="27">
        <f t="shared" si="18"/>
        <v>36</v>
      </c>
      <c r="M351" s="62">
        <f t="shared" si="16"/>
        <v>673</v>
      </c>
      <c r="N351" s="63"/>
      <c r="O351" s="26" t="s">
        <v>44</v>
      </c>
    </row>
    <row r="352" spans="1:15" ht="16.5" customHeight="1">
      <c r="A352" s="56" t="s">
        <v>2590</v>
      </c>
      <c r="B352" s="57" t="s">
        <v>217</v>
      </c>
      <c r="C352" s="56" t="s">
        <v>1550</v>
      </c>
      <c r="D352" s="57" t="s">
        <v>1551</v>
      </c>
      <c r="E352" s="56">
        <v>100</v>
      </c>
      <c r="F352" s="56">
        <v>96</v>
      </c>
      <c r="G352" s="56">
        <v>96</v>
      </c>
      <c r="H352" s="56">
        <v>55</v>
      </c>
      <c r="I352" s="56">
        <v>68</v>
      </c>
      <c r="J352" s="56">
        <v>67</v>
      </c>
      <c r="K352" s="52">
        <f t="shared" si="17"/>
        <v>482</v>
      </c>
      <c r="L352" s="27">
        <f t="shared" si="18"/>
        <v>44</v>
      </c>
      <c r="M352" s="62">
        <f t="shared" si="16"/>
        <v>729</v>
      </c>
      <c r="N352" s="63" t="s">
        <v>17</v>
      </c>
      <c r="O352" s="26" t="s">
        <v>2243</v>
      </c>
    </row>
    <row r="353" spans="1:15" ht="16.5" customHeight="1">
      <c r="A353" s="56" t="s">
        <v>2591</v>
      </c>
      <c r="B353" s="57" t="s">
        <v>217</v>
      </c>
      <c r="C353" s="56" t="s">
        <v>1006</v>
      </c>
      <c r="D353" s="57" t="s">
        <v>1007</v>
      </c>
      <c r="E353" s="56">
        <v>117</v>
      </c>
      <c r="F353" s="56">
        <v>81</v>
      </c>
      <c r="G353" s="56">
        <v>126</v>
      </c>
      <c r="H353" s="56">
        <v>65</v>
      </c>
      <c r="I353" s="56">
        <v>76</v>
      </c>
      <c r="J353" s="56">
        <v>62</v>
      </c>
      <c r="K353" s="52">
        <f t="shared" si="17"/>
        <v>527</v>
      </c>
      <c r="L353" s="27">
        <f t="shared" si="18"/>
        <v>19</v>
      </c>
      <c r="M353" s="62">
        <f t="shared" si="16"/>
        <v>457</v>
      </c>
      <c r="N353" s="63" t="s">
        <v>17</v>
      </c>
      <c r="O353" s="26" t="s">
        <v>2243</v>
      </c>
    </row>
    <row r="354" spans="1:15" ht="16.5" customHeight="1">
      <c r="A354" s="56" t="s">
        <v>2592</v>
      </c>
      <c r="B354" s="57" t="s">
        <v>217</v>
      </c>
      <c r="C354" s="56" t="s">
        <v>1734</v>
      </c>
      <c r="D354" s="57" t="s">
        <v>1735</v>
      </c>
      <c r="E354" s="56">
        <v>106</v>
      </c>
      <c r="F354" s="56">
        <v>65</v>
      </c>
      <c r="G354" s="56">
        <v>106</v>
      </c>
      <c r="H354" s="56">
        <v>45</v>
      </c>
      <c r="I354" s="56">
        <v>72</v>
      </c>
      <c r="J354" s="56">
        <v>65</v>
      </c>
      <c r="K354" s="52">
        <f t="shared" si="17"/>
        <v>459</v>
      </c>
      <c r="L354" s="27">
        <f t="shared" si="18"/>
        <v>53</v>
      </c>
      <c r="M354" s="62">
        <f t="shared" si="16"/>
        <v>821</v>
      </c>
      <c r="N354" s="63" t="s">
        <v>16</v>
      </c>
      <c r="O354" s="26" t="s">
        <v>2243</v>
      </c>
    </row>
    <row r="355" spans="1:15" ht="16.5" customHeight="1">
      <c r="A355" s="56" t="s">
        <v>2593</v>
      </c>
      <c r="B355" s="57" t="s">
        <v>217</v>
      </c>
      <c r="C355" s="56" t="s">
        <v>305</v>
      </c>
      <c r="D355" s="57" t="s">
        <v>306</v>
      </c>
      <c r="E355" s="56">
        <v>111</v>
      </c>
      <c r="F355" s="56">
        <v>133</v>
      </c>
      <c r="G355" s="56">
        <v>120.5</v>
      </c>
      <c r="H355" s="56">
        <v>77</v>
      </c>
      <c r="I355" s="56">
        <v>83</v>
      </c>
      <c r="J355" s="56">
        <v>75</v>
      </c>
      <c r="K355" s="52">
        <f t="shared" si="17"/>
        <v>599.5</v>
      </c>
      <c r="L355" s="27">
        <f t="shared" si="18"/>
        <v>4</v>
      </c>
      <c r="M355" s="62">
        <f t="shared" si="16"/>
        <v>104</v>
      </c>
      <c r="N355" s="63" t="s">
        <v>16</v>
      </c>
      <c r="O355" s="26" t="s">
        <v>42</v>
      </c>
    </row>
    <row r="356" spans="1:15" ht="16.5" customHeight="1">
      <c r="A356" s="56" t="s">
        <v>2594</v>
      </c>
      <c r="B356" s="57" t="s">
        <v>217</v>
      </c>
      <c r="C356" s="56" t="s">
        <v>952</v>
      </c>
      <c r="D356" s="57" t="s">
        <v>953</v>
      </c>
      <c r="E356" s="56">
        <v>106</v>
      </c>
      <c r="F356" s="56">
        <v>101</v>
      </c>
      <c r="G356" s="56">
        <v>109</v>
      </c>
      <c r="H356" s="56">
        <v>78</v>
      </c>
      <c r="I356" s="56">
        <v>77</v>
      </c>
      <c r="J356" s="56">
        <v>60</v>
      </c>
      <c r="K356" s="52">
        <f t="shared" si="17"/>
        <v>531</v>
      </c>
      <c r="L356" s="27">
        <f t="shared" si="18"/>
        <v>18</v>
      </c>
      <c r="M356" s="62">
        <f t="shared" si="16"/>
        <v>428</v>
      </c>
      <c r="N356" s="63" t="s">
        <v>16</v>
      </c>
      <c r="O356" s="26" t="s">
        <v>42</v>
      </c>
    </row>
    <row r="357" spans="1:15" ht="16.5" customHeight="1">
      <c r="A357" s="56" t="s">
        <v>2595</v>
      </c>
      <c r="B357" s="57" t="s">
        <v>217</v>
      </c>
      <c r="C357" s="56" t="s">
        <v>1652</v>
      </c>
      <c r="D357" s="57" t="s">
        <v>1653</v>
      </c>
      <c r="E357" s="56">
        <v>111</v>
      </c>
      <c r="F357" s="56">
        <v>59</v>
      </c>
      <c r="G357" s="56">
        <v>121</v>
      </c>
      <c r="H357" s="56">
        <v>63</v>
      </c>
      <c r="I357" s="56">
        <v>54</v>
      </c>
      <c r="J357" s="56">
        <v>62</v>
      </c>
      <c r="K357" s="52">
        <f t="shared" si="17"/>
        <v>470</v>
      </c>
      <c r="L357" s="27">
        <f t="shared" si="18"/>
        <v>49</v>
      </c>
      <c r="M357" s="62">
        <f t="shared" si="16"/>
        <v>780</v>
      </c>
      <c r="N357" s="63" t="s">
        <v>17</v>
      </c>
      <c r="O357" s="26" t="s">
        <v>2243</v>
      </c>
    </row>
    <row r="358" spans="1:15" ht="16.5" customHeight="1">
      <c r="A358" s="56" t="s">
        <v>2596</v>
      </c>
      <c r="B358" s="57" t="s">
        <v>217</v>
      </c>
      <c r="C358" s="56" t="s">
        <v>1408</v>
      </c>
      <c r="D358" s="57" t="s">
        <v>1409</v>
      </c>
      <c r="E358" s="56">
        <v>88</v>
      </c>
      <c r="F358" s="56">
        <v>111</v>
      </c>
      <c r="G358" s="56">
        <v>81</v>
      </c>
      <c r="H358" s="56">
        <v>72</v>
      </c>
      <c r="I358" s="56">
        <v>80</v>
      </c>
      <c r="J358" s="56">
        <v>65</v>
      </c>
      <c r="K358" s="52">
        <f t="shared" si="17"/>
        <v>497</v>
      </c>
      <c r="L358" s="27">
        <f t="shared" si="18"/>
        <v>33</v>
      </c>
      <c r="M358" s="62">
        <f t="shared" si="16"/>
        <v>656</v>
      </c>
      <c r="N358" s="63" t="s">
        <v>16</v>
      </c>
      <c r="O358" s="26" t="s">
        <v>44</v>
      </c>
    </row>
    <row r="359" spans="1:15" ht="16.5" customHeight="1">
      <c r="A359" s="56" t="s">
        <v>2597</v>
      </c>
      <c r="B359" s="57" t="s">
        <v>217</v>
      </c>
      <c r="C359" s="56" t="s">
        <v>1664</v>
      </c>
      <c r="D359" s="57" t="s">
        <v>1665</v>
      </c>
      <c r="E359" s="56">
        <v>100</v>
      </c>
      <c r="F359" s="56">
        <v>71</v>
      </c>
      <c r="G359" s="56">
        <v>115</v>
      </c>
      <c r="H359" s="56">
        <v>56</v>
      </c>
      <c r="I359" s="56">
        <v>69</v>
      </c>
      <c r="J359" s="56">
        <v>56</v>
      </c>
      <c r="K359" s="52">
        <f t="shared" si="17"/>
        <v>467</v>
      </c>
      <c r="L359" s="27">
        <f t="shared" si="18"/>
        <v>50</v>
      </c>
      <c r="M359" s="62">
        <f t="shared" si="16"/>
        <v>786</v>
      </c>
      <c r="N359" s="63" t="s">
        <v>17</v>
      </c>
      <c r="O359" s="26" t="s">
        <v>2243</v>
      </c>
    </row>
    <row r="360" spans="1:15" ht="16.5" customHeight="1">
      <c r="A360" s="56" t="s">
        <v>2598</v>
      </c>
      <c r="B360" s="57" t="s">
        <v>217</v>
      </c>
      <c r="C360" s="56" t="s">
        <v>840</v>
      </c>
      <c r="D360" s="57" t="s">
        <v>841</v>
      </c>
      <c r="E360" s="56">
        <v>110</v>
      </c>
      <c r="F360" s="56">
        <v>84</v>
      </c>
      <c r="G360" s="56">
        <v>129.5</v>
      </c>
      <c r="H360" s="56">
        <v>63</v>
      </c>
      <c r="I360" s="56">
        <v>78</v>
      </c>
      <c r="J360" s="56">
        <v>77</v>
      </c>
      <c r="K360" s="52">
        <f t="shared" si="17"/>
        <v>541.5</v>
      </c>
      <c r="L360" s="27">
        <f t="shared" si="18"/>
        <v>16</v>
      </c>
      <c r="M360" s="62">
        <f t="shared" si="16"/>
        <v>372</v>
      </c>
      <c r="N360" s="63" t="s">
        <v>16</v>
      </c>
      <c r="O360" s="26" t="s">
        <v>2243</v>
      </c>
    </row>
    <row r="361" spans="1:15" ht="16.5" customHeight="1">
      <c r="A361" s="56" t="s">
        <v>2599</v>
      </c>
      <c r="B361" s="57" t="s">
        <v>217</v>
      </c>
      <c r="C361" s="56" t="s">
        <v>1366</v>
      </c>
      <c r="D361" s="57" t="s">
        <v>1367</v>
      </c>
      <c r="E361" s="56">
        <v>84</v>
      </c>
      <c r="F361" s="56">
        <v>109</v>
      </c>
      <c r="G361" s="56">
        <v>92</v>
      </c>
      <c r="H361" s="56">
        <v>62</v>
      </c>
      <c r="I361" s="56">
        <v>81</v>
      </c>
      <c r="J361" s="56">
        <v>72</v>
      </c>
      <c r="K361" s="52">
        <f t="shared" si="17"/>
        <v>500</v>
      </c>
      <c r="L361" s="27">
        <f t="shared" si="18"/>
        <v>30</v>
      </c>
      <c r="M361" s="62">
        <f t="shared" si="16"/>
        <v>636</v>
      </c>
      <c r="N361" s="63" t="s">
        <v>16</v>
      </c>
      <c r="O361" s="26" t="s">
        <v>2243</v>
      </c>
    </row>
    <row r="362" spans="1:15" ht="16.5" customHeight="1">
      <c r="A362" s="56" t="s">
        <v>2600</v>
      </c>
      <c r="B362" s="57" t="s">
        <v>217</v>
      </c>
      <c r="C362" s="56" t="s">
        <v>1718</v>
      </c>
      <c r="D362" s="57" t="s">
        <v>1719</v>
      </c>
      <c r="E362" s="56">
        <v>92</v>
      </c>
      <c r="F362" s="56">
        <v>66</v>
      </c>
      <c r="G362" s="56">
        <v>111.5</v>
      </c>
      <c r="H362" s="56">
        <v>63</v>
      </c>
      <c r="I362" s="56">
        <v>82</v>
      </c>
      <c r="J362" s="56">
        <v>48</v>
      </c>
      <c r="K362" s="52">
        <f t="shared" si="17"/>
        <v>462.5</v>
      </c>
      <c r="L362" s="27">
        <f t="shared" si="18"/>
        <v>52</v>
      </c>
      <c r="M362" s="62">
        <f t="shared" si="16"/>
        <v>810</v>
      </c>
      <c r="N362" s="63" t="s">
        <v>17</v>
      </c>
      <c r="O362" s="26" t="s">
        <v>2243</v>
      </c>
    </row>
    <row r="363" spans="1:15" ht="16.5" customHeight="1">
      <c r="A363" s="56" t="s">
        <v>2601</v>
      </c>
      <c r="B363" s="57" t="s">
        <v>217</v>
      </c>
      <c r="C363" s="56" t="s">
        <v>1438</v>
      </c>
      <c r="D363" s="57" t="s">
        <v>1439</v>
      </c>
      <c r="E363" s="56">
        <v>109</v>
      </c>
      <c r="F363" s="56">
        <v>101</v>
      </c>
      <c r="G363" s="56">
        <v>76.5</v>
      </c>
      <c r="H363" s="56">
        <v>63</v>
      </c>
      <c r="I363" s="56">
        <v>81</v>
      </c>
      <c r="J363" s="56">
        <v>63</v>
      </c>
      <c r="K363" s="52">
        <f t="shared" si="17"/>
        <v>493.5</v>
      </c>
      <c r="L363" s="27">
        <f t="shared" si="18"/>
        <v>36</v>
      </c>
      <c r="M363" s="62">
        <f t="shared" si="16"/>
        <v>673</v>
      </c>
      <c r="N363" s="63" t="s">
        <v>17</v>
      </c>
      <c r="O363" s="26" t="s">
        <v>2243</v>
      </c>
    </row>
    <row r="364" spans="1:15" ht="16.5" customHeight="1">
      <c r="A364" s="56" t="s">
        <v>2602</v>
      </c>
      <c r="B364" s="57" t="s">
        <v>217</v>
      </c>
      <c r="C364" s="56" t="s">
        <v>1702</v>
      </c>
      <c r="D364" s="57" t="s">
        <v>1703</v>
      </c>
      <c r="E364" s="56">
        <v>89</v>
      </c>
      <c r="F364" s="56">
        <v>79</v>
      </c>
      <c r="G364" s="56">
        <v>89.5</v>
      </c>
      <c r="H364" s="56">
        <v>70</v>
      </c>
      <c r="I364" s="56">
        <v>79</v>
      </c>
      <c r="J364" s="56">
        <v>57</v>
      </c>
      <c r="K364" s="52">
        <f t="shared" si="17"/>
        <v>463.5</v>
      </c>
      <c r="L364" s="27">
        <f t="shared" si="18"/>
        <v>51</v>
      </c>
      <c r="M364" s="62">
        <f t="shared" si="16"/>
        <v>804</v>
      </c>
      <c r="N364" s="63" t="s">
        <v>17</v>
      </c>
      <c r="O364" s="26" t="s">
        <v>2243</v>
      </c>
    </row>
    <row r="365" spans="1:15" ht="16.5" customHeight="1">
      <c r="A365" s="56" t="s">
        <v>2603</v>
      </c>
      <c r="B365" s="57" t="s">
        <v>217</v>
      </c>
      <c r="C365" s="56" t="s">
        <v>806</v>
      </c>
      <c r="D365" s="57" t="s">
        <v>807</v>
      </c>
      <c r="E365" s="56">
        <v>100</v>
      </c>
      <c r="F365" s="56">
        <v>94</v>
      </c>
      <c r="G365" s="56">
        <v>110.5</v>
      </c>
      <c r="H365" s="56">
        <v>80</v>
      </c>
      <c r="I365" s="56">
        <v>86</v>
      </c>
      <c r="J365" s="56">
        <v>75</v>
      </c>
      <c r="K365" s="52">
        <f t="shared" si="17"/>
        <v>545.5</v>
      </c>
      <c r="L365" s="27">
        <f t="shared" si="18"/>
        <v>15</v>
      </c>
      <c r="M365" s="62">
        <f t="shared" si="16"/>
        <v>354</v>
      </c>
      <c r="N365" s="63" t="s">
        <v>16</v>
      </c>
      <c r="O365" s="26" t="s">
        <v>44</v>
      </c>
    </row>
    <row r="366" spans="1:15" ht="16.5" customHeight="1">
      <c r="A366" s="56" t="s">
        <v>2604</v>
      </c>
      <c r="B366" s="57" t="s">
        <v>217</v>
      </c>
      <c r="C366" s="56" t="s">
        <v>1134</v>
      </c>
      <c r="D366" s="57" t="s">
        <v>1135</v>
      </c>
      <c r="E366" s="56">
        <v>98</v>
      </c>
      <c r="F366" s="56">
        <v>98</v>
      </c>
      <c r="G366" s="56">
        <v>103.5</v>
      </c>
      <c r="H366" s="56">
        <v>75</v>
      </c>
      <c r="I366" s="56">
        <v>85</v>
      </c>
      <c r="J366" s="56">
        <v>58</v>
      </c>
      <c r="K366" s="52">
        <f t="shared" si="17"/>
        <v>517.5</v>
      </c>
      <c r="L366" s="27">
        <f t="shared" si="18"/>
        <v>23</v>
      </c>
      <c r="M366" s="62">
        <f t="shared" si="16"/>
        <v>519</v>
      </c>
      <c r="N366" s="63" t="s">
        <v>16</v>
      </c>
      <c r="O366" s="26" t="s">
        <v>44</v>
      </c>
    </row>
    <row r="367" spans="1:15" ht="16.5" customHeight="1">
      <c r="A367" s="56" t="s">
        <v>2605</v>
      </c>
      <c r="B367" s="57" t="s">
        <v>217</v>
      </c>
      <c r="C367" s="56" t="s">
        <v>772</v>
      </c>
      <c r="D367" s="57" t="s">
        <v>773</v>
      </c>
      <c r="E367" s="56">
        <v>114</v>
      </c>
      <c r="F367" s="56">
        <v>101</v>
      </c>
      <c r="G367" s="56">
        <v>102.5</v>
      </c>
      <c r="H367" s="56">
        <v>78</v>
      </c>
      <c r="I367" s="56">
        <v>81</v>
      </c>
      <c r="J367" s="56">
        <v>72</v>
      </c>
      <c r="K367" s="52">
        <f t="shared" si="17"/>
        <v>548.5</v>
      </c>
      <c r="L367" s="27">
        <f t="shared" si="18"/>
        <v>13</v>
      </c>
      <c r="M367" s="62">
        <f t="shared" si="16"/>
        <v>339</v>
      </c>
      <c r="N367" s="63" t="s">
        <v>16</v>
      </c>
      <c r="O367" s="26" t="s">
        <v>43</v>
      </c>
    </row>
    <row r="368" spans="1:15" ht="16.5" customHeight="1">
      <c r="A368" s="56" t="s">
        <v>2606</v>
      </c>
      <c r="B368" s="57" t="s">
        <v>217</v>
      </c>
      <c r="C368" s="56" t="s">
        <v>1440</v>
      </c>
      <c r="D368" s="57" t="s">
        <v>1441</v>
      </c>
      <c r="E368" s="56">
        <v>86</v>
      </c>
      <c r="F368" s="56">
        <v>102</v>
      </c>
      <c r="G368" s="56">
        <v>103.5</v>
      </c>
      <c r="H368" s="56">
        <v>62</v>
      </c>
      <c r="I368" s="56">
        <v>76</v>
      </c>
      <c r="J368" s="56">
        <v>64</v>
      </c>
      <c r="K368" s="52">
        <f t="shared" si="17"/>
        <v>493.5</v>
      </c>
      <c r="L368" s="27">
        <f t="shared" si="18"/>
        <v>36</v>
      </c>
      <c r="M368" s="62">
        <f t="shared" si="16"/>
        <v>673</v>
      </c>
      <c r="N368" s="63" t="s">
        <v>17</v>
      </c>
      <c r="O368" s="26" t="s">
        <v>42</v>
      </c>
    </row>
    <row r="369" spans="1:15" ht="16.5" customHeight="1">
      <c r="A369" s="56" t="s">
        <v>2607</v>
      </c>
      <c r="B369" s="57" t="s">
        <v>217</v>
      </c>
      <c r="C369" s="56" t="s">
        <v>1970</v>
      </c>
      <c r="D369" s="57" t="s">
        <v>1971</v>
      </c>
      <c r="E369" s="56">
        <v>103</v>
      </c>
      <c r="F369" s="56">
        <v>56</v>
      </c>
      <c r="G369" s="56">
        <v>81.5</v>
      </c>
      <c r="H369" s="56">
        <v>31</v>
      </c>
      <c r="I369" s="56">
        <v>59</v>
      </c>
      <c r="J369" s="56">
        <v>53</v>
      </c>
      <c r="K369" s="52">
        <f t="shared" si="17"/>
        <v>383.5</v>
      </c>
      <c r="L369" s="27">
        <f t="shared" si="18"/>
        <v>56</v>
      </c>
      <c r="M369" s="62">
        <f t="shared" si="16"/>
        <v>939</v>
      </c>
      <c r="N369" s="63" t="s">
        <v>17</v>
      </c>
      <c r="O369" s="26" t="s">
        <v>42</v>
      </c>
    </row>
    <row r="370" spans="1:15" ht="16.5" customHeight="1">
      <c r="A370" s="56" t="s">
        <v>2608</v>
      </c>
      <c r="B370" s="57" t="s">
        <v>217</v>
      </c>
      <c r="C370" s="56" t="s">
        <v>1044</v>
      </c>
      <c r="D370" s="57" t="s">
        <v>1045</v>
      </c>
      <c r="E370" s="56">
        <v>85</v>
      </c>
      <c r="F370" s="56">
        <v>104</v>
      </c>
      <c r="G370" s="56">
        <v>103.5</v>
      </c>
      <c r="H370" s="56">
        <v>75</v>
      </c>
      <c r="I370" s="56">
        <v>86</v>
      </c>
      <c r="J370" s="56">
        <v>70</v>
      </c>
      <c r="K370" s="52">
        <f t="shared" si="17"/>
        <v>523.5</v>
      </c>
      <c r="L370" s="27">
        <f t="shared" si="18"/>
        <v>21</v>
      </c>
      <c r="M370" s="62">
        <f t="shared" si="16"/>
        <v>475</v>
      </c>
      <c r="N370" s="63" t="s">
        <v>16</v>
      </c>
      <c r="O370" s="26" t="s">
        <v>44</v>
      </c>
    </row>
    <row r="371" spans="1:15" ht="16.5" customHeight="1">
      <c r="A371" s="56" t="s">
        <v>2609</v>
      </c>
      <c r="B371" s="57" t="s">
        <v>217</v>
      </c>
      <c r="C371" s="56" t="s">
        <v>1978</v>
      </c>
      <c r="D371" s="57" t="s">
        <v>1979</v>
      </c>
      <c r="E371" s="56">
        <v>106</v>
      </c>
      <c r="F371" s="56">
        <v>48</v>
      </c>
      <c r="G371" s="56">
        <v>66</v>
      </c>
      <c r="H371" s="56">
        <v>60</v>
      </c>
      <c r="I371" s="56">
        <v>50</v>
      </c>
      <c r="J371" s="56">
        <v>49</v>
      </c>
      <c r="K371" s="52">
        <f t="shared" si="17"/>
        <v>379</v>
      </c>
      <c r="L371" s="27">
        <f t="shared" si="18"/>
        <v>57</v>
      </c>
      <c r="M371" s="62">
        <f t="shared" si="16"/>
        <v>942</v>
      </c>
      <c r="N371" s="63" t="s">
        <v>17</v>
      </c>
      <c r="O371" s="26" t="s">
        <v>2243</v>
      </c>
    </row>
    <row r="372" spans="1:15" ht="16.5" customHeight="1">
      <c r="A372" s="56" t="s">
        <v>2610</v>
      </c>
      <c r="B372" s="57" t="s">
        <v>217</v>
      </c>
      <c r="C372" s="56" t="s">
        <v>1400</v>
      </c>
      <c r="D372" s="57" t="s">
        <v>1401</v>
      </c>
      <c r="E372" s="56">
        <v>97</v>
      </c>
      <c r="F372" s="56">
        <v>87</v>
      </c>
      <c r="G372" s="56">
        <v>76.5</v>
      </c>
      <c r="H372" s="56">
        <v>72</v>
      </c>
      <c r="I372" s="56">
        <v>95</v>
      </c>
      <c r="J372" s="56">
        <v>70</v>
      </c>
      <c r="K372" s="52">
        <f t="shared" si="17"/>
        <v>497.5</v>
      </c>
      <c r="L372" s="27">
        <f t="shared" si="18"/>
        <v>32</v>
      </c>
      <c r="M372" s="62">
        <f t="shared" si="16"/>
        <v>654</v>
      </c>
      <c r="N372" s="63" t="s">
        <v>17</v>
      </c>
      <c r="O372" s="26" t="s">
        <v>2243</v>
      </c>
    </row>
    <row r="373" spans="1:15" ht="16.5" customHeight="1">
      <c r="A373" s="56" t="s">
        <v>2611</v>
      </c>
      <c r="B373" s="57" t="s">
        <v>217</v>
      </c>
      <c r="C373" s="56" t="s">
        <v>1562</v>
      </c>
      <c r="D373" s="57" t="s">
        <v>1563</v>
      </c>
      <c r="E373" s="56">
        <v>102</v>
      </c>
      <c r="F373" s="56">
        <v>74</v>
      </c>
      <c r="G373" s="56">
        <v>100.5</v>
      </c>
      <c r="H373" s="56">
        <v>59</v>
      </c>
      <c r="I373" s="56">
        <v>84</v>
      </c>
      <c r="J373" s="56">
        <v>62</v>
      </c>
      <c r="K373" s="52">
        <f t="shared" si="17"/>
        <v>481.5</v>
      </c>
      <c r="L373" s="27">
        <f t="shared" si="18"/>
        <v>45</v>
      </c>
      <c r="M373" s="62">
        <f t="shared" si="16"/>
        <v>732</v>
      </c>
      <c r="N373" s="63" t="s">
        <v>17</v>
      </c>
      <c r="O373" s="26" t="s">
        <v>2243</v>
      </c>
    </row>
    <row r="374" spans="1:15" ht="16.5" customHeight="1">
      <c r="A374" s="56" t="s">
        <v>2612</v>
      </c>
      <c r="B374" s="57" t="s">
        <v>217</v>
      </c>
      <c r="C374" s="56" t="s">
        <v>1466</v>
      </c>
      <c r="D374" s="57" t="s">
        <v>1467</v>
      </c>
      <c r="E374" s="56">
        <v>123</v>
      </c>
      <c r="F374" s="56">
        <v>92</v>
      </c>
      <c r="G374" s="56">
        <v>115</v>
      </c>
      <c r="H374" s="56">
        <v>36</v>
      </c>
      <c r="I374" s="56">
        <v>69</v>
      </c>
      <c r="J374" s="56">
        <v>57</v>
      </c>
      <c r="K374" s="52">
        <f t="shared" si="17"/>
        <v>492</v>
      </c>
      <c r="L374" s="27">
        <f t="shared" si="18"/>
        <v>39</v>
      </c>
      <c r="M374" s="62">
        <f t="shared" si="16"/>
        <v>684</v>
      </c>
      <c r="N374" s="63" t="s">
        <v>17</v>
      </c>
      <c r="O374" s="26" t="s">
        <v>42</v>
      </c>
    </row>
    <row r="375" spans="1:15" ht="16.5" customHeight="1">
      <c r="A375" s="56" t="s">
        <v>2613</v>
      </c>
      <c r="B375" s="57" t="s">
        <v>217</v>
      </c>
      <c r="C375" s="56" t="s">
        <v>1548</v>
      </c>
      <c r="D375" s="57" t="s">
        <v>1549</v>
      </c>
      <c r="E375" s="56">
        <v>113</v>
      </c>
      <c r="F375" s="56">
        <v>96</v>
      </c>
      <c r="G375" s="56">
        <v>94.5</v>
      </c>
      <c r="H375" s="56">
        <v>54</v>
      </c>
      <c r="I375" s="56">
        <v>72</v>
      </c>
      <c r="J375" s="56">
        <v>53</v>
      </c>
      <c r="K375" s="52">
        <f t="shared" si="17"/>
        <v>482.5</v>
      </c>
      <c r="L375" s="27">
        <f t="shared" si="18"/>
        <v>43</v>
      </c>
      <c r="M375" s="62">
        <f t="shared" si="16"/>
        <v>725</v>
      </c>
      <c r="N375" s="63" t="s">
        <v>16</v>
      </c>
      <c r="O375" s="26" t="s">
        <v>2243</v>
      </c>
    </row>
    <row r="376" spans="1:15" ht="16.5" customHeight="1">
      <c r="A376" s="56" t="s">
        <v>2614</v>
      </c>
      <c r="B376" s="57" t="s">
        <v>217</v>
      </c>
      <c r="C376" s="56" t="s">
        <v>1612</v>
      </c>
      <c r="D376" s="57" t="s">
        <v>1613</v>
      </c>
      <c r="E376" s="56">
        <v>93</v>
      </c>
      <c r="F376" s="56">
        <v>90</v>
      </c>
      <c r="G376" s="56">
        <v>93</v>
      </c>
      <c r="H376" s="56">
        <v>43</v>
      </c>
      <c r="I376" s="56">
        <v>85</v>
      </c>
      <c r="J376" s="56">
        <v>71</v>
      </c>
      <c r="K376" s="52">
        <f t="shared" si="17"/>
        <v>475</v>
      </c>
      <c r="L376" s="27">
        <f t="shared" si="18"/>
        <v>46</v>
      </c>
      <c r="M376" s="62">
        <f t="shared" si="16"/>
        <v>756</v>
      </c>
      <c r="N376" s="63" t="s">
        <v>17</v>
      </c>
      <c r="O376" s="26" t="s">
        <v>42</v>
      </c>
    </row>
    <row r="377" spans="1:15" ht="16.5" customHeight="1">
      <c r="A377" s="56" t="s">
        <v>2615</v>
      </c>
      <c r="B377" s="57" t="s">
        <v>217</v>
      </c>
      <c r="C377" s="56" t="s">
        <v>613</v>
      </c>
      <c r="D377" s="57" t="s">
        <v>614</v>
      </c>
      <c r="E377" s="56">
        <v>113</v>
      </c>
      <c r="F377" s="56">
        <v>128</v>
      </c>
      <c r="G377" s="56">
        <v>93.5</v>
      </c>
      <c r="H377" s="56">
        <v>71</v>
      </c>
      <c r="I377" s="56">
        <v>83</v>
      </c>
      <c r="J377" s="56">
        <v>76</v>
      </c>
      <c r="K377" s="52">
        <f t="shared" si="17"/>
        <v>564.5</v>
      </c>
      <c r="L377" s="27">
        <f t="shared" si="18"/>
        <v>11</v>
      </c>
      <c r="M377" s="62">
        <f t="shared" si="16"/>
        <v>260</v>
      </c>
      <c r="N377" s="63" t="s">
        <v>16</v>
      </c>
      <c r="O377" s="26" t="s">
        <v>42</v>
      </c>
    </row>
    <row r="378" spans="1:15" ht="16.5" customHeight="1">
      <c r="A378" s="56" t="s">
        <v>2616</v>
      </c>
      <c r="B378" s="57" t="s">
        <v>217</v>
      </c>
      <c r="C378" s="56" t="s">
        <v>521</v>
      </c>
      <c r="D378" s="57" t="s">
        <v>522</v>
      </c>
      <c r="E378" s="56">
        <v>106</v>
      </c>
      <c r="F378" s="56">
        <v>110</v>
      </c>
      <c r="G378" s="56">
        <v>113.5</v>
      </c>
      <c r="H378" s="56">
        <v>80</v>
      </c>
      <c r="I378" s="56">
        <v>87</v>
      </c>
      <c r="J378" s="56">
        <v>78</v>
      </c>
      <c r="K378" s="52">
        <f t="shared" si="17"/>
        <v>574.5</v>
      </c>
      <c r="L378" s="27">
        <f t="shared" si="18"/>
        <v>10</v>
      </c>
      <c r="M378" s="62">
        <f t="shared" si="16"/>
        <v>213</v>
      </c>
      <c r="N378" s="63" t="s">
        <v>16</v>
      </c>
      <c r="O378" s="26" t="s">
        <v>42</v>
      </c>
    </row>
    <row r="379" spans="1:15" ht="16.5" customHeight="1">
      <c r="A379" s="56" t="s">
        <v>2617</v>
      </c>
      <c r="B379" s="57" t="s">
        <v>217</v>
      </c>
      <c r="C379" s="56" t="s">
        <v>1770</v>
      </c>
      <c r="D379" s="57" t="s">
        <v>1771</v>
      </c>
      <c r="E379" s="56">
        <v>91</v>
      </c>
      <c r="F379" s="56">
        <v>62</v>
      </c>
      <c r="G379" s="56">
        <v>111</v>
      </c>
      <c r="H379" s="56">
        <v>52</v>
      </c>
      <c r="I379" s="56">
        <v>73</v>
      </c>
      <c r="J379" s="56">
        <v>64</v>
      </c>
      <c r="K379" s="52">
        <f t="shared" si="17"/>
        <v>453</v>
      </c>
      <c r="L379" s="27">
        <f t="shared" si="18"/>
        <v>54</v>
      </c>
      <c r="M379" s="62">
        <f t="shared" si="16"/>
        <v>835</v>
      </c>
      <c r="N379" s="63" t="s">
        <v>17</v>
      </c>
      <c r="O379" s="26" t="s">
        <v>2243</v>
      </c>
    </row>
    <row r="380" spans="1:15" ht="16.5" customHeight="1">
      <c r="A380" s="56" t="s">
        <v>2618</v>
      </c>
      <c r="B380" s="57" t="s">
        <v>217</v>
      </c>
      <c r="C380" s="56" t="s">
        <v>215</v>
      </c>
      <c r="D380" s="57" t="s">
        <v>216</v>
      </c>
      <c r="E380" s="56">
        <v>127</v>
      </c>
      <c r="F380" s="56">
        <v>115</v>
      </c>
      <c r="G380" s="56">
        <v>123</v>
      </c>
      <c r="H380" s="56">
        <v>78</v>
      </c>
      <c r="I380" s="56">
        <v>95</v>
      </c>
      <c r="J380" s="56">
        <v>77</v>
      </c>
      <c r="K380" s="52">
        <f t="shared" si="17"/>
        <v>615</v>
      </c>
      <c r="L380" s="27">
        <f t="shared" si="18"/>
        <v>1</v>
      </c>
      <c r="M380" s="62">
        <f t="shared" si="16"/>
        <v>61</v>
      </c>
      <c r="N380" s="63" t="s">
        <v>16</v>
      </c>
      <c r="O380" s="26" t="s">
        <v>2243</v>
      </c>
    </row>
    <row r="381" spans="1:15" ht="16.5" customHeight="1">
      <c r="A381" s="56" t="s">
        <v>2619</v>
      </c>
      <c r="B381" s="57" t="s">
        <v>217</v>
      </c>
      <c r="C381" s="56" t="s">
        <v>1388</v>
      </c>
      <c r="D381" s="57" t="s">
        <v>1389</v>
      </c>
      <c r="E381" s="56">
        <v>91</v>
      </c>
      <c r="F381" s="56">
        <v>77</v>
      </c>
      <c r="G381" s="56">
        <v>120</v>
      </c>
      <c r="H381" s="56">
        <v>65</v>
      </c>
      <c r="I381" s="56">
        <v>73</v>
      </c>
      <c r="J381" s="56">
        <v>73</v>
      </c>
      <c r="K381" s="52">
        <f t="shared" si="17"/>
        <v>499</v>
      </c>
      <c r="L381" s="27">
        <f t="shared" si="18"/>
        <v>31</v>
      </c>
      <c r="M381" s="62">
        <f t="shared" si="16"/>
        <v>646</v>
      </c>
      <c r="N381" s="63" t="s">
        <v>16</v>
      </c>
      <c r="O381" s="26" t="s">
        <v>2243</v>
      </c>
    </row>
    <row r="382" spans="1:15" ht="16.5" customHeight="1">
      <c r="A382" s="56" t="s">
        <v>2620</v>
      </c>
      <c r="B382" s="57" t="s">
        <v>217</v>
      </c>
      <c r="C382" s="56" t="s">
        <v>645</v>
      </c>
      <c r="D382" s="57" t="s">
        <v>646</v>
      </c>
      <c r="E382" s="56">
        <v>98</v>
      </c>
      <c r="F382" s="56">
        <v>126</v>
      </c>
      <c r="G382" s="56">
        <v>91</v>
      </c>
      <c r="H382" s="56">
        <v>90</v>
      </c>
      <c r="I382" s="56">
        <v>85</v>
      </c>
      <c r="J382" s="56">
        <v>71</v>
      </c>
      <c r="K382" s="52">
        <f t="shared" si="17"/>
        <v>561</v>
      </c>
      <c r="L382" s="27">
        <f t="shared" si="18"/>
        <v>12</v>
      </c>
      <c r="M382" s="62">
        <f t="shared" si="16"/>
        <v>275</v>
      </c>
      <c r="N382" s="63" t="s">
        <v>17</v>
      </c>
      <c r="O382" s="26" t="s">
        <v>2243</v>
      </c>
    </row>
    <row r="383" spans="1:15" ht="16.5" customHeight="1">
      <c r="A383" s="56" t="s">
        <v>2621</v>
      </c>
      <c r="B383" s="57" t="s">
        <v>217</v>
      </c>
      <c r="C383" s="56" t="s">
        <v>1614</v>
      </c>
      <c r="D383" s="57" t="s">
        <v>1615</v>
      </c>
      <c r="E383" s="56">
        <v>111</v>
      </c>
      <c r="F383" s="56">
        <v>95</v>
      </c>
      <c r="G383" s="56">
        <v>74</v>
      </c>
      <c r="H383" s="56">
        <v>63</v>
      </c>
      <c r="I383" s="56">
        <v>80</v>
      </c>
      <c r="J383" s="56">
        <v>52</v>
      </c>
      <c r="K383" s="52">
        <f t="shared" si="17"/>
        <v>475</v>
      </c>
      <c r="L383" s="27">
        <f t="shared" si="18"/>
        <v>46</v>
      </c>
      <c r="M383" s="62">
        <f t="shared" si="16"/>
        <v>756</v>
      </c>
      <c r="N383" s="63" t="s">
        <v>17</v>
      </c>
      <c r="O383" s="26" t="s">
        <v>2243</v>
      </c>
    </row>
    <row r="384" spans="1:15" ht="16.5" customHeight="1">
      <c r="A384" s="56" t="s">
        <v>2622</v>
      </c>
      <c r="B384" s="57" t="s">
        <v>217</v>
      </c>
      <c r="C384" s="56" t="s">
        <v>256</v>
      </c>
      <c r="D384" s="56" t="s">
        <v>257</v>
      </c>
      <c r="E384" s="56">
        <v>123</v>
      </c>
      <c r="F384" s="56">
        <v>121</v>
      </c>
      <c r="G384" s="56">
        <v>119.5</v>
      </c>
      <c r="H384" s="56">
        <v>88</v>
      </c>
      <c r="I384" s="56">
        <v>82</v>
      </c>
      <c r="J384" s="56">
        <v>75</v>
      </c>
      <c r="K384" s="52">
        <f t="shared" si="17"/>
        <v>608.5</v>
      </c>
      <c r="L384" s="27">
        <f t="shared" si="18"/>
        <v>3</v>
      </c>
      <c r="M384" s="62">
        <f t="shared" si="16"/>
        <v>79</v>
      </c>
      <c r="N384" s="63" t="s">
        <v>16</v>
      </c>
      <c r="O384" s="26" t="s">
        <v>2243</v>
      </c>
    </row>
    <row r="385" spans="1:15">
      <c r="A385" s="56" t="s">
        <v>2623</v>
      </c>
      <c r="B385" s="57" t="s">
        <v>217</v>
      </c>
      <c r="C385" s="56" t="s">
        <v>342</v>
      </c>
      <c r="D385" s="57" t="s">
        <v>343</v>
      </c>
      <c r="E385" s="56">
        <v>118</v>
      </c>
      <c r="F385" s="56">
        <v>102</v>
      </c>
      <c r="G385" s="56">
        <v>119</v>
      </c>
      <c r="H385" s="56">
        <v>85</v>
      </c>
      <c r="I385" s="56">
        <v>91</v>
      </c>
      <c r="J385" s="56">
        <v>79</v>
      </c>
      <c r="K385" s="52">
        <f t="shared" si="17"/>
        <v>594</v>
      </c>
      <c r="L385" s="27">
        <f t="shared" si="18"/>
        <v>6</v>
      </c>
      <c r="M385" s="62">
        <f t="shared" si="16"/>
        <v>123</v>
      </c>
      <c r="N385" s="63" t="s">
        <v>16</v>
      </c>
      <c r="O385" s="26" t="s">
        <v>44</v>
      </c>
    </row>
    <row r="386" spans="1:15" ht="16.5" customHeight="1">
      <c r="A386" s="56" t="s">
        <v>2624</v>
      </c>
      <c r="B386" s="57" t="s">
        <v>217</v>
      </c>
      <c r="C386" s="56" t="s">
        <v>898</v>
      </c>
      <c r="D386" s="57" t="s">
        <v>899</v>
      </c>
      <c r="E386" s="56">
        <v>116</v>
      </c>
      <c r="F386" s="56">
        <v>107</v>
      </c>
      <c r="G386" s="56">
        <v>102</v>
      </c>
      <c r="H386" s="56">
        <v>61</v>
      </c>
      <c r="I386" s="56">
        <v>85</v>
      </c>
      <c r="J386" s="56">
        <v>66</v>
      </c>
      <c r="K386" s="52">
        <f t="shared" si="17"/>
        <v>537</v>
      </c>
      <c r="L386" s="27">
        <f t="shared" si="18"/>
        <v>17</v>
      </c>
      <c r="M386" s="62">
        <f t="shared" si="16"/>
        <v>400</v>
      </c>
      <c r="N386" s="63" t="s">
        <v>16</v>
      </c>
      <c r="O386" s="26" t="s">
        <v>44</v>
      </c>
    </row>
    <row r="387" spans="1:15" ht="16.5" customHeight="1">
      <c r="A387" s="56" t="s">
        <v>2625</v>
      </c>
      <c r="B387" s="57" t="s">
        <v>217</v>
      </c>
      <c r="C387" s="56" t="s">
        <v>1244</v>
      </c>
      <c r="D387" s="57" t="s">
        <v>1245</v>
      </c>
      <c r="E387" s="56">
        <v>111</v>
      </c>
      <c r="F387" s="56">
        <v>104</v>
      </c>
      <c r="G387" s="56">
        <v>75.5</v>
      </c>
      <c r="H387" s="56">
        <v>88</v>
      </c>
      <c r="I387" s="56">
        <v>70</v>
      </c>
      <c r="J387" s="56">
        <v>62</v>
      </c>
      <c r="K387" s="52">
        <f t="shared" si="17"/>
        <v>510.5</v>
      </c>
      <c r="L387" s="27">
        <f t="shared" si="18"/>
        <v>27</v>
      </c>
      <c r="M387" s="62">
        <f t="shared" ref="M387:M450" si="19">RANK(K387,$K$3:$K$953)</f>
        <v>573</v>
      </c>
      <c r="N387" s="63" t="s">
        <v>17</v>
      </c>
      <c r="O387" s="26" t="s">
        <v>2243</v>
      </c>
    </row>
    <row r="388" spans="1:15" ht="15.75" customHeight="1">
      <c r="A388" s="56" t="s">
        <v>2626</v>
      </c>
      <c r="B388" s="57" t="s">
        <v>217</v>
      </c>
      <c r="C388" s="56" t="s">
        <v>1198</v>
      </c>
      <c r="D388" s="57" t="s">
        <v>1199</v>
      </c>
      <c r="E388" s="56">
        <v>94</v>
      </c>
      <c r="F388" s="56">
        <v>101</v>
      </c>
      <c r="G388" s="56">
        <v>93</v>
      </c>
      <c r="H388" s="56">
        <v>76</v>
      </c>
      <c r="I388" s="56">
        <v>79</v>
      </c>
      <c r="J388" s="56">
        <v>70</v>
      </c>
      <c r="K388" s="52">
        <f t="shared" ref="K388:K451" si="20">SUM(E388:J388)</f>
        <v>513</v>
      </c>
      <c r="L388" s="27">
        <f t="shared" si="18"/>
        <v>25</v>
      </c>
      <c r="M388" s="62">
        <f t="shared" si="19"/>
        <v>551</v>
      </c>
      <c r="N388" s="63" t="s">
        <v>16</v>
      </c>
      <c r="O388" s="26" t="s">
        <v>44</v>
      </c>
    </row>
    <row r="389" spans="1:15" ht="15.75" customHeight="1">
      <c r="A389" s="56" t="s">
        <v>2627</v>
      </c>
      <c r="B389" s="57" t="s">
        <v>217</v>
      </c>
      <c r="C389" s="56" t="s">
        <v>1468</v>
      </c>
      <c r="D389" s="57" t="s">
        <v>1469</v>
      </c>
      <c r="E389" s="56">
        <v>103</v>
      </c>
      <c r="F389" s="56">
        <v>89</v>
      </c>
      <c r="G389" s="56">
        <v>96.5</v>
      </c>
      <c r="H389" s="56">
        <v>53</v>
      </c>
      <c r="I389" s="56">
        <v>92</v>
      </c>
      <c r="J389" s="56">
        <v>58</v>
      </c>
      <c r="K389" s="52">
        <f t="shared" si="20"/>
        <v>491.5</v>
      </c>
      <c r="L389" s="27">
        <f t="shared" si="18"/>
        <v>40</v>
      </c>
      <c r="M389" s="62">
        <f t="shared" si="19"/>
        <v>688</v>
      </c>
      <c r="N389" s="63" t="s">
        <v>17</v>
      </c>
      <c r="O389" s="26" t="s">
        <v>42</v>
      </c>
    </row>
    <row r="390" spans="1:15" ht="15.75" customHeight="1">
      <c r="A390" s="56" t="s">
        <v>2628</v>
      </c>
      <c r="B390" s="57" t="s">
        <v>217</v>
      </c>
      <c r="C390" s="56" t="s">
        <v>1022</v>
      </c>
      <c r="D390" s="57" t="s">
        <v>1023</v>
      </c>
      <c r="E390" s="56">
        <v>105</v>
      </c>
      <c r="F390" s="56">
        <v>98</v>
      </c>
      <c r="G390" s="56">
        <v>101</v>
      </c>
      <c r="H390" s="56">
        <v>78</v>
      </c>
      <c r="I390" s="56">
        <v>75</v>
      </c>
      <c r="J390" s="56">
        <v>69</v>
      </c>
      <c r="K390" s="52">
        <f t="shared" si="20"/>
        <v>526</v>
      </c>
      <c r="L390" s="27">
        <f t="shared" si="18"/>
        <v>20</v>
      </c>
      <c r="M390" s="62">
        <f t="shared" si="19"/>
        <v>462</v>
      </c>
      <c r="N390" s="63" t="s">
        <v>16</v>
      </c>
      <c r="O390" s="26" t="s">
        <v>42</v>
      </c>
    </row>
    <row r="391" spans="1:15" ht="15.75" customHeight="1">
      <c r="A391" s="56" t="s">
        <v>2629</v>
      </c>
      <c r="B391" s="57" t="s">
        <v>217</v>
      </c>
      <c r="C391" s="56" t="s">
        <v>1434</v>
      </c>
      <c r="D391" s="57" t="s">
        <v>1435</v>
      </c>
      <c r="E391" s="56">
        <v>102</v>
      </c>
      <c r="F391" s="56">
        <v>83</v>
      </c>
      <c r="G391" s="56">
        <v>107</v>
      </c>
      <c r="H391" s="56">
        <v>74</v>
      </c>
      <c r="I391" s="56">
        <v>66</v>
      </c>
      <c r="J391" s="56">
        <v>62</v>
      </c>
      <c r="K391" s="52">
        <f t="shared" si="20"/>
        <v>494</v>
      </c>
      <c r="L391" s="27">
        <f t="shared" si="18"/>
        <v>34</v>
      </c>
      <c r="M391" s="62">
        <f t="shared" si="19"/>
        <v>670</v>
      </c>
      <c r="N391" s="63" t="s">
        <v>16</v>
      </c>
      <c r="O391" s="26" t="s">
        <v>2243</v>
      </c>
    </row>
    <row r="392" spans="1:15" ht="15.75" customHeight="1">
      <c r="A392" s="56" t="s">
        <v>2630</v>
      </c>
      <c r="B392" s="57" t="s">
        <v>217</v>
      </c>
      <c r="C392" s="56" t="s">
        <v>1476</v>
      </c>
      <c r="D392" s="57" t="s">
        <v>1477</v>
      </c>
      <c r="E392" s="56">
        <v>89</v>
      </c>
      <c r="F392" s="56">
        <v>101</v>
      </c>
      <c r="G392" s="56">
        <v>100</v>
      </c>
      <c r="H392" s="56">
        <v>64</v>
      </c>
      <c r="I392" s="56">
        <v>73</v>
      </c>
      <c r="J392" s="56">
        <v>63</v>
      </c>
      <c r="K392" s="52">
        <f t="shared" si="20"/>
        <v>490</v>
      </c>
      <c r="L392" s="27">
        <f t="shared" si="18"/>
        <v>41</v>
      </c>
      <c r="M392" s="62">
        <f t="shared" si="19"/>
        <v>692</v>
      </c>
      <c r="N392" s="63" t="s">
        <v>17</v>
      </c>
      <c r="O392" s="26" t="s">
        <v>2243</v>
      </c>
    </row>
    <row r="393" spans="1:15" ht="15.75" customHeight="1">
      <c r="A393" s="56" t="s">
        <v>2631</v>
      </c>
      <c r="B393" s="57" t="s">
        <v>217</v>
      </c>
      <c r="C393" s="56" t="s">
        <v>1432</v>
      </c>
      <c r="D393" s="57" t="s">
        <v>1433</v>
      </c>
      <c r="E393" s="56">
        <v>112</v>
      </c>
      <c r="F393" s="56">
        <v>71</v>
      </c>
      <c r="G393" s="56">
        <v>110</v>
      </c>
      <c r="H393" s="56">
        <v>57</v>
      </c>
      <c r="I393" s="56">
        <v>75</v>
      </c>
      <c r="J393" s="56">
        <v>69</v>
      </c>
      <c r="K393" s="52">
        <f t="shared" si="20"/>
        <v>494</v>
      </c>
      <c r="L393" s="27">
        <f t="shared" si="18"/>
        <v>34</v>
      </c>
      <c r="M393" s="62">
        <f t="shared" si="19"/>
        <v>670</v>
      </c>
      <c r="N393" s="63" t="s">
        <v>16</v>
      </c>
      <c r="O393" s="26" t="s">
        <v>2243</v>
      </c>
    </row>
    <row r="394" spans="1:15" ht="15.75" customHeight="1">
      <c r="A394" s="56" t="s">
        <v>2632</v>
      </c>
      <c r="B394" s="57" t="s">
        <v>217</v>
      </c>
      <c r="C394" s="56" t="s">
        <v>360</v>
      </c>
      <c r="D394" s="57" t="s">
        <v>361</v>
      </c>
      <c r="E394" s="56">
        <v>115</v>
      </c>
      <c r="F394" s="56">
        <v>111</v>
      </c>
      <c r="G394" s="56">
        <v>120.5</v>
      </c>
      <c r="H394" s="56">
        <v>89</v>
      </c>
      <c r="I394" s="56">
        <v>83</v>
      </c>
      <c r="J394" s="56">
        <v>73</v>
      </c>
      <c r="K394" s="52">
        <f t="shared" si="20"/>
        <v>591.5</v>
      </c>
      <c r="L394" s="27">
        <f t="shared" si="18"/>
        <v>8</v>
      </c>
      <c r="M394" s="62">
        <f t="shared" si="19"/>
        <v>132</v>
      </c>
      <c r="N394" s="63" t="s">
        <v>16</v>
      </c>
      <c r="O394" s="26" t="s">
        <v>42</v>
      </c>
    </row>
    <row r="395" spans="1:15" ht="15.75" customHeight="1">
      <c r="A395" s="56" t="s">
        <v>2633</v>
      </c>
      <c r="B395" s="57" t="s">
        <v>217</v>
      </c>
      <c r="C395" s="56" t="s">
        <v>307</v>
      </c>
      <c r="D395" s="57" t="s">
        <v>308</v>
      </c>
      <c r="E395" s="56">
        <v>117</v>
      </c>
      <c r="F395" s="56">
        <v>117</v>
      </c>
      <c r="G395" s="56">
        <v>114</v>
      </c>
      <c r="H395" s="56">
        <v>90</v>
      </c>
      <c r="I395" s="56">
        <v>82</v>
      </c>
      <c r="J395" s="56">
        <v>79</v>
      </c>
      <c r="K395" s="52">
        <f t="shared" si="20"/>
        <v>599</v>
      </c>
      <c r="L395" s="27">
        <f t="shared" si="18"/>
        <v>5</v>
      </c>
      <c r="M395" s="62">
        <f t="shared" si="19"/>
        <v>105</v>
      </c>
      <c r="N395" s="63" t="s">
        <v>16</v>
      </c>
      <c r="O395" s="26" t="s">
        <v>2243</v>
      </c>
    </row>
    <row r="396" spans="1:15" ht="15.75" customHeight="1">
      <c r="A396" s="56" t="s">
        <v>2634</v>
      </c>
      <c r="B396" s="57" t="s">
        <v>217</v>
      </c>
      <c r="C396" s="56" t="s">
        <v>438</v>
      </c>
      <c r="D396" s="57" t="s">
        <v>439</v>
      </c>
      <c r="E396" s="56">
        <v>103</v>
      </c>
      <c r="F396" s="56">
        <v>109</v>
      </c>
      <c r="G396" s="56">
        <v>120</v>
      </c>
      <c r="H396" s="56">
        <v>86</v>
      </c>
      <c r="I396" s="56">
        <v>89</v>
      </c>
      <c r="J396" s="56">
        <v>76</v>
      </c>
      <c r="K396" s="52">
        <f t="shared" si="20"/>
        <v>583</v>
      </c>
      <c r="L396" s="27">
        <f t="shared" si="18"/>
        <v>9</v>
      </c>
      <c r="M396" s="62">
        <f t="shared" si="19"/>
        <v>169</v>
      </c>
      <c r="N396" s="63" t="s">
        <v>16</v>
      </c>
      <c r="O396" s="26" t="s">
        <v>42</v>
      </c>
    </row>
    <row r="397" spans="1:15" ht="15.75" customHeight="1">
      <c r="A397" s="56" t="s">
        <v>2635</v>
      </c>
      <c r="B397" s="57" t="s">
        <v>217</v>
      </c>
      <c r="C397" s="56" t="s">
        <v>1324</v>
      </c>
      <c r="D397" s="57" t="s">
        <v>1325</v>
      </c>
      <c r="E397" s="56">
        <v>101</v>
      </c>
      <c r="F397" s="56">
        <v>91</v>
      </c>
      <c r="G397" s="56">
        <v>96</v>
      </c>
      <c r="H397" s="56">
        <v>77</v>
      </c>
      <c r="I397" s="56">
        <v>79</v>
      </c>
      <c r="J397" s="56">
        <v>60</v>
      </c>
      <c r="K397" s="52">
        <f t="shared" si="20"/>
        <v>504</v>
      </c>
      <c r="L397" s="27">
        <f t="shared" si="18"/>
        <v>28</v>
      </c>
      <c r="M397" s="62">
        <f t="shared" si="19"/>
        <v>616</v>
      </c>
      <c r="N397" s="63" t="s">
        <v>17</v>
      </c>
      <c r="O397" s="26" t="s">
        <v>42</v>
      </c>
    </row>
    <row r="398" spans="1:15" ht="15.75" customHeight="1">
      <c r="A398" s="56" t="s">
        <v>2636</v>
      </c>
      <c r="B398" s="57" t="s">
        <v>217</v>
      </c>
      <c r="C398" s="56" t="s">
        <v>354</v>
      </c>
      <c r="D398" s="57" t="s">
        <v>355</v>
      </c>
      <c r="E398" s="56">
        <v>107</v>
      </c>
      <c r="F398" s="56">
        <v>122</v>
      </c>
      <c r="G398" s="56">
        <v>105</v>
      </c>
      <c r="H398" s="56">
        <v>90</v>
      </c>
      <c r="I398" s="56">
        <v>93</v>
      </c>
      <c r="J398" s="56">
        <v>75</v>
      </c>
      <c r="K398" s="52">
        <f t="shared" si="20"/>
        <v>592</v>
      </c>
      <c r="L398" s="27">
        <f t="shared" si="18"/>
        <v>7</v>
      </c>
      <c r="M398" s="62">
        <f t="shared" si="19"/>
        <v>128</v>
      </c>
      <c r="N398" s="63"/>
      <c r="O398" s="26" t="s">
        <v>44</v>
      </c>
    </row>
    <row r="399" spans="1:15" ht="15.75" customHeight="1">
      <c r="A399" s="56" t="s">
        <v>2637</v>
      </c>
      <c r="B399" s="57" t="s">
        <v>217</v>
      </c>
      <c r="C399" s="56" t="s">
        <v>1632</v>
      </c>
      <c r="D399" s="57" t="s">
        <v>1633</v>
      </c>
      <c r="E399" s="56">
        <v>107</v>
      </c>
      <c r="F399" s="56">
        <v>102</v>
      </c>
      <c r="G399" s="56">
        <v>98</v>
      </c>
      <c r="H399" s="56">
        <v>24</v>
      </c>
      <c r="I399" s="56">
        <v>77</v>
      </c>
      <c r="J399" s="56">
        <v>65</v>
      </c>
      <c r="K399" s="52">
        <f t="shared" si="20"/>
        <v>473</v>
      </c>
      <c r="L399" s="27">
        <f t="shared" si="18"/>
        <v>48</v>
      </c>
      <c r="M399" s="62">
        <f t="shared" si="19"/>
        <v>770</v>
      </c>
      <c r="N399" s="63" t="s">
        <v>16</v>
      </c>
      <c r="O399" s="26" t="s">
        <v>2243</v>
      </c>
    </row>
    <row r="400" spans="1:15" ht="15.75" customHeight="1">
      <c r="A400" s="56" t="s">
        <v>2638</v>
      </c>
      <c r="B400" s="57" t="s">
        <v>217</v>
      </c>
      <c r="C400" s="56" t="s">
        <v>1772</v>
      </c>
      <c r="D400" s="57" t="s">
        <v>1773</v>
      </c>
      <c r="E400" s="56">
        <v>113</v>
      </c>
      <c r="F400" s="56">
        <v>73</v>
      </c>
      <c r="G400" s="56">
        <v>111</v>
      </c>
      <c r="H400" s="56">
        <v>54</v>
      </c>
      <c r="I400" s="56">
        <v>57</v>
      </c>
      <c r="J400" s="56">
        <v>44</v>
      </c>
      <c r="K400" s="52">
        <f t="shared" si="20"/>
        <v>452</v>
      </c>
      <c r="L400" s="27">
        <f t="shared" si="18"/>
        <v>55</v>
      </c>
      <c r="M400" s="62">
        <f t="shared" si="19"/>
        <v>839</v>
      </c>
      <c r="N400" s="63" t="s">
        <v>16</v>
      </c>
      <c r="O400" s="26" t="s">
        <v>2243</v>
      </c>
    </row>
    <row r="401" spans="1:15" ht="15.75" customHeight="1">
      <c r="A401" s="56" t="s">
        <v>2639</v>
      </c>
      <c r="B401" s="57" t="s">
        <v>172</v>
      </c>
      <c r="C401" s="56" t="s">
        <v>1752</v>
      </c>
      <c r="D401" s="57" t="s">
        <v>1753</v>
      </c>
      <c r="E401" s="56">
        <v>94</v>
      </c>
      <c r="F401" s="56">
        <v>58</v>
      </c>
      <c r="G401" s="56">
        <v>110.5</v>
      </c>
      <c r="H401" s="56">
        <v>53</v>
      </c>
      <c r="I401" s="56">
        <v>73</v>
      </c>
      <c r="J401" s="56">
        <v>66</v>
      </c>
      <c r="K401" s="52">
        <f t="shared" si="20"/>
        <v>454.5</v>
      </c>
      <c r="L401" s="27">
        <f>RANK(K401,$K$401:$K$457)</f>
        <v>49</v>
      </c>
      <c r="M401" s="62">
        <f t="shared" si="19"/>
        <v>829</v>
      </c>
      <c r="N401" s="63" t="s">
        <v>16</v>
      </c>
      <c r="O401" s="26" t="s">
        <v>2243</v>
      </c>
    </row>
    <row r="402" spans="1:15" ht="15.75" customHeight="1">
      <c r="A402" s="56" t="s">
        <v>2640</v>
      </c>
      <c r="B402" s="57" t="s">
        <v>172</v>
      </c>
      <c r="C402" s="56" t="s">
        <v>344</v>
      </c>
      <c r="D402" s="57" t="s">
        <v>345</v>
      </c>
      <c r="E402" s="56">
        <v>115</v>
      </c>
      <c r="F402" s="56">
        <v>108</v>
      </c>
      <c r="G402" s="56">
        <v>116</v>
      </c>
      <c r="H402" s="56">
        <v>82</v>
      </c>
      <c r="I402" s="56">
        <v>90</v>
      </c>
      <c r="J402" s="56">
        <v>83</v>
      </c>
      <c r="K402" s="52">
        <f t="shared" si="20"/>
        <v>594</v>
      </c>
      <c r="L402" s="27">
        <f t="shared" ref="L402:L457" si="21">RANK(K402,$K$401:$K$457)</f>
        <v>5</v>
      </c>
      <c r="M402" s="62">
        <f t="shared" si="19"/>
        <v>123</v>
      </c>
      <c r="N402" s="63" t="s">
        <v>16</v>
      </c>
      <c r="O402" s="26" t="s">
        <v>42</v>
      </c>
    </row>
    <row r="403" spans="1:15" ht="15.75" customHeight="1">
      <c r="A403" s="56" t="s">
        <v>2641</v>
      </c>
      <c r="B403" s="57" t="s">
        <v>172</v>
      </c>
      <c r="C403" s="56" t="s">
        <v>470</v>
      </c>
      <c r="D403" s="57" t="s">
        <v>471</v>
      </c>
      <c r="E403" s="56">
        <v>117</v>
      </c>
      <c r="F403" s="56">
        <v>106</v>
      </c>
      <c r="G403" s="56">
        <v>121.5</v>
      </c>
      <c r="H403" s="56">
        <v>67</v>
      </c>
      <c r="I403" s="56">
        <v>92</v>
      </c>
      <c r="J403" s="56">
        <v>76</v>
      </c>
      <c r="K403" s="52">
        <f t="shared" si="20"/>
        <v>579.5</v>
      </c>
      <c r="L403" s="27">
        <f t="shared" si="21"/>
        <v>9</v>
      </c>
      <c r="M403" s="62">
        <f t="shared" si="19"/>
        <v>186</v>
      </c>
      <c r="N403" s="63" t="s">
        <v>16</v>
      </c>
      <c r="O403" s="26" t="s">
        <v>42</v>
      </c>
    </row>
    <row r="404" spans="1:15" ht="15.75" customHeight="1">
      <c r="A404" s="56" t="s">
        <v>2642</v>
      </c>
      <c r="B404" s="57" t="s">
        <v>172</v>
      </c>
      <c r="C404" s="56" t="s">
        <v>946</v>
      </c>
      <c r="D404" s="57" t="s">
        <v>947</v>
      </c>
      <c r="E404" s="56">
        <v>103</v>
      </c>
      <c r="F404" s="56">
        <v>93</v>
      </c>
      <c r="G404" s="56">
        <v>118.5</v>
      </c>
      <c r="H404" s="56">
        <v>73</v>
      </c>
      <c r="I404" s="56">
        <v>74</v>
      </c>
      <c r="J404" s="56">
        <v>70</v>
      </c>
      <c r="K404" s="52">
        <f t="shared" si="20"/>
        <v>531.5</v>
      </c>
      <c r="L404" s="27">
        <f t="shared" si="21"/>
        <v>17</v>
      </c>
      <c r="M404" s="62">
        <f t="shared" si="19"/>
        <v>426</v>
      </c>
      <c r="N404" s="63" t="s">
        <v>17</v>
      </c>
      <c r="O404" s="26" t="s">
        <v>2243</v>
      </c>
    </row>
    <row r="405" spans="1:15" ht="15.75" customHeight="1">
      <c r="A405" s="56" t="s">
        <v>2643</v>
      </c>
      <c r="B405" s="57" t="s">
        <v>172</v>
      </c>
      <c r="C405" s="56" t="s">
        <v>368</v>
      </c>
      <c r="D405" s="57" t="s">
        <v>369</v>
      </c>
      <c r="E405" s="56">
        <v>105</v>
      </c>
      <c r="F405" s="56">
        <v>146</v>
      </c>
      <c r="G405" s="56">
        <v>100</v>
      </c>
      <c r="H405" s="56">
        <v>81</v>
      </c>
      <c r="I405" s="56">
        <v>89</v>
      </c>
      <c r="J405" s="56">
        <v>70</v>
      </c>
      <c r="K405" s="52">
        <f t="shared" si="20"/>
        <v>591</v>
      </c>
      <c r="L405" s="27">
        <f t="shared" si="21"/>
        <v>6</v>
      </c>
      <c r="M405" s="62">
        <f t="shared" si="19"/>
        <v>135</v>
      </c>
      <c r="N405" s="63" t="s">
        <v>16</v>
      </c>
      <c r="O405" s="26" t="s">
        <v>2243</v>
      </c>
    </row>
    <row r="406" spans="1:15" ht="15.75" customHeight="1">
      <c r="A406" s="56" t="s">
        <v>2644</v>
      </c>
      <c r="B406" s="57" t="s">
        <v>172</v>
      </c>
      <c r="C406" s="56" t="s">
        <v>1008</v>
      </c>
      <c r="D406" s="57" t="s">
        <v>1009</v>
      </c>
      <c r="E406" s="56">
        <v>104</v>
      </c>
      <c r="F406" s="56">
        <v>105</v>
      </c>
      <c r="G406" s="56">
        <v>110</v>
      </c>
      <c r="H406" s="56">
        <v>53</v>
      </c>
      <c r="I406" s="56">
        <v>89</v>
      </c>
      <c r="J406" s="56">
        <v>66</v>
      </c>
      <c r="K406" s="52">
        <f t="shared" si="20"/>
        <v>527</v>
      </c>
      <c r="L406" s="27">
        <f t="shared" si="21"/>
        <v>22</v>
      </c>
      <c r="M406" s="62">
        <f t="shared" si="19"/>
        <v>457</v>
      </c>
      <c r="N406" s="63" t="s">
        <v>16</v>
      </c>
      <c r="O406" s="26" t="s">
        <v>42</v>
      </c>
    </row>
    <row r="407" spans="1:15" ht="15.75" customHeight="1">
      <c r="A407" s="56" t="s">
        <v>2645</v>
      </c>
      <c r="B407" s="57" t="s">
        <v>172</v>
      </c>
      <c r="C407" s="56" t="s">
        <v>948</v>
      </c>
      <c r="D407" s="57" t="s">
        <v>949</v>
      </c>
      <c r="E407" s="56">
        <v>109</v>
      </c>
      <c r="F407" s="56">
        <v>87</v>
      </c>
      <c r="G407" s="56">
        <v>89</v>
      </c>
      <c r="H407" s="56">
        <v>68</v>
      </c>
      <c r="I407" s="56">
        <v>97</v>
      </c>
      <c r="J407" s="56">
        <v>81</v>
      </c>
      <c r="K407" s="52">
        <f t="shared" si="20"/>
        <v>531</v>
      </c>
      <c r="L407" s="27">
        <f t="shared" si="21"/>
        <v>18</v>
      </c>
      <c r="M407" s="62">
        <f t="shared" si="19"/>
        <v>428</v>
      </c>
      <c r="N407" s="63" t="s">
        <v>16</v>
      </c>
      <c r="O407" s="26" t="s">
        <v>44</v>
      </c>
    </row>
    <row r="408" spans="1:15" ht="15.75" customHeight="1">
      <c r="A408" s="56" t="s">
        <v>2646</v>
      </c>
      <c r="B408" s="57" t="s">
        <v>172</v>
      </c>
      <c r="C408" s="56" t="s">
        <v>1326</v>
      </c>
      <c r="D408" s="57" t="s">
        <v>1327</v>
      </c>
      <c r="E408" s="56">
        <v>96</v>
      </c>
      <c r="F408" s="56">
        <v>108</v>
      </c>
      <c r="G408" s="56">
        <v>73</v>
      </c>
      <c r="H408" s="56">
        <v>90</v>
      </c>
      <c r="I408" s="56">
        <v>63</v>
      </c>
      <c r="J408" s="56">
        <v>74</v>
      </c>
      <c r="K408" s="52">
        <f t="shared" si="20"/>
        <v>504</v>
      </c>
      <c r="L408" s="27">
        <f t="shared" si="21"/>
        <v>35</v>
      </c>
      <c r="M408" s="62">
        <f t="shared" si="19"/>
        <v>616</v>
      </c>
      <c r="N408" s="63" t="s">
        <v>17</v>
      </c>
      <c r="O408" s="26" t="s">
        <v>2243</v>
      </c>
    </row>
    <row r="409" spans="1:15" ht="15.75" customHeight="1">
      <c r="A409" s="56" t="s">
        <v>2647</v>
      </c>
      <c r="B409" s="57" t="s">
        <v>172</v>
      </c>
      <c r="C409" s="56" t="s">
        <v>1352</v>
      </c>
      <c r="D409" s="57" t="s">
        <v>1353</v>
      </c>
      <c r="E409" s="56">
        <v>107</v>
      </c>
      <c r="F409" s="56">
        <v>88</v>
      </c>
      <c r="G409" s="56">
        <v>103.5</v>
      </c>
      <c r="H409" s="56">
        <v>59</v>
      </c>
      <c r="I409" s="56">
        <v>75</v>
      </c>
      <c r="J409" s="56">
        <v>69</v>
      </c>
      <c r="K409" s="52">
        <f t="shared" si="20"/>
        <v>501.5</v>
      </c>
      <c r="L409" s="27">
        <f t="shared" si="21"/>
        <v>37</v>
      </c>
      <c r="M409" s="62">
        <f t="shared" si="19"/>
        <v>628</v>
      </c>
      <c r="N409" s="63" t="s">
        <v>17</v>
      </c>
      <c r="O409" s="26" t="s">
        <v>2243</v>
      </c>
    </row>
    <row r="410" spans="1:15" ht="15.75" customHeight="1">
      <c r="A410" s="56" t="s">
        <v>2648</v>
      </c>
      <c r="B410" s="57" t="s">
        <v>172</v>
      </c>
      <c r="C410" s="56" t="s">
        <v>1208</v>
      </c>
      <c r="D410" s="57" t="s">
        <v>1209</v>
      </c>
      <c r="E410" s="56">
        <v>96</v>
      </c>
      <c r="F410" s="56">
        <v>103</v>
      </c>
      <c r="G410" s="56">
        <v>96.5</v>
      </c>
      <c r="H410" s="56">
        <v>75</v>
      </c>
      <c r="I410" s="56">
        <v>89</v>
      </c>
      <c r="J410" s="56">
        <v>53</v>
      </c>
      <c r="K410" s="52">
        <f t="shared" si="20"/>
        <v>512.5</v>
      </c>
      <c r="L410" s="27">
        <f t="shared" si="21"/>
        <v>28</v>
      </c>
      <c r="M410" s="62">
        <f t="shared" si="19"/>
        <v>555</v>
      </c>
      <c r="N410" s="63" t="s">
        <v>17</v>
      </c>
      <c r="O410" s="26" t="s">
        <v>2243</v>
      </c>
    </row>
    <row r="411" spans="1:15" ht="15.75" customHeight="1">
      <c r="A411" s="56" t="s">
        <v>2649</v>
      </c>
      <c r="B411" s="57" t="s">
        <v>172</v>
      </c>
      <c r="C411" s="56" t="s">
        <v>185</v>
      </c>
      <c r="D411" s="57" t="s">
        <v>186</v>
      </c>
      <c r="E411" s="56">
        <v>93</v>
      </c>
      <c r="F411" s="56">
        <v>141</v>
      </c>
      <c r="G411" s="56">
        <v>109.5</v>
      </c>
      <c r="H411" s="56">
        <v>102</v>
      </c>
      <c r="I411" s="56">
        <v>92</v>
      </c>
      <c r="J411" s="56">
        <v>86</v>
      </c>
      <c r="K411" s="52">
        <f t="shared" si="20"/>
        <v>623.5</v>
      </c>
      <c r="L411" s="27">
        <f t="shared" si="21"/>
        <v>2</v>
      </c>
      <c r="M411" s="62">
        <f t="shared" si="19"/>
        <v>46</v>
      </c>
      <c r="N411" s="63"/>
      <c r="O411" s="26" t="s">
        <v>44</v>
      </c>
    </row>
    <row r="412" spans="1:15" ht="15.75" customHeight="1">
      <c r="A412" s="56" t="s">
        <v>2650</v>
      </c>
      <c r="B412" s="57" t="s">
        <v>172</v>
      </c>
      <c r="C412" s="56" t="s">
        <v>726</v>
      </c>
      <c r="D412" s="57" t="s">
        <v>727</v>
      </c>
      <c r="E412" s="56">
        <v>87</v>
      </c>
      <c r="F412" s="56">
        <v>106</v>
      </c>
      <c r="G412" s="56">
        <v>107.5</v>
      </c>
      <c r="H412" s="56">
        <v>102</v>
      </c>
      <c r="I412" s="56">
        <v>83</v>
      </c>
      <c r="J412" s="56">
        <v>67</v>
      </c>
      <c r="K412" s="52">
        <f t="shared" si="20"/>
        <v>552.5</v>
      </c>
      <c r="L412" s="27">
        <f t="shared" si="21"/>
        <v>13</v>
      </c>
      <c r="M412" s="62">
        <f t="shared" si="19"/>
        <v>316</v>
      </c>
      <c r="N412" s="63" t="s">
        <v>17</v>
      </c>
      <c r="O412" s="26" t="s">
        <v>42</v>
      </c>
    </row>
    <row r="413" spans="1:15" ht="15.75" customHeight="1">
      <c r="A413" s="56" t="s">
        <v>2651</v>
      </c>
      <c r="B413" s="57" t="s">
        <v>172</v>
      </c>
      <c r="C413" s="56" t="s">
        <v>386</v>
      </c>
      <c r="D413" s="57" t="s">
        <v>387</v>
      </c>
      <c r="E413" s="56">
        <v>110</v>
      </c>
      <c r="F413" s="56">
        <v>115</v>
      </c>
      <c r="G413" s="56">
        <v>106</v>
      </c>
      <c r="H413" s="56">
        <v>86</v>
      </c>
      <c r="I413" s="56">
        <v>94</v>
      </c>
      <c r="J413" s="56">
        <v>78</v>
      </c>
      <c r="K413" s="52">
        <f t="shared" si="20"/>
        <v>589</v>
      </c>
      <c r="L413" s="27">
        <f t="shared" si="21"/>
        <v>7</v>
      </c>
      <c r="M413" s="62">
        <f t="shared" si="19"/>
        <v>143</v>
      </c>
      <c r="N413" s="63" t="s">
        <v>16</v>
      </c>
      <c r="O413" s="26" t="s">
        <v>44</v>
      </c>
    </row>
    <row r="414" spans="1:15" ht="15.75" customHeight="1">
      <c r="A414" s="56" t="s">
        <v>2652</v>
      </c>
      <c r="B414" s="57" t="s">
        <v>172</v>
      </c>
      <c r="C414" s="56" t="s">
        <v>170</v>
      </c>
      <c r="D414" s="57" t="s">
        <v>171</v>
      </c>
      <c r="E414" s="56">
        <v>116</v>
      </c>
      <c r="F414" s="56">
        <v>131</v>
      </c>
      <c r="G414" s="56">
        <v>121.5</v>
      </c>
      <c r="H414" s="56">
        <v>90</v>
      </c>
      <c r="I414" s="56">
        <v>94</v>
      </c>
      <c r="J414" s="56">
        <v>74</v>
      </c>
      <c r="K414" s="52">
        <f t="shared" si="20"/>
        <v>626.5</v>
      </c>
      <c r="L414" s="27">
        <f t="shared" si="21"/>
        <v>1</v>
      </c>
      <c r="M414" s="62">
        <f t="shared" si="19"/>
        <v>40</v>
      </c>
      <c r="N414" s="63" t="s">
        <v>16</v>
      </c>
      <c r="O414" s="26" t="s">
        <v>2243</v>
      </c>
    </row>
    <row r="415" spans="1:15" ht="15.75" customHeight="1">
      <c r="A415" s="56" t="s">
        <v>2653</v>
      </c>
      <c r="B415" s="57" t="s">
        <v>172</v>
      </c>
      <c r="C415" s="56" t="s">
        <v>406</v>
      </c>
      <c r="D415" s="57" t="s">
        <v>407</v>
      </c>
      <c r="E415" s="56">
        <v>118</v>
      </c>
      <c r="F415" s="56">
        <v>110</v>
      </c>
      <c r="G415" s="56">
        <v>123.5</v>
      </c>
      <c r="H415" s="56">
        <v>82</v>
      </c>
      <c r="I415" s="56">
        <v>83</v>
      </c>
      <c r="J415" s="56">
        <v>71</v>
      </c>
      <c r="K415" s="52">
        <f t="shared" si="20"/>
        <v>587.5</v>
      </c>
      <c r="L415" s="27">
        <f t="shared" si="21"/>
        <v>8</v>
      </c>
      <c r="M415" s="62">
        <f t="shared" si="19"/>
        <v>154</v>
      </c>
      <c r="N415" s="63" t="s">
        <v>16</v>
      </c>
      <c r="O415" s="26" t="s">
        <v>44</v>
      </c>
    </row>
    <row r="416" spans="1:15" ht="15.75" customHeight="1">
      <c r="A416" s="56" t="s">
        <v>2654</v>
      </c>
      <c r="B416" s="57" t="s">
        <v>172</v>
      </c>
      <c r="C416" s="56" t="s">
        <v>1118</v>
      </c>
      <c r="D416" s="57" t="s">
        <v>1119</v>
      </c>
      <c r="E416" s="56">
        <v>107</v>
      </c>
      <c r="F416" s="56">
        <v>105</v>
      </c>
      <c r="G416" s="56">
        <v>120</v>
      </c>
      <c r="H416" s="56">
        <v>49</v>
      </c>
      <c r="I416" s="56">
        <v>81</v>
      </c>
      <c r="J416" s="56">
        <v>57</v>
      </c>
      <c r="K416" s="52">
        <f t="shared" si="20"/>
        <v>519</v>
      </c>
      <c r="L416" s="27">
        <f t="shared" si="21"/>
        <v>26</v>
      </c>
      <c r="M416" s="62">
        <f t="shared" si="19"/>
        <v>509</v>
      </c>
      <c r="N416" s="63" t="s">
        <v>16</v>
      </c>
      <c r="O416" s="26" t="s">
        <v>2243</v>
      </c>
    </row>
    <row r="417" spans="1:15" ht="15.75" customHeight="1">
      <c r="A417" s="56" t="s">
        <v>2655</v>
      </c>
      <c r="B417" s="57" t="s">
        <v>172</v>
      </c>
      <c r="C417" s="56" t="s">
        <v>1837</v>
      </c>
      <c r="D417" s="57" t="s">
        <v>1838</v>
      </c>
      <c r="E417" s="56">
        <v>100</v>
      </c>
      <c r="F417" s="56">
        <v>61</v>
      </c>
      <c r="G417" s="56">
        <v>100.5</v>
      </c>
      <c r="H417" s="56">
        <v>64</v>
      </c>
      <c r="I417" s="56">
        <v>64</v>
      </c>
      <c r="J417" s="56">
        <v>48</v>
      </c>
      <c r="K417" s="52">
        <f t="shared" si="20"/>
        <v>437.5</v>
      </c>
      <c r="L417" s="27">
        <f t="shared" si="21"/>
        <v>53</v>
      </c>
      <c r="M417" s="62">
        <f t="shared" si="19"/>
        <v>871</v>
      </c>
      <c r="N417" s="63" t="s">
        <v>17</v>
      </c>
      <c r="O417" s="26" t="s">
        <v>42</v>
      </c>
    </row>
    <row r="418" spans="1:15" ht="15.75" customHeight="1">
      <c r="A418" s="56" t="s">
        <v>2656</v>
      </c>
      <c r="B418" s="57" t="s">
        <v>172</v>
      </c>
      <c r="C418" s="56" t="s">
        <v>1534</v>
      </c>
      <c r="D418" s="57" t="s">
        <v>1535</v>
      </c>
      <c r="E418" s="56">
        <v>99</v>
      </c>
      <c r="F418" s="56">
        <v>95</v>
      </c>
      <c r="G418" s="56">
        <v>89</v>
      </c>
      <c r="H418" s="56">
        <v>51</v>
      </c>
      <c r="I418" s="56">
        <v>77</v>
      </c>
      <c r="J418" s="56">
        <v>73</v>
      </c>
      <c r="K418" s="52">
        <f t="shared" si="20"/>
        <v>484</v>
      </c>
      <c r="L418" s="27">
        <f t="shared" si="21"/>
        <v>42</v>
      </c>
      <c r="M418" s="62">
        <f t="shared" si="19"/>
        <v>718</v>
      </c>
      <c r="N418" s="63" t="s">
        <v>16</v>
      </c>
      <c r="O418" s="26" t="s">
        <v>44</v>
      </c>
    </row>
    <row r="419" spans="1:15" ht="15.75" customHeight="1">
      <c r="A419" s="56" t="s">
        <v>2657</v>
      </c>
      <c r="B419" s="57" t="s">
        <v>172</v>
      </c>
      <c r="C419" s="56" t="s">
        <v>1350</v>
      </c>
      <c r="D419" s="57" t="s">
        <v>1351</v>
      </c>
      <c r="E419" s="56">
        <v>78</v>
      </c>
      <c r="F419" s="56">
        <v>121</v>
      </c>
      <c r="G419" s="56">
        <v>65.5</v>
      </c>
      <c r="H419" s="56">
        <v>78</v>
      </c>
      <c r="I419" s="56">
        <v>85</v>
      </c>
      <c r="J419" s="56">
        <v>74</v>
      </c>
      <c r="K419" s="52">
        <f t="shared" si="20"/>
        <v>501.5</v>
      </c>
      <c r="L419" s="27">
        <f t="shared" si="21"/>
        <v>37</v>
      </c>
      <c r="M419" s="62">
        <f t="shared" si="19"/>
        <v>628</v>
      </c>
      <c r="N419" s="63" t="s">
        <v>17</v>
      </c>
      <c r="O419" s="26" t="s">
        <v>42</v>
      </c>
    </row>
    <row r="420" spans="1:15" ht="15.75" customHeight="1">
      <c r="A420" s="56" t="s">
        <v>2658</v>
      </c>
      <c r="B420" s="57" t="s">
        <v>172</v>
      </c>
      <c r="C420" s="56" t="s">
        <v>1046</v>
      </c>
      <c r="D420" s="57" t="s">
        <v>1047</v>
      </c>
      <c r="E420" s="56">
        <v>99</v>
      </c>
      <c r="F420" s="56">
        <v>90</v>
      </c>
      <c r="G420" s="56">
        <v>109.5</v>
      </c>
      <c r="H420" s="56">
        <v>79</v>
      </c>
      <c r="I420" s="56">
        <v>78</v>
      </c>
      <c r="J420" s="56">
        <v>68</v>
      </c>
      <c r="K420" s="52">
        <f t="shared" si="20"/>
        <v>523.5</v>
      </c>
      <c r="L420" s="27">
        <f t="shared" si="21"/>
        <v>24</v>
      </c>
      <c r="M420" s="62">
        <f t="shared" si="19"/>
        <v>475</v>
      </c>
      <c r="N420" s="63" t="s">
        <v>16</v>
      </c>
      <c r="O420" s="26" t="s">
        <v>42</v>
      </c>
    </row>
    <row r="421" spans="1:15" ht="15.75" customHeight="1">
      <c r="A421" s="56" t="s">
        <v>2659</v>
      </c>
      <c r="B421" s="57" t="s">
        <v>172</v>
      </c>
      <c r="C421" s="56" t="s">
        <v>1206</v>
      </c>
      <c r="D421" s="57" t="s">
        <v>1207</v>
      </c>
      <c r="E421" s="56">
        <v>89</v>
      </c>
      <c r="F421" s="56">
        <v>112</v>
      </c>
      <c r="G421" s="56">
        <v>105.5</v>
      </c>
      <c r="H421" s="56">
        <v>55</v>
      </c>
      <c r="I421" s="56">
        <v>81</v>
      </c>
      <c r="J421" s="56">
        <v>70</v>
      </c>
      <c r="K421" s="52">
        <f t="shared" si="20"/>
        <v>512.5</v>
      </c>
      <c r="L421" s="27">
        <f t="shared" si="21"/>
        <v>28</v>
      </c>
      <c r="M421" s="62">
        <f t="shared" si="19"/>
        <v>555</v>
      </c>
      <c r="N421" s="63" t="s">
        <v>17</v>
      </c>
      <c r="O421" s="26" t="s">
        <v>2243</v>
      </c>
    </row>
    <row r="422" spans="1:15" ht="15.75" customHeight="1">
      <c r="A422" s="56" t="s">
        <v>2660</v>
      </c>
      <c r="B422" s="57" t="s">
        <v>172</v>
      </c>
      <c r="C422" s="56" t="s">
        <v>687</v>
      </c>
      <c r="D422" s="57" t="s">
        <v>688</v>
      </c>
      <c r="E422" s="56">
        <v>105</v>
      </c>
      <c r="F422" s="56">
        <v>110</v>
      </c>
      <c r="G422" s="56">
        <v>105.5</v>
      </c>
      <c r="H422" s="56">
        <v>77</v>
      </c>
      <c r="I422" s="56">
        <v>88</v>
      </c>
      <c r="J422" s="56">
        <v>71</v>
      </c>
      <c r="K422" s="52">
        <f t="shared" si="20"/>
        <v>556.5</v>
      </c>
      <c r="L422" s="27">
        <f t="shared" si="21"/>
        <v>12</v>
      </c>
      <c r="M422" s="62">
        <f t="shared" si="19"/>
        <v>296</v>
      </c>
      <c r="N422" s="63" t="s">
        <v>16</v>
      </c>
      <c r="O422" s="26" t="s">
        <v>44</v>
      </c>
    </row>
    <row r="423" spans="1:15" ht="15.75" customHeight="1">
      <c r="A423" s="56" t="s">
        <v>2661</v>
      </c>
      <c r="B423" s="57" t="s">
        <v>172</v>
      </c>
      <c r="C423" s="56" t="s">
        <v>1390</v>
      </c>
      <c r="D423" s="57" t="s">
        <v>1391</v>
      </c>
      <c r="E423" s="56">
        <v>102</v>
      </c>
      <c r="F423" s="56">
        <v>77</v>
      </c>
      <c r="G423" s="56">
        <v>113.5</v>
      </c>
      <c r="H423" s="56">
        <v>71</v>
      </c>
      <c r="I423" s="56">
        <v>68</v>
      </c>
      <c r="J423" s="56">
        <v>67</v>
      </c>
      <c r="K423" s="52">
        <f t="shared" si="20"/>
        <v>498.5</v>
      </c>
      <c r="L423" s="27">
        <f t="shared" si="21"/>
        <v>41</v>
      </c>
      <c r="M423" s="62">
        <f t="shared" si="19"/>
        <v>649</v>
      </c>
      <c r="N423" s="63" t="s">
        <v>16</v>
      </c>
      <c r="O423" s="26" t="s">
        <v>44</v>
      </c>
    </row>
    <row r="424" spans="1:15" ht="15.75" customHeight="1">
      <c r="A424" s="56" t="s">
        <v>2662</v>
      </c>
      <c r="B424" s="57" t="s">
        <v>172</v>
      </c>
      <c r="C424" s="56" t="s">
        <v>1322</v>
      </c>
      <c r="D424" s="57" t="s">
        <v>1323</v>
      </c>
      <c r="E424" s="56">
        <v>120</v>
      </c>
      <c r="F424" s="56">
        <v>80</v>
      </c>
      <c r="G424" s="56">
        <v>85.5</v>
      </c>
      <c r="H424" s="56">
        <v>73</v>
      </c>
      <c r="I424" s="56">
        <v>80</v>
      </c>
      <c r="J424" s="56">
        <v>66</v>
      </c>
      <c r="K424" s="52">
        <f t="shared" si="20"/>
        <v>504.5</v>
      </c>
      <c r="L424" s="27">
        <f t="shared" si="21"/>
        <v>34</v>
      </c>
      <c r="M424" s="62">
        <f t="shared" si="19"/>
        <v>612</v>
      </c>
      <c r="N424" s="63" t="s">
        <v>16</v>
      </c>
      <c r="O424" s="26" t="s">
        <v>44</v>
      </c>
    </row>
    <row r="425" spans="1:15" ht="15.75" customHeight="1">
      <c r="A425" s="56" t="s">
        <v>2663</v>
      </c>
      <c r="B425" s="57" t="s">
        <v>172</v>
      </c>
      <c r="C425" s="56" t="s">
        <v>657</v>
      </c>
      <c r="D425" s="57" t="s">
        <v>658</v>
      </c>
      <c r="E425" s="56">
        <v>103</v>
      </c>
      <c r="F425" s="56">
        <v>102</v>
      </c>
      <c r="G425" s="56">
        <v>115</v>
      </c>
      <c r="H425" s="56">
        <v>85</v>
      </c>
      <c r="I425" s="56">
        <v>84</v>
      </c>
      <c r="J425" s="56">
        <v>70</v>
      </c>
      <c r="K425" s="52">
        <f t="shared" si="20"/>
        <v>559</v>
      </c>
      <c r="L425" s="27">
        <f t="shared" si="21"/>
        <v>11</v>
      </c>
      <c r="M425" s="62">
        <f t="shared" si="19"/>
        <v>280</v>
      </c>
      <c r="N425" s="63" t="s">
        <v>16</v>
      </c>
      <c r="O425" s="26" t="s">
        <v>2243</v>
      </c>
    </row>
    <row r="426" spans="1:15" ht="15.75" customHeight="1">
      <c r="A426" s="56" t="s">
        <v>2664</v>
      </c>
      <c r="B426" s="57" t="s">
        <v>172</v>
      </c>
      <c r="C426" s="56" t="s">
        <v>1874</v>
      </c>
      <c r="D426" s="57" t="s">
        <v>1875</v>
      </c>
      <c r="E426" s="56">
        <v>96</v>
      </c>
      <c r="F426" s="56">
        <v>64</v>
      </c>
      <c r="G426" s="56">
        <v>83.5</v>
      </c>
      <c r="H426" s="56">
        <v>60</v>
      </c>
      <c r="I426" s="56">
        <v>63</v>
      </c>
      <c r="J426" s="56">
        <v>63</v>
      </c>
      <c r="K426" s="52">
        <f t="shared" si="20"/>
        <v>429.5</v>
      </c>
      <c r="L426" s="27">
        <f t="shared" si="21"/>
        <v>55</v>
      </c>
      <c r="M426" s="62">
        <f t="shared" si="19"/>
        <v>890</v>
      </c>
      <c r="N426" s="63" t="s">
        <v>17</v>
      </c>
      <c r="O426" s="26" t="s">
        <v>2243</v>
      </c>
    </row>
    <row r="427" spans="1:15" ht="15.75" customHeight="1">
      <c r="A427" s="56" t="s">
        <v>2665</v>
      </c>
      <c r="B427" s="57" t="s">
        <v>172</v>
      </c>
      <c r="C427" s="56" t="s">
        <v>278</v>
      </c>
      <c r="D427" s="56" t="s">
        <v>279</v>
      </c>
      <c r="E427" s="56">
        <v>108</v>
      </c>
      <c r="F427" s="56">
        <v>136</v>
      </c>
      <c r="G427" s="56">
        <v>105.5</v>
      </c>
      <c r="H427" s="56">
        <v>96</v>
      </c>
      <c r="I427" s="56">
        <v>86</v>
      </c>
      <c r="J427" s="56">
        <v>73</v>
      </c>
      <c r="K427" s="52">
        <f t="shared" si="20"/>
        <v>604.5</v>
      </c>
      <c r="L427" s="27">
        <f t="shared" si="21"/>
        <v>4</v>
      </c>
      <c r="M427" s="62">
        <f t="shared" si="19"/>
        <v>91</v>
      </c>
      <c r="N427" s="63" t="s">
        <v>16</v>
      </c>
      <c r="O427" s="26" t="s">
        <v>44</v>
      </c>
    </row>
    <row r="428" spans="1:15" ht="15.75" customHeight="1">
      <c r="A428" s="56" t="s">
        <v>2666</v>
      </c>
      <c r="B428" s="57" t="s">
        <v>172</v>
      </c>
      <c r="C428" s="56" t="s">
        <v>976</v>
      </c>
      <c r="D428" s="57" t="s">
        <v>977</v>
      </c>
      <c r="E428" s="56">
        <v>113</v>
      </c>
      <c r="F428" s="56">
        <v>79</v>
      </c>
      <c r="G428" s="56">
        <v>124</v>
      </c>
      <c r="H428" s="56">
        <v>66</v>
      </c>
      <c r="I428" s="56">
        <v>81</v>
      </c>
      <c r="J428" s="56">
        <v>66</v>
      </c>
      <c r="K428" s="52">
        <f t="shared" si="20"/>
        <v>529</v>
      </c>
      <c r="L428" s="27">
        <f t="shared" si="21"/>
        <v>20</v>
      </c>
      <c r="M428" s="62">
        <f t="shared" si="19"/>
        <v>439</v>
      </c>
      <c r="N428" s="63" t="s">
        <v>16</v>
      </c>
      <c r="O428" s="26" t="s">
        <v>44</v>
      </c>
    </row>
    <row r="429" spans="1:15" ht="15.75" customHeight="1">
      <c r="A429" s="56" t="s">
        <v>2667</v>
      </c>
      <c r="B429" s="57" t="s">
        <v>172</v>
      </c>
      <c r="C429" s="56" t="s">
        <v>1344</v>
      </c>
      <c r="D429" s="57" t="s">
        <v>1345</v>
      </c>
      <c r="E429" s="56">
        <v>96</v>
      </c>
      <c r="F429" s="56">
        <v>89</v>
      </c>
      <c r="G429" s="56">
        <v>118</v>
      </c>
      <c r="H429" s="56">
        <v>54</v>
      </c>
      <c r="I429" s="56">
        <v>75</v>
      </c>
      <c r="J429" s="56">
        <v>70</v>
      </c>
      <c r="K429" s="52">
        <f t="shared" si="20"/>
        <v>502</v>
      </c>
      <c r="L429" s="27">
        <f t="shared" si="21"/>
        <v>36</v>
      </c>
      <c r="M429" s="62">
        <f t="shared" si="19"/>
        <v>624</v>
      </c>
      <c r="N429" s="63" t="s">
        <v>17</v>
      </c>
      <c r="O429" s="26" t="s">
        <v>42</v>
      </c>
    </row>
    <row r="430" spans="1:15" ht="15.75" customHeight="1">
      <c r="A430" s="56" t="s">
        <v>2668</v>
      </c>
      <c r="B430" s="57" t="s">
        <v>172</v>
      </c>
      <c r="C430" s="56" t="s">
        <v>1700</v>
      </c>
      <c r="D430" s="57" t="s">
        <v>1701</v>
      </c>
      <c r="E430" s="56">
        <v>103</v>
      </c>
      <c r="F430" s="56">
        <v>100</v>
      </c>
      <c r="G430" s="56">
        <v>85.5</v>
      </c>
      <c r="H430" s="56">
        <v>49</v>
      </c>
      <c r="I430" s="56">
        <v>57</v>
      </c>
      <c r="J430" s="56">
        <v>69</v>
      </c>
      <c r="K430" s="52">
        <f t="shared" si="20"/>
        <v>463.5</v>
      </c>
      <c r="L430" s="27">
        <f t="shared" si="21"/>
        <v>46</v>
      </c>
      <c r="M430" s="62">
        <f t="shared" si="19"/>
        <v>804</v>
      </c>
      <c r="N430" s="63" t="s">
        <v>16</v>
      </c>
      <c r="O430" s="26" t="s">
        <v>44</v>
      </c>
    </row>
    <row r="431" spans="1:15" ht="15.75" customHeight="1">
      <c r="A431" s="56" t="s">
        <v>2669</v>
      </c>
      <c r="B431" s="57" t="s">
        <v>172</v>
      </c>
      <c r="C431" s="56" t="s">
        <v>1380</v>
      </c>
      <c r="D431" s="57" t="s">
        <v>1381</v>
      </c>
      <c r="E431" s="56">
        <v>105</v>
      </c>
      <c r="F431" s="56">
        <v>79</v>
      </c>
      <c r="G431" s="56">
        <v>97.5</v>
      </c>
      <c r="H431" s="56">
        <v>80</v>
      </c>
      <c r="I431" s="56">
        <v>69</v>
      </c>
      <c r="J431" s="56">
        <v>69</v>
      </c>
      <c r="K431" s="52">
        <f t="shared" si="20"/>
        <v>499.5</v>
      </c>
      <c r="L431" s="27">
        <f t="shared" si="21"/>
        <v>39</v>
      </c>
      <c r="M431" s="62">
        <f t="shared" si="19"/>
        <v>641</v>
      </c>
      <c r="N431" s="63" t="s">
        <v>17</v>
      </c>
      <c r="O431" s="26" t="s">
        <v>2243</v>
      </c>
    </row>
    <row r="432" spans="1:15" ht="15.75" customHeight="1">
      <c r="A432" s="56" t="s">
        <v>2670</v>
      </c>
      <c r="B432" s="57" t="s">
        <v>172</v>
      </c>
      <c r="C432" s="56" t="s">
        <v>1819</v>
      </c>
      <c r="D432" s="57" t="s">
        <v>1820</v>
      </c>
      <c r="E432" s="56">
        <v>108</v>
      </c>
      <c r="F432" s="56">
        <v>41</v>
      </c>
      <c r="G432" s="56">
        <v>111.5</v>
      </c>
      <c r="H432" s="56">
        <v>55</v>
      </c>
      <c r="I432" s="56">
        <v>71</v>
      </c>
      <c r="J432" s="56">
        <v>54</v>
      </c>
      <c r="K432" s="52">
        <f t="shared" si="20"/>
        <v>440.5</v>
      </c>
      <c r="L432" s="27">
        <f t="shared" si="21"/>
        <v>52</v>
      </c>
      <c r="M432" s="62">
        <f t="shared" si="19"/>
        <v>863</v>
      </c>
      <c r="N432" s="63" t="s">
        <v>17</v>
      </c>
      <c r="O432" s="26" t="s">
        <v>42</v>
      </c>
    </row>
    <row r="433" spans="1:15" ht="15.75" customHeight="1">
      <c r="A433" s="56" t="s">
        <v>2671</v>
      </c>
      <c r="B433" s="57" t="s">
        <v>172</v>
      </c>
      <c r="C433" s="56" t="s">
        <v>808</v>
      </c>
      <c r="D433" s="57" t="s">
        <v>809</v>
      </c>
      <c r="E433" s="56">
        <v>100</v>
      </c>
      <c r="F433" s="56">
        <v>121</v>
      </c>
      <c r="G433" s="56">
        <v>83.5</v>
      </c>
      <c r="H433" s="56">
        <v>86</v>
      </c>
      <c r="I433" s="56">
        <v>87</v>
      </c>
      <c r="J433" s="56">
        <v>67</v>
      </c>
      <c r="K433" s="52">
        <f t="shared" si="20"/>
        <v>544.5</v>
      </c>
      <c r="L433" s="27">
        <f t="shared" si="21"/>
        <v>14</v>
      </c>
      <c r="M433" s="62">
        <f t="shared" si="19"/>
        <v>358</v>
      </c>
      <c r="N433" s="63" t="s">
        <v>16</v>
      </c>
      <c r="O433" s="26" t="s">
        <v>44</v>
      </c>
    </row>
    <row r="434" spans="1:15" ht="15.75" customHeight="1">
      <c r="A434" s="56" t="s">
        <v>2672</v>
      </c>
      <c r="B434" s="57" t="s">
        <v>172</v>
      </c>
      <c r="C434" s="56" t="s">
        <v>1726</v>
      </c>
      <c r="D434" s="57" t="s">
        <v>1727</v>
      </c>
      <c r="E434" s="56">
        <v>107</v>
      </c>
      <c r="F434" s="56">
        <v>68</v>
      </c>
      <c r="G434" s="56">
        <v>121</v>
      </c>
      <c r="H434" s="56">
        <v>49</v>
      </c>
      <c r="I434" s="56">
        <v>59</v>
      </c>
      <c r="J434" s="56">
        <v>57</v>
      </c>
      <c r="K434" s="52">
        <f t="shared" si="20"/>
        <v>461</v>
      </c>
      <c r="L434" s="27">
        <f t="shared" si="21"/>
        <v>48</v>
      </c>
      <c r="M434" s="62">
        <f t="shared" si="19"/>
        <v>816</v>
      </c>
      <c r="N434" s="63" t="s">
        <v>17</v>
      </c>
      <c r="O434" s="26" t="s">
        <v>2243</v>
      </c>
    </row>
    <row r="435" spans="1:15" ht="15.75" customHeight="1">
      <c r="A435" s="56" t="s">
        <v>2673</v>
      </c>
      <c r="B435" s="57" t="s">
        <v>172</v>
      </c>
      <c r="C435" s="56" t="s">
        <v>1798</v>
      </c>
      <c r="D435" s="57" t="s">
        <v>1799</v>
      </c>
      <c r="E435" s="56">
        <v>106</v>
      </c>
      <c r="F435" s="56">
        <v>62</v>
      </c>
      <c r="G435" s="56">
        <v>88.5</v>
      </c>
      <c r="H435" s="56">
        <v>41</v>
      </c>
      <c r="I435" s="56">
        <v>81</v>
      </c>
      <c r="J435" s="56">
        <v>67</v>
      </c>
      <c r="K435" s="52">
        <f t="shared" si="20"/>
        <v>445.5</v>
      </c>
      <c r="L435" s="27">
        <f t="shared" si="21"/>
        <v>51</v>
      </c>
      <c r="M435" s="62">
        <f t="shared" si="19"/>
        <v>852</v>
      </c>
      <c r="N435" s="63" t="s">
        <v>17</v>
      </c>
      <c r="O435" s="26" t="s">
        <v>42</v>
      </c>
    </row>
    <row r="436" spans="1:15" ht="15.75" customHeight="1">
      <c r="A436" s="56" t="s">
        <v>2674</v>
      </c>
      <c r="B436" s="57" t="s">
        <v>172</v>
      </c>
      <c r="C436" s="56" t="s">
        <v>222</v>
      </c>
      <c r="D436" s="57" t="s">
        <v>223</v>
      </c>
      <c r="E436" s="56">
        <v>107</v>
      </c>
      <c r="F436" s="56">
        <v>122</v>
      </c>
      <c r="G436" s="56">
        <v>121</v>
      </c>
      <c r="H436" s="56">
        <v>84</v>
      </c>
      <c r="I436" s="56">
        <v>95</v>
      </c>
      <c r="J436" s="56">
        <v>84</v>
      </c>
      <c r="K436" s="52">
        <f t="shared" si="20"/>
        <v>613</v>
      </c>
      <c r="L436" s="27">
        <f t="shared" si="21"/>
        <v>3</v>
      </c>
      <c r="M436" s="62">
        <f t="shared" si="19"/>
        <v>64</v>
      </c>
      <c r="N436" s="63" t="s">
        <v>16</v>
      </c>
      <c r="O436" s="26" t="s">
        <v>2243</v>
      </c>
    </row>
    <row r="437" spans="1:15" ht="15.75" customHeight="1">
      <c r="A437" s="56" t="s">
        <v>2675</v>
      </c>
      <c r="B437" s="57" t="s">
        <v>172</v>
      </c>
      <c r="C437" s="56" t="s">
        <v>1068</v>
      </c>
      <c r="D437" s="57" t="s">
        <v>1069</v>
      </c>
      <c r="E437" s="56">
        <v>108</v>
      </c>
      <c r="F437" s="56">
        <v>60</v>
      </c>
      <c r="G437" s="56">
        <v>112.5</v>
      </c>
      <c r="H437" s="56">
        <v>77</v>
      </c>
      <c r="I437" s="56">
        <v>81</v>
      </c>
      <c r="J437" s="56">
        <v>84</v>
      </c>
      <c r="K437" s="52">
        <f t="shared" si="20"/>
        <v>522.5</v>
      </c>
      <c r="L437" s="27">
        <f t="shared" si="21"/>
        <v>25</v>
      </c>
      <c r="M437" s="62">
        <f t="shared" si="19"/>
        <v>488</v>
      </c>
      <c r="N437" s="63" t="s">
        <v>16</v>
      </c>
      <c r="O437" s="26" t="s">
        <v>2243</v>
      </c>
    </row>
    <row r="438" spans="1:15" ht="15.75" customHeight="1">
      <c r="A438" s="56" t="s">
        <v>2676</v>
      </c>
      <c r="B438" s="57" t="s">
        <v>172</v>
      </c>
      <c r="C438" s="56" t="s">
        <v>1040</v>
      </c>
      <c r="D438" s="57" t="s">
        <v>1041</v>
      </c>
      <c r="E438" s="56">
        <v>105</v>
      </c>
      <c r="F438" s="56">
        <v>95</v>
      </c>
      <c r="G438" s="56">
        <v>102</v>
      </c>
      <c r="H438" s="56">
        <v>62</v>
      </c>
      <c r="I438" s="56">
        <v>81</v>
      </c>
      <c r="J438" s="56">
        <v>79</v>
      </c>
      <c r="K438" s="52">
        <f t="shared" si="20"/>
        <v>524</v>
      </c>
      <c r="L438" s="27">
        <f t="shared" si="21"/>
        <v>23</v>
      </c>
      <c r="M438" s="62">
        <f t="shared" si="19"/>
        <v>474</v>
      </c>
      <c r="N438" s="63" t="s">
        <v>16</v>
      </c>
      <c r="O438" s="26" t="s">
        <v>2243</v>
      </c>
    </row>
    <row r="439" spans="1:15" ht="15.75" customHeight="1">
      <c r="A439" s="56" t="s">
        <v>2677</v>
      </c>
      <c r="B439" s="57" t="s">
        <v>172</v>
      </c>
      <c r="C439" s="56" t="s">
        <v>814</v>
      </c>
      <c r="D439" s="57" t="s">
        <v>815</v>
      </c>
      <c r="E439" s="56">
        <v>99</v>
      </c>
      <c r="F439" s="56">
        <v>85</v>
      </c>
      <c r="G439" s="56">
        <v>126</v>
      </c>
      <c r="H439" s="56">
        <v>75</v>
      </c>
      <c r="I439" s="56">
        <v>87</v>
      </c>
      <c r="J439" s="56">
        <v>72</v>
      </c>
      <c r="K439" s="52">
        <f t="shared" si="20"/>
        <v>544</v>
      </c>
      <c r="L439" s="27">
        <f t="shared" si="21"/>
        <v>15</v>
      </c>
      <c r="M439" s="62">
        <f t="shared" si="19"/>
        <v>360</v>
      </c>
      <c r="N439" s="63" t="s">
        <v>17</v>
      </c>
      <c r="O439" s="26" t="s">
        <v>2243</v>
      </c>
    </row>
    <row r="440" spans="1:15" ht="15.75" customHeight="1">
      <c r="A440" s="56" t="s">
        <v>2678</v>
      </c>
      <c r="B440" s="57" t="s">
        <v>172</v>
      </c>
      <c r="C440" s="56" t="s">
        <v>1610</v>
      </c>
      <c r="D440" s="57" t="s">
        <v>1611</v>
      </c>
      <c r="E440" s="56">
        <v>111</v>
      </c>
      <c r="F440" s="56">
        <v>73</v>
      </c>
      <c r="G440" s="56">
        <v>107</v>
      </c>
      <c r="H440" s="56">
        <v>59</v>
      </c>
      <c r="I440" s="56">
        <v>65</v>
      </c>
      <c r="J440" s="56">
        <v>60</v>
      </c>
      <c r="K440" s="52">
        <f t="shared" si="20"/>
        <v>475</v>
      </c>
      <c r="L440" s="27">
        <f t="shared" si="21"/>
        <v>43</v>
      </c>
      <c r="M440" s="62">
        <f t="shared" si="19"/>
        <v>756</v>
      </c>
      <c r="N440" s="63" t="s">
        <v>16</v>
      </c>
      <c r="O440" s="26" t="s">
        <v>2243</v>
      </c>
    </row>
    <row r="441" spans="1:15" ht="15.75" customHeight="1">
      <c r="A441" s="56" t="s">
        <v>2679</v>
      </c>
      <c r="B441" s="57" t="s">
        <v>172</v>
      </c>
      <c r="C441" s="56" t="s">
        <v>1258</v>
      </c>
      <c r="D441" s="57" t="s">
        <v>1259</v>
      </c>
      <c r="E441" s="56">
        <v>97</v>
      </c>
      <c r="F441" s="56">
        <v>100</v>
      </c>
      <c r="G441" s="56">
        <v>105</v>
      </c>
      <c r="H441" s="56">
        <v>64</v>
      </c>
      <c r="I441" s="56">
        <v>74</v>
      </c>
      <c r="J441" s="56">
        <v>69</v>
      </c>
      <c r="K441" s="52">
        <f t="shared" si="20"/>
        <v>509</v>
      </c>
      <c r="L441" s="27">
        <f t="shared" si="21"/>
        <v>31</v>
      </c>
      <c r="M441" s="62">
        <f t="shared" si="19"/>
        <v>583</v>
      </c>
      <c r="N441" s="63" t="s">
        <v>17</v>
      </c>
      <c r="O441" s="26" t="s">
        <v>2243</v>
      </c>
    </row>
    <row r="442" spans="1:15" ht="15.75" customHeight="1">
      <c r="A442" s="56" t="s">
        <v>2680</v>
      </c>
      <c r="B442" s="57" t="s">
        <v>172</v>
      </c>
      <c r="C442" s="56" t="s">
        <v>1378</v>
      </c>
      <c r="D442" s="57" t="s">
        <v>1379</v>
      </c>
      <c r="E442" s="56">
        <v>112</v>
      </c>
      <c r="F442" s="56">
        <v>86</v>
      </c>
      <c r="G442" s="56">
        <v>111.5</v>
      </c>
      <c r="H442" s="56">
        <v>55</v>
      </c>
      <c r="I442" s="56">
        <v>77</v>
      </c>
      <c r="J442" s="56">
        <v>58</v>
      </c>
      <c r="K442" s="52">
        <f t="shared" si="20"/>
        <v>499.5</v>
      </c>
      <c r="L442" s="27">
        <f t="shared" si="21"/>
        <v>39</v>
      </c>
      <c r="M442" s="62">
        <f t="shared" si="19"/>
        <v>641</v>
      </c>
      <c r="N442" s="63" t="s">
        <v>16</v>
      </c>
      <c r="O442" s="26" t="s">
        <v>44</v>
      </c>
    </row>
    <row r="443" spans="1:15" ht="15.75" customHeight="1">
      <c r="A443" s="56" t="s">
        <v>2681</v>
      </c>
      <c r="B443" s="57" t="s">
        <v>172</v>
      </c>
      <c r="C443" s="56" t="s">
        <v>1847</v>
      </c>
      <c r="D443" s="57" t="s">
        <v>1848</v>
      </c>
      <c r="E443" s="56">
        <v>100</v>
      </c>
      <c r="F443" s="56">
        <v>63</v>
      </c>
      <c r="G443" s="56">
        <v>103.5</v>
      </c>
      <c r="H443" s="56">
        <v>46</v>
      </c>
      <c r="I443" s="56">
        <v>72</v>
      </c>
      <c r="J443" s="56">
        <v>51</v>
      </c>
      <c r="K443" s="52">
        <f t="shared" si="20"/>
        <v>435.5</v>
      </c>
      <c r="L443" s="27">
        <f t="shared" si="21"/>
        <v>54</v>
      </c>
      <c r="M443" s="62">
        <f t="shared" si="19"/>
        <v>877</v>
      </c>
      <c r="N443" s="63" t="s">
        <v>16</v>
      </c>
      <c r="O443" s="26" t="s">
        <v>44</v>
      </c>
    </row>
    <row r="444" spans="1:15" ht="15.75" customHeight="1">
      <c r="A444" s="56" t="s">
        <v>2682</v>
      </c>
      <c r="B444" s="57" t="s">
        <v>172</v>
      </c>
      <c r="C444" s="56" t="s">
        <v>1608</v>
      </c>
      <c r="D444" s="57" t="s">
        <v>1609</v>
      </c>
      <c r="E444" s="56">
        <v>116</v>
      </c>
      <c r="F444" s="56">
        <v>88</v>
      </c>
      <c r="G444" s="56">
        <v>101</v>
      </c>
      <c r="H444" s="56">
        <v>36</v>
      </c>
      <c r="I444" s="56">
        <v>69</v>
      </c>
      <c r="J444" s="56">
        <v>65</v>
      </c>
      <c r="K444" s="52">
        <f t="shared" si="20"/>
        <v>475</v>
      </c>
      <c r="L444" s="27">
        <f t="shared" si="21"/>
        <v>43</v>
      </c>
      <c r="M444" s="62">
        <f t="shared" si="19"/>
        <v>756</v>
      </c>
      <c r="N444" s="63" t="s">
        <v>17</v>
      </c>
      <c r="O444" s="26" t="s">
        <v>2243</v>
      </c>
    </row>
    <row r="445" spans="1:15" ht="15.75" customHeight="1">
      <c r="A445" s="56" t="s">
        <v>2683</v>
      </c>
      <c r="B445" s="57" t="s">
        <v>172</v>
      </c>
      <c r="C445" s="56" t="s">
        <v>1298</v>
      </c>
      <c r="D445" s="57" t="s">
        <v>1299</v>
      </c>
      <c r="E445" s="56">
        <v>105</v>
      </c>
      <c r="F445" s="56">
        <v>92</v>
      </c>
      <c r="G445" s="56">
        <v>100.5</v>
      </c>
      <c r="H445" s="56">
        <v>77</v>
      </c>
      <c r="I445" s="56">
        <v>65</v>
      </c>
      <c r="J445" s="56">
        <v>66</v>
      </c>
      <c r="K445" s="52">
        <f t="shared" si="20"/>
        <v>505.5</v>
      </c>
      <c r="L445" s="27">
        <f t="shared" si="21"/>
        <v>32</v>
      </c>
      <c r="M445" s="62">
        <f t="shared" si="19"/>
        <v>603</v>
      </c>
      <c r="N445" s="63" t="s">
        <v>16</v>
      </c>
      <c r="O445" s="26" t="s">
        <v>44</v>
      </c>
    </row>
    <row r="446" spans="1:15" ht="15.75" customHeight="1">
      <c r="A446" s="56" t="s">
        <v>2684</v>
      </c>
      <c r="B446" s="57" t="s">
        <v>172</v>
      </c>
      <c r="C446" s="56" t="s">
        <v>854</v>
      </c>
      <c r="D446" s="57" t="s">
        <v>855</v>
      </c>
      <c r="E446" s="56">
        <v>110</v>
      </c>
      <c r="F446" s="56">
        <v>85</v>
      </c>
      <c r="G446" s="56">
        <v>114.5</v>
      </c>
      <c r="H446" s="56">
        <v>75</v>
      </c>
      <c r="I446" s="56">
        <v>81</v>
      </c>
      <c r="J446" s="56">
        <v>75</v>
      </c>
      <c r="K446" s="52">
        <f t="shared" si="20"/>
        <v>540.5</v>
      </c>
      <c r="L446" s="27">
        <f t="shared" si="21"/>
        <v>16</v>
      </c>
      <c r="M446" s="62">
        <f t="shared" si="19"/>
        <v>379</v>
      </c>
      <c r="N446" s="63" t="s">
        <v>16</v>
      </c>
      <c r="O446" s="26" t="s">
        <v>2243</v>
      </c>
    </row>
    <row r="447" spans="1:15" ht="15.75" customHeight="1">
      <c r="A447" s="56" t="s">
        <v>2685</v>
      </c>
      <c r="B447" s="57" t="s">
        <v>172</v>
      </c>
      <c r="C447" s="56" t="s">
        <v>1882</v>
      </c>
      <c r="D447" s="57" t="s">
        <v>1883</v>
      </c>
      <c r="E447" s="56">
        <v>88</v>
      </c>
      <c r="F447" s="56">
        <v>76</v>
      </c>
      <c r="G447" s="56">
        <v>87.5</v>
      </c>
      <c r="H447" s="56">
        <v>57</v>
      </c>
      <c r="I447" s="56">
        <v>73</v>
      </c>
      <c r="J447" s="56">
        <v>47</v>
      </c>
      <c r="K447" s="52">
        <f t="shared" si="20"/>
        <v>428.5</v>
      </c>
      <c r="L447" s="27">
        <f t="shared" si="21"/>
        <v>56</v>
      </c>
      <c r="M447" s="62">
        <f t="shared" si="19"/>
        <v>894</v>
      </c>
      <c r="N447" s="63" t="s">
        <v>17</v>
      </c>
      <c r="O447" s="26" t="s">
        <v>42</v>
      </c>
    </row>
    <row r="448" spans="1:15" ht="15.75" customHeight="1">
      <c r="A448" s="56" t="s">
        <v>2686</v>
      </c>
      <c r="B448" s="57" t="s">
        <v>172</v>
      </c>
      <c r="C448" s="56" t="s">
        <v>1666</v>
      </c>
      <c r="D448" s="57" t="s">
        <v>1667</v>
      </c>
      <c r="E448" s="56">
        <v>102</v>
      </c>
      <c r="F448" s="56">
        <v>69</v>
      </c>
      <c r="G448" s="56">
        <v>86.5</v>
      </c>
      <c r="H448" s="56">
        <v>59</v>
      </c>
      <c r="I448" s="56">
        <v>81</v>
      </c>
      <c r="J448" s="56">
        <v>69</v>
      </c>
      <c r="K448" s="52">
        <f t="shared" si="20"/>
        <v>466.5</v>
      </c>
      <c r="L448" s="27">
        <f t="shared" si="21"/>
        <v>45</v>
      </c>
      <c r="M448" s="62">
        <f t="shared" si="19"/>
        <v>787</v>
      </c>
      <c r="N448" s="63" t="s">
        <v>17</v>
      </c>
      <c r="O448" s="26" t="s">
        <v>42</v>
      </c>
    </row>
    <row r="449" spans="1:15" ht="15.75" customHeight="1">
      <c r="A449" s="56" t="s">
        <v>2687</v>
      </c>
      <c r="B449" s="57" t="s">
        <v>172</v>
      </c>
      <c r="C449" s="56" t="s">
        <v>1300</v>
      </c>
      <c r="D449" s="57" t="s">
        <v>1301</v>
      </c>
      <c r="E449" s="56">
        <v>114</v>
      </c>
      <c r="F449" s="56">
        <v>96</v>
      </c>
      <c r="G449" s="56">
        <v>113.5</v>
      </c>
      <c r="H449" s="56">
        <v>60</v>
      </c>
      <c r="I449" s="56">
        <v>68</v>
      </c>
      <c r="J449" s="56">
        <v>54</v>
      </c>
      <c r="K449" s="52">
        <f t="shared" si="20"/>
        <v>505.5</v>
      </c>
      <c r="L449" s="27">
        <f t="shared" si="21"/>
        <v>32</v>
      </c>
      <c r="M449" s="62">
        <f t="shared" si="19"/>
        <v>603</v>
      </c>
      <c r="N449" s="63" t="s">
        <v>16</v>
      </c>
      <c r="O449" s="26" t="s">
        <v>44</v>
      </c>
    </row>
    <row r="450" spans="1:15" ht="15.75" customHeight="1">
      <c r="A450" s="56" t="s">
        <v>2688</v>
      </c>
      <c r="B450" s="57" t="s">
        <v>172</v>
      </c>
      <c r="C450" s="56" t="s">
        <v>964</v>
      </c>
      <c r="D450" s="57" t="s">
        <v>965</v>
      </c>
      <c r="E450" s="56">
        <v>103</v>
      </c>
      <c r="F450" s="56">
        <v>87</v>
      </c>
      <c r="G450" s="56">
        <v>121.5</v>
      </c>
      <c r="H450" s="56">
        <v>76</v>
      </c>
      <c r="I450" s="56">
        <v>85</v>
      </c>
      <c r="J450" s="56">
        <v>57</v>
      </c>
      <c r="K450" s="52">
        <f t="shared" si="20"/>
        <v>529.5</v>
      </c>
      <c r="L450" s="27">
        <f t="shared" si="21"/>
        <v>19</v>
      </c>
      <c r="M450" s="62">
        <f t="shared" si="19"/>
        <v>435</v>
      </c>
      <c r="N450" s="63" t="s">
        <v>16</v>
      </c>
      <c r="O450" s="26" t="s">
        <v>44</v>
      </c>
    </row>
    <row r="451" spans="1:15" ht="15.75" customHeight="1">
      <c r="A451" s="56" t="s">
        <v>2689</v>
      </c>
      <c r="B451" s="57" t="s">
        <v>172</v>
      </c>
      <c r="C451" s="56" t="s">
        <v>1150</v>
      </c>
      <c r="D451" s="57" t="s">
        <v>1151</v>
      </c>
      <c r="E451" s="56">
        <v>115</v>
      </c>
      <c r="F451" s="56">
        <v>106</v>
      </c>
      <c r="G451" s="56">
        <v>89.5</v>
      </c>
      <c r="H451" s="56">
        <v>68</v>
      </c>
      <c r="I451" s="56">
        <v>71</v>
      </c>
      <c r="J451" s="56">
        <v>67</v>
      </c>
      <c r="K451" s="52">
        <f t="shared" si="20"/>
        <v>516.5</v>
      </c>
      <c r="L451" s="27">
        <f t="shared" si="21"/>
        <v>27</v>
      </c>
      <c r="M451" s="62">
        <f t="shared" ref="M451:M514" si="22">RANK(K451,$K$3:$K$953)</f>
        <v>529</v>
      </c>
      <c r="N451" s="63" t="s">
        <v>16</v>
      </c>
      <c r="O451" s="26" t="s">
        <v>2243</v>
      </c>
    </row>
    <row r="452" spans="1:15" ht="15.75" customHeight="1">
      <c r="A452" s="56" t="s">
        <v>2690</v>
      </c>
      <c r="B452" s="57" t="s">
        <v>172</v>
      </c>
      <c r="C452" s="56" t="s">
        <v>1704</v>
      </c>
      <c r="D452" s="57" t="s">
        <v>1705</v>
      </c>
      <c r="E452" s="56">
        <v>110</v>
      </c>
      <c r="F452" s="56">
        <v>76</v>
      </c>
      <c r="G452" s="56">
        <v>109.5</v>
      </c>
      <c r="H452" s="56">
        <v>47</v>
      </c>
      <c r="I452" s="56">
        <v>72</v>
      </c>
      <c r="J452" s="56">
        <v>49</v>
      </c>
      <c r="K452" s="52">
        <f t="shared" ref="K452:K515" si="23">SUM(E452:J452)</f>
        <v>463.5</v>
      </c>
      <c r="L452" s="27">
        <f t="shared" si="21"/>
        <v>46</v>
      </c>
      <c r="M452" s="62">
        <f t="shared" si="22"/>
        <v>804</v>
      </c>
      <c r="N452" s="63" t="s">
        <v>17</v>
      </c>
      <c r="O452" s="26" t="s">
        <v>2243</v>
      </c>
    </row>
    <row r="453" spans="1:15" ht="15.75" customHeight="1">
      <c r="A453" s="56" t="s">
        <v>2691</v>
      </c>
      <c r="B453" s="57" t="s">
        <v>172</v>
      </c>
      <c r="C453" s="56" t="s">
        <v>637</v>
      </c>
      <c r="D453" s="57" t="s">
        <v>638</v>
      </c>
      <c r="E453" s="56">
        <v>119</v>
      </c>
      <c r="F453" s="56">
        <v>109</v>
      </c>
      <c r="G453" s="56">
        <v>121</v>
      </c>
      <c r="H453" s="56">
        <v>58</v>
      </c>
      <c r="I453" s="56">
        <v>77</v>
      </c>
      <c r="J453" s="56">
        <v>79</v>
      </c>
      <c r="K453" s="52">
        <f t="shared" si="23"/>
        <v>563</v>
      </c>
      <c r="L453" s="27">
        <f t="shared" si="21"/>
        <v>10</v>
      </c>
      <c r="M453" s="62">
        <f t="shared" si="22"/>
        <v>270</v>
      </c>
      <c r="N453" s="63" t="s">
        <v>16</v>
      </c>
      <c r="O453" s="26" t="s">
        <v>2243</v>
      </c>
    </row>
    <row r="454" spans="1:15" ht="15.75" customHeight="1">
      <c r="A454" s="56" t="s">
        <v>2692</v>
      </c>
      <c r="B454" s="57" t="s">
        <v>172</v>
      </c>
      <c r="C454" s="56" t="s">
        <v>1792</v>
      </c>
      <c r="D454" s="57" t="s">
        <v>1793</v>
      </c>
      <c r="E454" s="56">
        <v>105</v>
      </c>
      <c r="F454" s="56">
        <v>69</v>
      </c>
      <c r="G454" s="56">
        <v>75.5</v>
      </c>
      <c r="H454" s="56">
        <v>54</v>
      </c>
      <c r="I454" s="56">
        <v>74</v>
      </c>
      <c r="J454" s="56">
        <v>70</v>
      </c>
      <c r="K454" s="52">
        <f t="shared" si="23"/>
        <v>447.5</v>
      </c>
      <c r="L454" s="27">
        <f t="shared" si="21"/>
        <v>50</v>
      </c>
      <c r="M454" s="62">
        <f t="shared" si="22"/>
        <v>848</v>
      </c>
      <c r="N454" s="63" t="s">
        <v>17</v>
      </c>
      <c r="O454" s="26" t="s">
        <v>42</v>
      </c>
    </row>
    <row r="455" spans="1:15" ht="15.75" customHeight="1">
      <c r="A455" s="56" t="s">
        <v>2693</v>
      </c>
      <c r="B455" s="57" t="s">
        <v>172</v>
      </c>
      <c r="C455" s="56" t="s">
        <v>1246</v>
      </c>
      <c r="D455" s="57" t="s">
        <v>1247</v>
      </c>
      <c r="E455" s="56">
        <v>111</v>
      </c>
      <c r="F455" s="56">
        <v>100</v>
      </c>
      <c r="G455" s="56">
        <v>95</v>
      </c>
      <c r="H455" s="56">
        <v>58</v>
      </c>
      <c r="I455" s="56">
        <v>78</v>
      </c>
      <c r="J455" s="56">
        <v>68</v>
      </c>
      <c r="K455" s="52">
        <f t="shared" si="23"/>
        <v>510</v>
      </c>
      <c r="L455" s="27">
        <f t="shared" si="21"/>
        <v>30</v>
      </c>
      <c r="M455" s="62">
        <f t="shared" si="22"/>
        <v>577</v>
      </c>
      <c r="N455" s="63" t="s">
        <v>16</v>
      </c>
      <c r="O455" s="26" t="s">
        <v>44</v>
      </c>
    </row>
    <row r="456" spans="1:15" ht="15.75" customHeight="1">
      <c r="A456" s="56" t="s">
        <v>2694</v>
      </c>
      <c r="B456" s="57" t="s">
        <v>172</v>
      </c>
      <c r="C456" s="56" t="s">
        <v>996</v>
      </c>
      <c r="D456" s="57" t="s">
        <v>997</v>
      </c>
      <c r="E456" s="56">
        <v>103</v>
      </c>
      <c r="F456" s="56">
        <v>94</v>
      </c>
      <c r="G456" s="56">
        <v>123</v>
      </c>
      <c r="H456" s="56">
        <v>73</v>
      </c>
      <c r="I456" s="56">
        <v>73</v>
      </c>
      <c r="J456" s="56">
        <v>62</v>
      </c>
      <c r="K456" s="52">
        <f t="shared" si="23"/>
        <v>528</v>
      </c>
      <c r="L456" s="27">
        <f t="shared" si="21"/>
        <v>21</v>
      </c>
      <c r="M456" s="62">
        <f t="shared" si="22"/>
        <v>449</v>
      </c>
      <c r="N456" s="63"/>
      <c r="O456" s="26" t="s">
        <v>44</v>
      </c>
    </row>
    <row r="457" spans="1:15" ht="15.75" customHeight="1">
      <c r="A457" s="56" t="s">
        <v>2695</v>
      </c>
      <c r="B457" s="57" t="s">
        <v>172</v>
      </c>
      <c r="C457" s="56" t="s">
        <v>1932</v>
      </c>
      <c r="D457" s="57" t="s">
        <v>1933</v>
      </c>
      <c r="E457" s="56">
        <v>110</v>
      </c>
      <c r="F457" s="56">
        <v>52</v>
      </c>
      <c r="G457" s="56">
        <v>84.5</v>
      </c>
      <c r="H457" s="56">
        <v>47</v>
      </c>
      <c r="I457" s="56">
        <v>67</v>
      </c>
      <c r="J457" s="56">
        <v>53</v>
      </c>
      <c r="K457" s="52">
        <f t="shared" si="23"/>
        <v>413.5</v>
      </c>
      <c r="L457" s="27">
        <f t="shared" si="21"/>
        <v>57</v>
      </c>
      <c r="M457" s="62">
        <f t="shared" si="22"/>
        <v>920</v>
      </c>
      <c r="N457" s="63" t="s">
        <v>17</v>
      </c>
      <c r="O457" s="26" t="s">
        <v>42</v>
      </c>
    </row>
    <row r="458" spans="1:15" ht="15.75" customHeight="1">
      <c r="A458" s="56" t="s">
        <v>2696</v>
      </c>
      <c r="B458" s="57" t="s">
        <v>87</v>
      </c>
      <c r="C458" s="56" t="s">
        <v>177</v>
      </c>
      <c r="D458" s="57" t="s">
        <v>178</v>
      </c>
      <c r="E458" s="56">
        <v>121</v>
      </c>
      <c r="F458" s="56">
        <v>137</v>
      </c>
      <c r="G458" s="56">
        <v>114</v>
      </c>
      <c r="H458" s="56">
        <v>91</v>
      </c>
      <c r="I458" s="56">
        <v>99</v>
      </c>
      <c r="J458" s="56">
        <v>64</v>
      </c>
      <c r="K458" s="52">
        <f t="shared" si="23"/>
        <v>626</v>
      </c>
      <c r="L458" s="27">
        <f>RANK(K458,$K$458:$K$507)</f>
        <v>23</v>
      </c>
      <c r="M458" s="62">
        <f t="shared" si="22"/>
        <v>41</v>
      </c>
      <c r="N458" s="63" t="s">
        <v>16</v>
      </c>
      <c r="O458" s="26" t="s">
        <v>44</v>
      </c>
    </row>
    <row r="459" spans="1:15" ht="15.75" customHeight="1">
      <c r="A459" s="56" t="s">
        <v>2697</v>
      </c>
      <c r="B459" s="57" t="s">
        <v>87</v>
      </c>
      <c r="C459" s="56" t="s">
        <v>98</v>
      </c>
      <c r="D459" s="57" t="s">
        <v>99</v>
      </c>
      <c r="E459" s="56">
        <v>121</v>
      </c>
      <c r="F459" s="56">
        <v>137</v>
      </c>
      <c r="G459" s="56">
        <v>130</v>
      </c>
      <c r="H459" s="56">
        <v>91</v>
      </c>
      <c r="I459" s="56">
        <v>98</v>
      </c>
      <c r="J459" s="56">
        <v>86</v>
      </c>
      <c r="K459" s="52">
        <f t="shared" si="23"/>
        <v>663</v>
      </c>
      <c r="L459" s="27">
        <f t="shared" ref="L459:L507" si="24">RANK(K459,$K$458:$K$507)</f>
        <v>4</v>
      </c>
      <c r="M459" s="62">
        <f t="shared" si="22"/>
        <v>7</v>
      </c>
      <c r="N459" s="63" t="s">
        <v>16</v>
      </c>
      <c r="O459" s="26" t="s">
        <v>2243</v>
      </c>
    </row>
    <row r="460" spans="1:15" ht="15.75" customHeight="1">
      <c r="A460" s="56" t="s">
        <v>2698</v>
      </c>
      <c r="B460" s="57" t="s">
        <v>87</v>
      </c>
      <c r="C460" s="56" t="s">
        <v>140</v>
      </c>
      <c r="D460" s="57" t="s">
        <v>141</v>
      </c>
      <c r="E460" s="56">
        <v>116</v>
      </c>
      <c r="F460" s="56">
        <v>125</v>
      </c>
      <c r="G460" s="56">
        <v>120.5</v>
      </c>
      <c r="H460" s="56">
        <v>98</v>
      </c>
      <c r="I460" s="56">
        <v>97</v>
      </c>
      <c r="J460" s="56">
        <v>81</v>
      </c>
      <c r="K460" s="52">
        <f t="shared" si="23"/>
        <v>637.5</v>
      </c>
      <c r="L460" s="27">
        <f t="shared" si="24"/>
        <v>17</v>
      </c>
      <c r="M460" s="62">
        <f t="shared" si="22"/>
        <v>26</v>
      </c>
      <c r="N460" s="63" t="s">
        <v>16</v>
      </c>
      <c r="O460" s="26" t="s">
        <v>42</v>
      </c>
    </row>
    <row r="461" spans="1:15" ht="15.75" customHeight="1">
      <c r="A461" s="56" t="s">
        <v>2699</v>
      </c>
      <c r="B461" s="57" t="s">
        <v>87</v>
      </c>
      <c r="C461" s="56" t="s">
        <v>472</v>
      </c>
      <c r="D461" s="57" t="s">
        <v>473</v>
      </c>
      <c r="E461" s="56">
        <v>112</v>
      </c>
      <c r="F461" s="56">
        <v>99</v>
      </c>
      <c r="G461" s="56">
        <v>123</v>
      </c>
      <c r="H461" s="56">
        <v>82</v>
      </c>
      <c r="I461" s="56">
        <v>89</v>
      </c>
      <c r="J461" s="56">
        <v>74</v>
      </c>
      <c r="K461" s="52">
        <f t="shared" si="23"/>
        <v>579</v>
      </c>
      <c r="L461" s="27">
        <f t="shared" si="24"/>
        <v>44</v>
      </c>
      <c r="M461" s="62">
        <f t="shared" si="22"/>
        <v>188</v>
      </c>
      <c r="N461" s="63" t="s">
        <v>16</v>
      </c>
      <c r="O461" s="26" t="s">
        <v>44</v>
      </c>
    </row>
    <row r="462" spans="1:15" ht="15.75" customHeight="1">
      <c r="A462" s="56" t="s">
        <v>2700</v>
      </c>
      <c r="B462" s="57" t="s">
        <v>87</v>
      </c>
      <c r="C462" s="56" t="s">
        <v>123</v>
      </c>
      <c r="D462" s="57" t="s">
        <v>124</v>
      </c>
      <c r="E462" s="56">
        <v>124</v>
      </c>
      <c r="F462" s="56">
        <v>122</v>
      </c>
      <c r="G462" s="56">
        <v>137</v>
      </c>
      <c r="H462" s="56">
        <v>80</v>
      </c>
      <c r="I462" s="56">
        <v>98</v>
      </c>
      <c r="J462" s="56">
        <v>85</v>
      </c>
      <c r="K462" s="52">
        <f t="shared" si="23"/>
        <v>646</v>
      </c>
      <c r="L462" s="27">
        <f t="shared" si="24"/>
        <v>11</v>
      </c>
      <c r="M462" s="62">
        <f t="shared" si="22"/>
        <v>18</v>
      </c>
      <c r="N462" s="63" t="s">
        <v>16</v>
      </c>
      <c r="O462" s="26" t="s">
        <v>42</v>
      </c>
    </row>
    <row r="463" spans="1:15" ht="15.75" customHeight="1">
      <c r="A463" s="56" t="s">
        <v>2701</v>
      </c>
      <c r="B463" s="57" t="s">
        <v>87</v>
      </c>
      <c r="C463" s="56" t="s">
        <v>138</v>
      </c>
      <c r="D463" s="57" t="s">
        <v>139</v>
      </c>
      <c r="E463" s="56">
        <v>112</v>
      </c>
      <c r="F463" s="56">
        <v>139</v>
      </c>
      <c r="G463" s="56">
        <v>123</v>
      </c>
      <c r="H463" s="56">
        <v>91</v>
      </c>
      <c r="I463" s="56">
        <v>95</v>
      </c>
      <c r="J463" s="56">
        <v>78</v>
      </c>
      <c r="K463" s="52">
        <f t="shared" si="23"/>
        <v>638</v>
      </c>
      <c r="L463" s="27">
        <f t="shared" si="24"/>
        <v>16</v>
      </c>
      <c r="M463" s="62">
        <f t="shared" si="22"/>
        <v>25</v>
      </c>
      <c r="N463" s="63" t="s">
        <v>16</v>
      </c>
      <c r="O463" s="26" t="s">
        <v>42</v>
      </c>
    </row>
    <row r="464" spans="1:15" ht="15.75" customHeight="1">
      <c r="A464" s="56" t="s">
        <v>2702</v>
      </c>
      <c r="B464" s="57" t="s">
        <v>87</v>
      </c>
      <c r="C464" s="56" t="s">
        <v>127</v>
      </c>
      <c r="D464" s="57" t="s">
        <v>128</v>
      </c>
      <c r="E464" s="56">
        <v>125</v>
      </c>
      <c r="F464" s="56">
        <v>130</v>
      </c>
      <c r="G464" s="56">
        <v>125.5</v>
      </c>
      <c r="H464" s="56">
        <v>91</v>
      </c>
      <c r="I464" s="56">
        <v>94</v>
      </c>
      <c r="J464" s="56">
        <v>79</v>
      </c>
      <c r="K464" s="52">
        <f t="shared" si="23"/>
        <v>644.5</v>
      </c>
      <c r="L464" s="27">
        <f t="shared" si="24"/>
        <v>12</v>
      </c>
      <c r="M464" s="62">
        <f t="shared" si="22"/>
        <v>20</v>
      </c>
      <c r="N464" s="63" t="s">
        <v>16</v>
      </c>
      <c r="O464" s="26" t="s">
        <v>44</v>
      </c>
    </row>
    <row r="465" spans="1:15" ht="15.75" customHeight="1">
      <c r="A465" s="56" t="s">
        <v>2703</v>
      </c>
      <c r="B465" s="57" t="s">
        <v>87</v>
      </c>
      <c r="C465" s="56" t="s">
        <v>288</v>
      </c>
      <c r="D465" s="57" t="s">
        <v>289</v>
      </c>
      <c r="E465" s="56">
        <v>118</v>
      </c>
      <c r="F465" s="56">
        <v>117</v>
      </c>
      <c r="G465" s="56">
        <v>130</v>
      </c>
      <c r="H465" s="56">
        <v>84</v>
      </c>
      <c r="I465" s="56">
        <v>89</v>
      </c>
      <c r="J465" s="56">
        <v>65</v>
      </c>
      <c r="K465" s="52">
        <f t="shared" si="23"/>
        <v>603</v>
      </c>
      <c r="L465" s="27">
        <f t="shared" si="24"/>
        <v>33</v>
      </c>
      <c r="M465" s="62">
        <f t="shared" si="22"/>
        <v>96</v>
      </c>
      <c r="N465" s="63" t="s">
        <v>16</v>
      </c>
      <c r="O465" s="26" t="s">
        <v>42</v>
      </c>
    </row>
    <row r="466" spans="1:15" ht="15.75" customHeight="1">
      <c r="A466" s="56" t="s">
        <v>2704</v>
      </c>
      <c r="B466" s="57" t="s">
        <v>87</v>
      </c>
      <c r="C466" s="56" t="s">
        <v>317</v>
      </c>
      <c r="D466" s="57" t="s">
        <v>318</v>
      </c>
      <c r="E466" s="56">
        <v>117</v>
      </c>
      <c r="F466" s="56">
        <v>117</v>
      </c>
      <c r="G466" s="56">
        <v>121</v>
      </c>
      <c r="H466" s="56">
        <v>77</v>
      </c>
      <c r="I466" s="56">
        <v>91</v>
      </c>
      <c r="J466" s="56">
        <v>75</v>
      </c>
      <c r="K466" s="52">
        <f t="shared" si="23"/>
        <v>598</v>
      </c>
      <c r="L466" s="27">
        <f t="shared" si="24"/>
        <v>36</v>
      </c>
      <c r="M466" s="62">
        <f t="shared" si="22"/>
        <v>108</v>
      </c>
      <c r="N466" s="63" t="s">
        <v>16</v>
      </c>
      <c r="O466" s="26" t="s">
        <v>42</v>
      </c>
    </row>
    <row r="467" spans="1:15" ht="15.75" customHeight="1">
      <c r="A467" s="56" t="s">
        <v>2705</v>
      </c>
      <c r="B467" s="57" t="s">
        <v>87</v>
      </c>
      <c r="C467" s="56" t="s">
        <v>408</v>
      </c>
      <c r="D467" s="57" t="s">
        <v>409</v>
      </c>
      <c r="E467" s="56">
        <v>116</v>
      </c>
      <c r="F467" s="56">
        <v>100</v>
      </c>
      <c r="G467" s="56">
        <v>121</v>
      </c>
      <c r="H467" s="56">
        <v>80</v>
      </c>
      <c r="I467" s="56">
        <v>98</v>
      </c>
      <c r="J467" s="56">
        <v>72</v>
      </c>
      <c r="K467" s="52">
        <f t="shared" si="23"/>
        <v>587</v>
      </c>
      <c r="L467" s="27">
        <f t="shared" si="24"/>
        <v>42</v>
      </c>
      <c r="M467" s="62">
        <f t="shared" si="22"/>
        <v>156</v>
      </c>
      <c r="N467" s="63" t="s">
        <v>16</v>
      </c>
      <c r="O467" s="26" t="s">
        <v>44</v>
      </c>
    </row>
    <row r="468" spans="1:15" ht="15.75" customHeight="1">
      <c r="A468" s="56" t="s">
        <v>2706</v>
      </c>
      <c r="B468" s="57" t="s">
        <v>87</v>
      </c>
      <c r="C468" s="56" t="s">
        <v>134</v>
      </c>
      <c r="D468" s="57" t="s">
        <v>135</v>
      </c>
      <c r="E468" s="56">
        <v>125</v>
      </c>
      <c r="F468" s="56">
        <v>121</v>
      </c>
      <c r="G468" s="56">
        <v>129.5</v>
      </c>
      <c r="H468" s="56">
        <v>101</v>
      </c>
      <c r="I468" s="56">
        <v>93</v>
      </c>
      <c r="J468" s="56">
        <v>72</v>
      </c>
      <c r="K468" s="52">
        <f t="shared" si="23"/>
        <v>641.5</v>
      </c>
      <c r="L468" s="27">
        <f t="shared" si="24"/>
        <v>14</v>
      </c>
      <c r="M468" s="62">
        <f t="shared" si="22"/>
        <v>23</v>
      </c>
      <c r="N468" s="63" t="s">
        <v>16</v>
      </c>
      <c r="O468" s="26" t="s">
        <v>42</v>
      </c>
    </row>
    <row r="469" spans="1:15" ht="15.75" customHeight="1">
      <c r="A469" s="56" t="s">
        <v>2707</v>
      </c>
      <c r="B469" s="57" t="s">
        <v>87</v>
      </c>
      <c r="C469" s="56" t="s">
        <v>88</v>
      </c>
      <c r="D469" s="57" t="s">
        <v>89</v>
      </c>
      <c r="E469" s="56">
        <v>117</v>
      </c>
      <c r="F469" s="56">
        <v>143</v>
      </c>
      <c r="G469" s="56">
        <v>127</v>
      </c>
      <c r="H469" s="56">
        <v>103</v>
      </c>
      <c r="I469" s="56">
        <v>100</v>
      </c>
      <c r="J469" s="56">
        <v>80</v>
      </c>
      <c r="K469" s="52">
        <f t="shared" si="23"/>
        <v>670</v>
      </c>
      <c r="L469" s="27">
        <f t="shared" si="24"/>
        <v>2</v>
      </c>
      <c r="M469" s="62">
        <f t="shared" si="22"/>
        <v>3</v>
      </c>
      <c r="N469" s="63" t="s">
        <v>16</v>
      </c>
      <c r="O469" s="26" t="s">
        <v>42</v>
      </c>
    </row>
    <row r="470" spans="1:15" ht="15.75" customHeight="1">
      <c r="A470" s="56" t="s">
        <v>2708</v>
      </c>
      <c r="B470" s="57" t="s">
        <v>87</v>
      </c>
      <c r="C470" s="56" t="s">
        <v>175</v>
      </c>
      <c r="D470" s="57" t="s">
        <v>176</v>
      </c>
      <c r="E470" s="56">
        <v>121</v>
      </c>
      <c r="F470" s="56">
        <v>129</v>
      </c>
      <c r="G470" s="56">
        <v>128</v>
      </c>
      <c r="H470" s="56">
        <v>75</v>
      </c>
      <c r="I470" s="56">
        <v>98</v>
      </c>
      <c r="J470" s="56">
        <v>75</v>
      </c>
      <c r="K470" s="52">
        <f t="shared" si="23"/>
        <v>626</v>
      </c>
      <c r="L470" s="27">
        <f t="shared" si="24"/>
        <v>23</v>
      </c>
      <c r="M470" s="62">
        <f t="shared" si="22"/>
        <v>41</v>
      </c>
      <c r="N470" s="63" t="s">
        <v>16</v>
      </c>
      <c r="O470" s="26" t="s">
        <v>42</v>
      </c>
    </row>
    <row r="471" spans="1:15" ht="15.75" customHeight="1">
      <c r="A471" s="56" t="s">
        <v>2709</v>
      </c>
      <c r="B471" s="57" t="s">
        <v>87</v>
      </c>
      <c r="C471" s="56" t="s">
        <v>155</v>
      </c>
      <c r="D471" s="57" t="s">
        <v>156</v>
      </c>
      <c r="E471" s="56">
        <v>110</v>
      </c>
      <c r="F471" s="56">
        <v>130</v>
      </c>
      <c r="G471" s="56">
        <v>131.5</v>
      </c>
      <c r="H471" s="56">
        <v>84</v>
      </c>
      <c r="I471" s="56">
        <v>89</v>
      </c>
      <c r="J471" s="56">
        <v>85</v>
      </c>
      <c r="K471" s="52">
        <f t="shared" si="23"/>
        <v>629.5</v>
      </c>
      <c r="L471" s="27">
        <f t="shared" si="24"/>
        <v>20</v>
      </c>
      <c r="M471" s="62">
        <f t="shared" si="22"/>
        <v>33</v>
      </c>
      <c r="N471" s="63" t="s">
        <v>16</v>
      </c>
      <c r="O471" s="26" t="s">
        <v>42</v>
      </c>
    </row>
    <row r="472" spans="1:15" ht="15.75" customHeight="1">
      <c r="A472" s="56" t="s">
        <v>2710</v>
      </c>
      <c r="B472" s="57" t="s">
        <v>87</v>
      </c>
      <c r="C472" s="56" t="s">
        <v>573</v>
      </c>
      <c r="D472" s="57" t="s">
        <v>574</v>
      </c>
      <c r="E472" s="56">
        <v>100</v>
      </c>
      <c r="F472" s="56">
        <v>115</v>
      </c>
      <c r="G472" s="56">
        <v>122.5</v>
      </c>
      <c r="H472" s="56">
        <v>83</v>
      </c>
      <c r="I472" s="56">
        <v>92</v>
      </c>
      <c r="J472" s="56">
        <v>57</v>
      </c>
      <c r="K472" s="52">
        <f t="shared" si="23"/>
        <v>569.5</v>
      </c>
      <c r="L472" s="27">
        <f t="shared" si="24"/>
        <v>48</v>
      </c>
      <c r="M472" s="62">
        <f t="shared" si="22"/>
        <v>238</v>
      </c>
      <c r="N472" s="63" t="s">
        <v>16</v>
      </c>
      <c r="O472" s="26" t="s">
        <v>44</v>
      </c>
    </row>
    <row r="473" spans="1:15" ht="15.75" customHeight="1">
      <c r="A473" s="56" t="s">
        <v>2711</v>
      </c>
      <c r="B473" s="57" t="s">
        <v>87</v>
      </c>
      <c r="C473" s="56" t="s">
        <v>100</v>
      </c>
      <c r="D473" s="57" t="s">
        <v>101</v>
      </c>
      <c r="E473" s="56">
        <v>122</v>
      </c>
      <c r="F473" s="56">
        <v>140</v>
      </c>
      <c r="G473" s="56">
        <v>130</v>
      </c>
      <c r="H473" s="56">
        <v>93</v>
      </c>
      <c r="I473" s="56">
        <v>96</v>
      </c>
      <c r="J473" s="56">
        <v>77</v>
      </c>
      <c r="K473" s="52">
        <f t="shared" si="23"/>
        <v>658</v>
      </c>
      <c r="L473" s="27">
        <f t="shared" si="24"/>
        <v>5</v>
      </c>
      <c r="M473" s="62">
        <f t="shared" si="22"/>
        <v>8</v>
      </c>
      <c r="N473" s="63" t="s">
        <v>16</v>
      </c>
      <c r="O473" s="26" t="s">
        <v>42</v>
      </c>
    </row>
    <row r="474" spans="1:15" ht="15.75" customHeight="1">
      <c r="A474" s="56" t="s">
        <v>2712</v>
      </c>
      <c r="B474" s="57" t="s">
        <v>87</v>
      </c>
      <c r="C474" s="56" t="s">
        <v>114</v>
      </c>
      <c r="D474" s="57" t="s">
        <v>115</v>
      </c>
      <c r="E474" s="56">
        <v>122</v>
      </c>
      <c r="F474" s="56">
        <v>124</v>
      </c>
      <c r="G474" s="56">
        <v>135</v>
      </c>
      <c r="H474" s="56">
        <v>90</v>
      </c>
      <c r="I474" s="56">
        <v>100</v>
      </c>
      <c r="J474" s="56">
        <v>76</v>
      </c>
      <c r="K474" s="52">
        <f t="shared" si="23"/>
        <v>647</v>
      </c>
      <c r="L474" s="27">
        <f t="shared" si="24"/>
        <v>9</v>
      </c>
      <c r="M474" s="62">
        <f t="shared" si="22"/>
        <v>15</v>
      </c>
      <c r="N474" s="63" t="s">
        <v>16</v>
      </c>
      <c r="O474" s="26" t="s">
        <v>42</v>
      </c>
    </row>
    <row r="475" spans="1:15" ht="15.75" customHeight="1">
      <c r="A475" s="56" t="s">
        <v>2713</v>
      </c>
      <c r="B475" s="57" t="s">
        <v>87</v>
      </c>
      <c r="C475" s="56" t="s">
        <v>370</v>
      </c>
      <c r="D475" s="57" t="s">
        <v>371</v>
      </c>
      <c r="E475" s="56">
        <v>105</v>
      </c>
      <c r="F475" s="56">
        <v>96</v>
      </c>
      <c r="G475" s="56">
        <v>130.5</v>
      </c>
      <c r="H475" s="56">
        <v>76</v>
      </c>
      <c r="I475" s="56">
        <v>98</v>
      </c>
      <c r="J475" s="56">
        <v>85</v>
      </c>
      <c r="K475" s="52">
        <f t="shared" si="23"/>
        <v>590.5</v>
      </c>
      <c r="L475" s="27">
        <f t="shared" si="24"/>
        <v>39</v>
      </c>
      <c r="M475" s="62">
        <f t="shared" si="22"/>
        <v>137</v>
      </c>
      <c r="N475" s="63" t="s">
        <v>16</v>
      </c>
      <c r="O475" s="26" t="s">
        <v>42</v>
      </c>
    </row>
    <row r="476" spans="1:15" ht="15.75" customHeight="1">
      <c r="A476" s="56" t="s">
        <v>2714</v>
      </c>
      <c r="B476" s="57" t="s">
        <v>87</v>
      </c>
      <c r="C476" s="56" t="s">
        <v>537</v>
      </c>
      <c r="D476" s="57" t="s">
        <v>538</v>
      </c>
      <c r="E476" s="56">
        <v>102</v>
      </c>
      <c r="F476" s="56">
        <v>99</v>
      </c>
      <c r="G476" s="56">
        <v>124.5</v>
      </c>
      <c r="H476" s="56">
        <v>83</v>
      </c>
      <c r="I476" s="56">
        <v>92</v>
      </c>
      <c r="J476" s="56">
        <v>73</v>
      </c>
      <c r="K476" s="52">
        <f t="shared" si="23"/>
        <v>573.5</v>
      </c>
      <c r="L476" s="27">
        <f t="shared" si="24"/>
        <v>47</v>
      </c>
      <c r="M476" s="62">
        <f t="shared" si="22"/>
        <v>221</v>
      </c>
      <c r="N476" s="63" t="s">
        <v>16</v>
      </c>
      <c r="O476" s="26" t="s">
        <v>44</v>
      </c>
    </row>
    <row r="477" spans="1:15" ht="15.75" customHeight="1">
      <c r="A477" s="56" t="s">
        <v>2715</v>
      </c>
      <c r="B477" s="57" t="s">
        <v>87</v>
      </c>
      <c r="C477" s="56" t="s">
        <v>136</v>
      </c>
      <c r="D477" s="57" t="s">
        <v>137</v>
      </c>
      <c r="E477" s="56">
        <v>114</v>
      </c>
      <c r="F477" s="56">
        <v>128</v>
      </c>
      <c r="G477" s="56">
        <v>133.5</v>
      </c>
      <c r="H477" s="56">
        <v>83</v>
      </c>
      <c r="I477" s="56">
        <v>100</v>
      </c>
      <c r="J477" s="56">
        <v>82</v>
      </c>
      <c r="K477" s="52">
        <f t="shared" si="23"/>
        <v>640.5</v>
      </c>
      <c r="L477" s="27">
        <f t="shared" si="24"/>
        <v>15</v>
      </c>
      <c r="M477" s="62">
        <f t="shared" si="22"/>
        <v>24</v>
      </c>
      <c r="N477" s="63" t="s">
        <v>16</v>
      </c>
      <c r="O477" s="26" t="s">
        <v>42</v>
      </c>
    </row>
    <row r="478" spans="1:15" ht="15.75" customHeight="1">
      <c r="A478" s="56" t="s">
        <v>2716</v>
      </c>
      <c r="B478" s="57" t="s">
        <v>87</v>
      </c>
      <c r="C478" s="56" t="s">
        <v>341</v>
      </c>
      <c r="D478" s="57" t="s">
        <v>251</v>
      </c>
      <c r="E478" s="56">
        <v>113</v>
      </c>
      <c r="F478" s="56">
        <v>114</v>
      </c>
      <c r="G478" s="56">
        <v>112.5</v>
      </c>
      <c r="H478" s="56">
        <v>96</v>
      </c>
      <c r="I478" s="56">
        <v>91</v>
      </c>
      <c r="J478" s="56">
        <v>68</v>
      </c>
      <c r="K478" s="52">
        <f t="shared" si="23"/>
        <v>594.5</v>
      </c>
      <c r="L478" s="27">
        <f t="shared" si="24"/>
        <v>37</v>
      </c>
      <c r="M478" s="62">
        <f t="shared" si="22"/>
        <v>122</v>
      </c>
      <c r="N478" s="63" t="s">
        <v>16</v>
      </c>
      <c r="O478" s="26" t="s">
        <v>44</v>
      </c>
    </row>
    <row r="479" spans="1:15" ht="15.75" customHeight="1">
      <c r="A479" s="56" t="s">
        <v>2717</v>
      </c>
      <c r="B479" s="57" t="s">
        <v>87</v>
      </c>
      <c r="C479" s="56" t="s">
        <v>116</v>
      </c>
      <c r="D479" s="57" t="s">
        <v>117</v>
      </c>
      <c r="E479" s="56">
        <v>118</v>
      </c>
      <c r="F479" s="56">
        <v>131</v>
      </c>
      <c r="G479" s="56">
        <v>131</v>
      </c>
      <c r="H479" s="56">
        <v>93</v>
      </c>
      <c r="I479" s="56">
        <v>87</v>
      </c>
      <c r="J479" s="56">
        <v>87</v>
      </c>
      <c r="K479" s="52">
        <f t="shared" si="23"/>
        <v>647</v>
      </c>
      <c r="L479" s="27">
        <f t="shared" si="24"/>
        <v>9</v>
      </c>
      <c r="M479" s="62">
        <f t="shared" si="22"/>
        <v>15</v>
      </c>
      <c r="N479" s="63" t="s">
        <v>16</v>
      </c>
      <c r="O479" s="26" t="s">
        <v>42</v>
      </c>
    </row>
    <row r="480" spans="1:15" ht="15.75" customHeight="1">
      <c r="A480" s="56" t="s">
        <v>2718</v>
      </c>
      <c r="B480" s="57" t="s">
        <v>87</v>
      </c>
      <c r="C480" s="56" t="s">
        <v>118</v>
      </c>
      <c r="D480" s="57" t="s">
        <v>119</v>
      </c>
      <c r="E480" s="56">
        <v>99</v>
      </c>
      <c r="F480" s="56">
        <v>148</v>
      </c>
      <c r="G480" s="56">
        <v>125.5</v>
      </c>
      <c r="H480" s="56">
        <v>104</v>
      </c>
      <c r="I480" s="56">
        <v>100</v>
      </c>
      <c r="J480" s="56">
        <v>81</v>
      </c>
      <c r="K480" s="52">
        <f t="shared" si="23"/>
        <v>657.5</v>
      </c>
      <c r="L480" s="27">
        <f t="shared" si="24"/>
        <v>6</v>
      </c>
      <c r="M480" s="62">
        <f t="shared" si="22"/>
        <v>9</v>
      </c>
      <c r="N480" s="63" t="s">
        <v>16</v>
      </c>
      <c r="O480" s="26" t="s">
        <v>42</v>
      </c>
    </row>
    <row r="481" spans="1:15" ht="15.75" customHeight="1">
      <c r="A481" s="56" t="s">
        <v>2719</v>
      </c>
      <c r="B481" s="57" t="s">
        <v>87</v>
      </c>
      <c r="C481" s="56" t="s">
        <v>161</v>
      </c>
      <c r="D481" s="57" t="s">
        <v>162</v>
      </c>
      <c r="E481" s="56">
        <v>107</v>
      </c>
      <c r="F481" s="56">
        <v>139</v>
      </c>
      <c r="G481" s="56">
        <v>116</v>
      </c>
      <c r="H481" s="56">
        <v>93</v>
      </c>
      <c r="I481" s="56">
        <v>95</v>
      </c>
      <c r="J481" s="56">
        <v>78</v>
      </c>
      <c r="K481" s="52">
        <f t="shared" si="23"/>
        <v>628</v>
      </c>
      <c r="L481" s="27">
        <f t="shared" si="24"/>
        <v>21</v>
      </c>
      <c r="M481" s="62">
        <f t="shared" si="22"/>
        <v>36</v>
      </c>
      <c r="N481" s="63" t="s">
        <v>16</v>
      </c>
      <c r="O481" s="26" t="s">
        <v>42</v>
      </c>
    </row>
    <row r="482" spans="1:15" ht="15.75" customHeight="1">
      <c r="A482" s="56" t="s">
        <v>2720</v>
      </c>
      <c r="B482" s="57" t="s">
        <v>87</v>
      </c>
      <c r="C482" s="56" t="s">
        <v>129</v>
      </c>
      <c r="D482" s="57" t="s">
        <v>130</v>
      </c>
      <c r="E482" s="56">
        <v>116</v>
      </c>
      <c r="F482" s="56">
        <v>129</v>
      </c>
      <c r="G482" s="56">
        <v>124.5</v>
      </c>
      <c r="H482" s="56">
        <v>104</v>
      </c>
      <c r="I482" s="56">
        <v>95</v>
      </c>
      <c r="J482" s="56">
        <v>74</v>
      </c>
      <c r="K482" s="52">
        <f t="shared" si="23"/>
        <v>642.5</v>
      </c>
      <c r="L482" s="27">
        <f t="shared" si="24"/>
        <v>13</v>
      </c>
      <c r="M482" s="62">
        <f t="shared" si="22"/>
        <v>21</v>
      </c>
      <c r="N482" s="63" t="s">
        <v>16</v>
      </c>
      <c r="O482" s="26" t="s">
        <v>42</v>
      </c>
    </row>
    <row r="483" spans="1:15" ht="15.75" customHeight="1">
      <c r="A483" s="56" t="s">
        <v>2721</v>
      </c>
      <c r="B483" s="57" t="s">
        <v>87</v>
      </c>
      <c r="C483" s="56" t="s">
        <v>173</v>
      </c>
      <c r="D483" s="57" t="s">
        <v>174</v>
      </c>
      <c r="E483" s="56">
        <v>112</v>
      </c>
      <c r="F483" s="56">
        <v>122</v>
      </c>
      <c r="G483" s="56">
        <v>123</v>
      </c>
      <c r="H483" s="56">
        <v>84</v>
      </c>
      <c r="I483" s="56">
        <v>98</v>
      </c>
      <c r="J483" s="56">
        <v>87</v>
      </c>
      <c r="K483" s="52">
        <f t="shared" si="23"/>
        <v>626</v>
      </c>
      <c r="L483" s="27">
        <f t="shared" si="24"/>
        <v>23</v>
      </c>
      <c r="M483" s="62">
        <f t="shared" si="22"/>
        <v>41</v>
      </c>
      <c r="N483" s="63" t="s">
        <v>16</v>
      </c>
      <c r="O483" s="26" t="s">
        <v>44</v>
      </c>
    </row>
    <row r="484" spans="1:15" ht="16.5" customHeight="1">
      <c r="A484" s="56" t="s">
        <v>2722</v>
      </c>
      <c r="B484" s="57" t="s">
        <v>87</v>
      </c>
      <c r="C484" s="56" t="s">
        <v>482</v>
      </c>
      <c r="D484" s="57" t="s">
        <v>483</v>
      </c>
      <c r="E484" s="56">
        <v>101</v>
      </c>
      <c r="F484" s="56">
        <v>118</v>
      </c>
      <c r="G484" s="56">
        <v>122.5</v>
      </c>
      <c r="H484" s="56">
        <v>84</v>
      </c>
      <c r="I484" s="56">
        <v>87</v>
      </c>
      <c r="J484" s="56">
        <v>66</v>
      </c>
      <c r="K484" s="52">
        <f t="shared" si="23"/>
        <v>578.5</v>
      </c>
      <c r="L484" s="27">
        <f t="shared" si="24"/>
        <v>45</v>
      </c>
      <c r="M484" s="62">
        <f t="shared" si="22"/>
        <v>192</v>
      </c>
      <c r="N484" s="63" t="s">
        <v>16</v>
      </c>
      <c r="O484" s="26" t="s">
        <v>42</v>
      </c>
    </row>
    <row r="485" spans="1:15" ht="16.5" customHeight="1">
      <c r="A485" s="56" t="s">
        <v>2723</v>
      </c>
      <c r="B485" s="57" t="s">
        <v>87</v>
      </c>
      <c r="C485" s="56" t="s">
        <v>183</v>
      </c>
      <c r="D485" s="57" t="s">
        <v>184</v>
      </c>
      <c r="E485" s="56">
        <v>112</v>
      </c>
      <c r="F485" s="56">
        <v>110</v>
      </c>
      <c r="G485" s="56">
        <v>128.5</v>
      </c>
      <c r="H485" s="56">
        <v>90</v>
      </c>
      <c r="I485" s="56">
        <v>98</v>
      </c>
      <c r="J485" s="56">
        <v>85</v>
      </c>
      <c r="K485" s="52">
        <f t="shared" si="23"/>
        <v>623.5</v>
      </c>
      <c r="L485" s="27">
        <f t="shared" si="24"/>
        <v>26</v>
      </c>
      <c r="M485" s="62">
        <f t="shared" si="22"/>
        <v>46</v>
      </c>
      <c r="N485" s="63" t="s">
        <v>16</v>
      </c>
      <c r="O485" s="26" t="s">
        <v>2243</v>
      </c>
    </row>
    <row r="486" spans="1:15" ht="16.5" customHeight="1">
      <c r="A486" s="56" t="s">
        <v>2724</v>
      </c>
      <c r="B486" s="57" t="s">
        <v>87</v>
      </c>
      <c r="C486" s="56" t="s">
        <v>220</v>
      </c>
      <c r="D486" s="57" t="s">
        <v>221</v>
      </c>
      <c r="E486" s="56">
        <v>115</v>
      </c>
      <c r="F486" s="56">
        <v>122</v>
      </c>
      <c r="G486" s="56">
        <v>108.5</v>
      </c>
      <c r="H486" s="56">
        <v>92</v>
      </c>
      <c r="I486" s="56">
        <v>96</v>
      </c>
      <c r="J486" s="56">
        <v>81</v>
      </c>
      <c r="K486" s="52">
        <f t="shared" si="23"/>
        <v>614.5</v>
      </c>
      <c r="L486" s="27">
        <f t="shared" si="24"/>
        <v>29</v>
      </c>
      <c r="M486" s="62">
        <f t="shared" si="22"/>
        <v>63</v>
      </c>
      <c r="N486" s="63" t="s">
        <v>16</v>
      </c>
      <c r="O486" s="26" t="s">
        <v>42</v>
      </c>
    </row>
    <row r="487" spans="1:15" ht="16.5" customHeight="1">
      <c r="A487" s="56" t="s">
        <v>2725</v>
      </c>
      <c r="B487" s="57" t="s">
        <v>87</v>
      </c>
      <c r="C487" s="56" t="s">
        <v>107</v>
      </c>
      <c r="D487" s="57" t="s">
        <v>108</v>
      </c>
      <c r="E487" s="56">
        <v>119</v>
      </c>
      <c r="F487" s="56">
        <v>130</v>
      </c>
      <c r="G487" s="56">
        <v>132</v>
      </c>
      <c r="H487" s="56">
        <v>92</v>
      </c>
      <c r="I487" s="56">
        <v>98</v>
      </c>
      <c r="J487" s="56">
        <v>81</v>
      </c>
      <c r="K487" s="52">
        <f t="shared" si="23"/>
        <v>652</v>
      </c>
      <c r="L487" s="27">
        <f t="shared" si="24"/>
        <v>8</v>
      </c>
      <c r="M487" s="62">
        <f t="shared" si="22"/>
        <v>12</v>
      </c>
      <c r="N487" s="63" t="s">
        <v>16</v>
      </c>
      <c r="O487" s="26" t="s">
        <v>2243</v>
      </c>
    </row>
    <row r="488" spans="1:15" ht="16.5" customHeight="1">
      <c r="A488" s="56" t="s">
        <v>2726</v>
      </c>
      <c r="B488" s="57" t="s">
        <v>87</v>
      </c>
      <c r="C488" s="56" t="s">
        <v>193</v>
      </c>
      <c r="D488" s="57" t="s">
        <v>194</v>
      </c>
      <c r="E488" s="56">
        <v>127</v>
      </c>
      <c r="F488" s="56">
        <v>118</v>
      </c>
      <c r="G488" s="56">
        <v>120.5</v>
      </c>
      <c r="H488" s="56">
        <v>84</v>
      </c>
      <c r="I488" s="56">
        <v>92</v>
      </c>
      <c r="J488" s="56">
        <v>79</v>
      </c>
      <c r="K488" s="52">
        <f t="shared" si="23"/>
        <v>620.5</v>
      </c>
      <c r="L488" s="27">
        <f t="shared" si="24"/>
        <v>27</v>
      </c>
      <c r="M488" s="62">
        <f t="shared" si="22"/>
        <v>51</v>
      </c>
      <c r="N488" s="63" t="s">
        <v>16</v>
      </c>
      <c r="O488" s="26" t="s">
        <v>42</v>
      </c>
    </row>
    <row r="489" spans="1:15" ht="16.5" customHeight="1">
      <c r="A489" s="56" t="s">
        <v>2727</v>
      </c>
      <c r="B489" s="59" t="s">
        <v>87</v>
      </c>
      <c r="C489" s="56" t="s">
        <v>266</v>
      </c>
      <c r="D489" s="59" t="s">
        <v>267</v>
      </c>
      <c r="E489" s="56">
        <v>105</v>
      </c>
      <c r="F489" s="56">
        <v>125</v>
      </c>
      <c r="G489" s="56">
        <v>130</v>
      </c>
      <c r="H489" s="56">
        <v>94</v>
      </c>
      <c r="I489" s="56">
        <v>88</v>
      </c>
      <c r="J489" s="56">
        <v>65</v>
      </c>
      <c r="K489" s="52">
        <f t="shared" si="23"/>
        <v>607</v>
      </c>
      <c r="L489" s="27">
        <f t="shared" si="24"/>
        <v>31</v>
      </c>
      <c r="M489" s="62">
        <f t="shared" si="22"/>
        <v>85</v>
      </c>
      <c r="N489" s="63" t="s">
        <v>16</v>
      </c>
      <c r="O489" s="26" t="s">
        <v>42</v>
      </c>
    </row>
    <row r="490" spans="1:15" ht="16.5" customHeight="1">
      <c r="A490" s="56" t="s">
        <v>2728</v>
      </c>
      <c r="B490" s="57" t="s">
        <v>87</v>
      </c>
      <c r="C490" s="56" t="s">
        <v>366</v>
      </c>
      <c r="D490" s="57" t="s">
        <v>367</v>
      </c>
      <c r="E490" s="56">
        <v>108</v>
      </c>
      <c r="F490" s="56">
        <v>116</v>
      </c>
      <c r="G490" s="56">
        <v>117</v>
      </c>
      <c r="H490" s="56">
        <v>69</v>
      </c>
      <c r="I490" s="56">
        <v>99</v>
      </c>
      <c r="J490" s="56">
        <v>82</v>
      </c>
      <c r="K490" s="52">
        <f t="shared" si="23"/>
        <v>591</v>
      </c>
      <c r="L490" s="27">
        <f t="shared" si="24"/>
        <v>38</v>
      </c>
      <c r="M490" s="62">
        <f t="shared" si="22"/>
        <v>135</v>
      </c>
      <c r="N490" s="63" t="s">
        <v>16</v>
      </c>
      <c r="O490" s="26" t="s">
        <v>44</v>
      </c>
    </row>
    <row r="491" spans="1:15" ht="16.5" customHeight="1">
      <c r="A491" s="56" t="s">
        <v>2729</v>
      </c>
      <c r="B491" s="57" t="s">
        <v>87</v>
      </c>
      <c r="C491" s="56" t="s">
        <v>85</v>
      </c>
      <c r="D491" s="57" t="s">
        <v>86</v>
      </c>
      <c r="E491" s="56">
        <v>121</v>
      </c>
      <c r="F491" s="56">
        <v>143</v>
      </c>
      <c r="G491" s="56">
        <v>127.5</v>
      </c>
      <c r="H491" s="56">
        <v>95</v>
      </c>
      <c r="I491" s="56">
        <v>100</v>
      </c>
      <c r="J491" s="56">
        <v>84</v>
      </c>
      <c r="K491" s="52">
        <f t="shared" si="23"/>
        <v>670.5</v>
      </c>
      <c r="L491" s="27">
        <f t="shared" si="24"/>
        <v>1</v>
      </c>
      <c r="M491" s="62">
        <f t="shared" si="22"/>
        <v>2</v>
      </c>
      <c r="N491" s="63" t="s">
        <v>16</v>
      </c>
      <c r="O491" s="26" t="s">
        <v>44</v>
      </c>
    </row>
    <row r="492" spans="1:15" ht="16.5" customHeight="1">
      <c r="A492" s="56" t="s">
        <v>2730</v>
      </c>
      <c r="B492" s="57" t="s">
        <v>87</v>
      </c>
      <c r="C492" s="56" t="s">
        <v>102</v>
      </c>
      <c r="D492" s="57" t="s">
        <v>103</v>
      </c>
      <c r="E492" s="56">
        <v>125</v>
      </c>
      <c r="F492" s="56">
        <v>127</v>
      </c>
      <c r="G492" s="56">
        <v>133</v>
      </c>
      <c r="H492" s="56">
        <v>96</v>
      </c>
      <c r="I492" s="56">
        <v>96</v>
      </c>
      <c r="J492" s="56">
        <v>79</v>
      </c>
      <c r="K492" s="52">
        <f t="shared" si="23"/>
        <v>656</v>
      </c>
      <c r="L492" s="27">
        <f t="shared" si="24"/>
        <v>7</v>
      </c>
      <c r="M492" s="62">
        <f t="shared" si="22"/>
        <v>10</v>
      </c>
      <c r="N492" s="63" t="s">
        <v>16</v>
      </c>
      <c r="O492" s="26" t="s">
        <v>42</v>
      </c>
    </row>
    <row r="493" spans="1:15" ht="16.5" customHeight="1">
      <c r="A493" s="56" t="s">
        <v>2731</v>
      </c>
      <c r="B493" s="57" t="s">
        <v>87</v>
      </c>
      <c r="C493" s="56" t="s">
        <v>585</v>
      </c>
      <c r="D493" s="57" t="s">
        <v>586</v>
      </c>
      <c r="E493" s="56">
        <v>117</v>
      </c>
      <c r="F493" s="56">
        <v>91</v>
      </c>
      <c r="G493" s="56">
        <v>118</v>
      </c>
      <c r="H493" s="56">
        <v>82</v>
      </c>
      <c r="I493" s="56">
        <v>82</v>
      </c>
      <c r="J493" s="56">
        <v>78</v>
      </c>
      <c r="K493" s="52">
        <f t="shared" si="23"/>
        <v>568</v>
      </c>
      <c r="L493" s="27">
        <f t="shared" si="24"/>
        <v>50</v>
      </c>
      <c r="M493" s="62">
        <f t="shared" si="22"/>
        <v>245</v>
      </c>
      <c r="N493" s="63" t="s">
        <v>16</v>
      </c>
      <c r="O493" s="26" t="s">
        <v>42</v>
      </c>
    </row>
    <row r="494" spans="1:15" ht="16.5" customHeight="1">
      <c r="A494" s="56" t="s">
        <v>2732</v>
      </c>
      <c r="B494" s="57" t="s">
        <v>87</v>
      </c>
      <c r="C494" s="56" t="s">
        <v>510</v>
      </c>
      <c r="D494" s="57" t="s">
        <v>511</v>
      </c>
      <c r="E494" s="56">
        <v>116</v>
      </c>
      <c r="F494" s="56">
        <v>108</v>
      </c>
      <c r="G494" s="56">
        <v>122</v>
      </c>
      <c r="H494" s="56">
        <v>77</v>
      </c>
      <c r="I494" s="56">
        <v>86</v>
      </c>
      <c r="J494" s="56">
        <v>66</v>
      </c>
      <c r="K494" s="52">
        <f t="shared" si="23"/>
        <v>575</v>
      </c>
      <c r="L494" s="27">
        <f t="shared" si="24"/>
        <v>46</v>
      </c>
      <c r="M494" s="62">
        <f t="shared" si="22"/>
        <v>207</v>
      </c>
      <c r="N494" s="63" t="s">
        <v>16</v>
      </c>
      <c r="O494" s="26" t="s">
        <v>42</v>
      </c>
    </row>
    <row r="495" spans="1:15" ht="16.5" customHeight="1">
      <c r="A495" s="56" t="s">
        <v>2733</v>
      </c>
      <c r="B495" s="57" t="s">
        <v>87</v>
      </c>
      <c r="C495" s="56" t="s">
        <v>258</v>
      </c>
      <c r="D495" s="57" t="s">
        <v>259</v>
      </c>
      <c r="E495" s="56">
        <v>121</v>
      </c>
      <c r="F495" s="56">
        <v>122</v>
      </c>
      <c r="G495" s="56">
        <v>129</v>
      </c>
      <c r="H495" s="56">
        <v>74</v>
      </c>
      <c r="I495" s="56">
        <v>90</v>
      </c>
      <c r="J495" s="56">
        <v>72</v>
      </c>
      <c r="K495" s="52">
        <f t="shared" si="23"/>
        <v>608</v>
      </c>
      <c r="L495" s="27">
        <f t="shared" si="24"/>
        <v>30</v>
      </c>
      <c r="M495" s="62">
        <f t="shared" si="22"/>
        <v>81</v>
      </c>
      <c r="N495" s="63" t="s">
        <v>16</v>
      </c>
      <c r="O495" s="26" t="s">
        <v>42</v>
      </c>
    </row>
    <row r="496" spans="1:15" ht="16.5" customHeight="1">
      <c r="A496" s="56" t="s">
        <v>2734</v>
      </c>
      <c r="B496" s="57" t="s">
        <v>87</v>
      </c>
      <c r="C496" s="56" t="s">
        <v>575</v>
      </c>
      <c r="D496" s="57" t="s">
        <v>576</v>
      </c>
      <c r="E496" s="56">
        <v>126</v>
      </c>
      <c r="F496" s="56">
        <v>112</v>
      </c>
      <c r="G496" s="56">
        <v>115</v>
      </c>
      <c r="H496" s="56">
        <v>54</v>
      </c>
      <c r="I496" s="56">
        <v>96</v>
      </c>
      <c r="J496" s="56">
        <v>66</v>
      </c>
      <c r="K496" s="52">
        <f t="shared" si="23"/>
        <v>569</v>
      </c>
      <c r="L496" s="27">
        <f t="shared" si="24"/>
        <v>49</v>
      </c>
      <c r="M496" s="62">
        <f t="shared" si="22"/>
        <v>241</v>
      </c>
      <c r="N496" s="63" t="s">
        <v>16</v>
      </c>
      <c r="O496" s="26" t="s">
        <v>44</v>
      </c>
    </row>
    <row r="497" spans="1:15" ht="16.5" customHeight="1">
      <c r="A497" s="56" t="s">
        <v>2735</v>
      </c>
      <c r="B497" s="57" t="s">
        <v>87</v>
      </c>
      <c r="C497" s="56" t="s">
        <v>402</v>
      </c>
      <c r="D497" s="57" t="s">
        <v>403</v>
      </c>
      <c r="E497" s="56">
        <v>101</v>
      </c>
      <c r="F497" s="56">
        <v>104</v>
      </c>
      <c r="G497" s="56">
        <v>130</v>
      </c>
      <c r="H497" s="56">
        <v>83</v>
      </c>
      <c r="I497" s="56">
        <v>94</v>
      </c>
      <c r="J497" s="56">
        <v>76</v>
      </c>
      <c r="K497" s="52">
        <f t="shared" si="23"/>
        <v>588</v>
      </c>
      <c r="L497" s="27">
        <f t="shared" si="24"/>
        <v>41</v>
      </c>
      <c r="M497" s="62">
        <f t="shared" si="22"/>
        <v>152</v>
      </c>
      <c r="N497" s="63" t="s">
        <v>16</v>
      </c>
      <c r="O497" s="26" t="s">
        <v>44</v>
      </c>
    </row>
    <row r="498" spans="1:15" ht="16.5" customHeight="1">
      <c r="A498" s="56" t="s">
        <v>2736</v>
      </c>
      <c r="B498" s="57" t="s">
        <v>87</v>
      </c>
      <c r="C498" s="56" t="s">
        <v>460</v>
      </c>
      <c r="D498" s="57" t="s">
        <v>461</v>
      </c>
      <c r="E498" s="56">
        <v>110</v>
      </c>
      <c r="F498" s="56">
        <v>91</v>
      </c>
      <c r="G498" s="56">
        <v>130</v>
      </c>
      <c r="H498" s="56">
        <v>81</v>
      </c>
      <c r="I498" s="56">
        <v>97</v>
      </c>
      <c r="J498" s="56">
        <v>71</v>
      </c>
      <c r="K498" s="52">
        <f t="shared" si="23"/>
        <v>580</v>
      </c>
      <c r="L498" s="27">
        <f t="shared" si="24"/>
        <v>43</v>
      </c>
      <c r="M498" s="62">
        <f t="shared" si="22"/>
        <v>180</v>
      </c>
      <c r="N498" s="63" t="s">
        <v>16</v>
      </c>
      <c r="O498" s="26" t="s">
        <v>44</v>
      </c>
    </row>
    <row r="499" spans="1:15" ht="16.5" customHeight="1">
      <c r="A499" s="56" t="s">
        <v>2737</v>
      </c>
      <c r="B499" s="57" t="s">
        <v>87</v>
      </c>
      <c r="C499" s="56" t="s">
        <v>282</v>
      </c>
      <c r="D499" s="57" t="s">
        <v>283</v>
      </c>
      <c r="E499" s="56">
        <v>110</v>
      </c>
      <c r="F499" s="56">
        <v>113</v>
      </c>
      <c r="G499" s="56">
        <v>132.5</v>
      </c>
      <c r="H499" s="56">
        <v>72</v>
      </c>
      <c r="I499" s="56">
        <v>97</v>
      </c>
      <c r="J499" s="56">
        <v>79</v>
      </c>
      <c r="K499" s="52">
        <f t="shared" si="23"/>
        <v>603.5</v>
      </c>
      <c r="L499" s="27">
        <f t="shared" si="24"/>
        <v>32</v>
      </c>
      <c r="M499" s="62">
        <f t="shared" si="22"/>
        <v>93</v>
      </c>
      <c r="N499" s="63" t="s">
        <v>16</v>
      </c>
      <c r="O499" s="26" t="s">
        <v>42</v>
      </c>
    </row>
    <row r="500" spans="1:15" ht="16.5" customHeight="1">
      <c r="A500" s="56" t="s">
        <v>2738</v>
      </c>
      <c r="B500" s="57" t="s">
        <v>87</v>
      </c>
      <c r="C500" s="56" t="s">
        <v>144</v>
      </c>
      <c r="D500" s="57" t="s">
        <v>145</v>
      </c>
      <c r="E500" s="56">
        <v>105</v>
      </c>
      <c r="F500" s="56">
        <v>133</v>
      </c>
      <c r="G500" s="56">
        <v>120</v>
      </c>
      <c r="H500" s="56">
        <v>99</v>
      </c>
      <c r="I500" s="56">
        <v>96</v>
      </c>
      <c r="J500" s="56">
        <v>83</v>
      </c>
      <c r="K500" s="52">
        <f t="shared" si="23"/>
        <v>636</v>
      </c>
      <c r="L500" s="27">
        <f t="shared" si="24"/>
        <v>18</v>
      </c>
      <c r="M500" s="62">
        <f t="shared" si="22"/>
        <v>28</v>
      </c>
      <c r="N500" s="63" t="s">
        <v>16</v>
      </c>
      <c r="O500" s="26" t="s">
        <v>44</v>
      </c>
    </row>
    <row r="501" spans="1:15" ht="16.5" customHeight="1">
      <c r="A501" s="56" t="s">
        <v>2739</v>
      </c>
      <c r="B501" s="57" t="s">
        <v>87</v>
      </c>
      <c r="C501" s="56" t="s">
        <v>299</v>
      </c>
      <c r="D501" s="57" t="s">
        <v>300</v>
      </c>
      <c r="E501" s="56">
        <v>119</v>
      </c>
      <c r="F501" s="56">
        <v>96</v>
      </c>
      <c r="G501" s="56">
        <v>127</v>
      </c>
      <c r="H501" s="56">
        <v>87</v>
      </c>
      <c r="I501" s="56">
        <v>90</v>
      </c>
      <c r="J501" s="56">
        <v>81</v>
      </c>
      <c r="K501" s="52">
        <f t="shared" si="23"/>
        <v>600</v>
      </c>
      <c r="L501" s="27">
        <f t="shared" si="24"/>
        <v>34</v>
      </c>
      <c r="M501" s="62">
        <f t="shared" si="22"/>
        <v>101</v>
      </c>
      <c r="N501" s="63" t="s">
        <v>16</v>
      </c>
      <c r="O501" s="26" t="s">
        <v>42</v>
      </c>
    </row>
    <row r="502" spans="1:15" ht="16.5" customHeight="1">
      <c r="A502" s="56" t="s">
        <v>2740</v>
      </c>
      <c r="B502" s="57" t="s">
        <v>87</v>
      </c>
      <c r="C502" s="56" t="s">
        <v>204</v>
      </c>
      <c r="D502" s="57" t="s">
        <v>205</v>
      </c>
      <c r="E502" s="56">
        <v>127</v>
      </c>
      <c r="F502" s="56">
        <v>130</v>
      </c>
      <c r="G502" s="56">
        <v>121</v>
      </c>
      <c r="H502" s="56">
        <v>86</v>
      </c>
      <c r="I502" s="56">
        <v>98</v>
      </c>
      <c r="J502" s="56">
        <v>57</v>
      </c>
      <c r="K502" s="52">
        <f t="shared" si="23"/>
        <v>619</v>
      </c>
      <c r="L502" s="27">
        <f t="shared" si="24"/>
        <v>28</v>
      </c>
      <c r="M502" s="62">
        <f t="shared" si="22"/>
        <v>56</v>
      </c>
      <c r="N502" s="63" t="s">
        <v>16</v>
      </c>
      <c r="O502" s="26" t="s">
        <v>44</v>
      </c>
    </row>
    <row r="503" spans="1:15" ht="16.5" customHeight="1">
      <c r="A503" s="56" t="s">
        <v>2741</v>
      </c>
      <c r="B503" s="57" t="s">
        <v>87</v>
      </c>
      <c r="C503" s="56" t="s">
        <v>146</v>
      </c>
      <c r="D503" s="57" t="s">
        <v>147</v>
      </c>
      <c r="E503" s="56">
        <v>115</v>
      </c>
      <c r="F503" s="56">
        <v>133</v>
      </c>
      <c r="G503" s="56">
        <v>130</v>
      </c>
      <c r="H503" s="56">
        <v>90</v>
      </c>
      <c r="I503" s="56">
        <v>97</v>
      </c>
      <c r="J503" s="56">
        <v>69</v>
      </c>
      <c r="K503" s="52">
        <f t="shared" si="23"/>
        <v>634</v>
      </c>
      <c r="L503" s="27">
        <f t="shared" si="24"/>
        <v>19</v>
      </c>
      <c r="M503" s="62">
        <f t="shared" si="22"/>
        <v>29</v>
      </c>
      <c r="N503" s="63" t="s">
        <v>16</v>
      </c>
      <c r="O503" s="26" t="s">
        <v>42</v>
      </c>
    </row>
    <row r="504" spans="1:15" ht="16.5" customHeight="1">
      <c r="A504" s="56" t="s">
        <v>2742</v>
      </c>
      <c r="B504" s="57" t="s">
        <v>87</v>
      </c>
      <c r="C504" s="56" t="s">
        <v>309</v>
      </c>
      <c r="D504" s="57" t="s">
        <v>310</v>
      </c>
      <c r="E504" s="56">
        <v>102</v>
      </c>
      <c r="F504" s="56">
        <v>127</v>
      </c>
      <c r="G504" s="56">
        <v>114</v>
      </c>
      <c r="H504" s="56">
        <v>93</v>
      </c>
      <c r="I504" s="56">
        <v>87</v>
      </c>
      <c r="J504" s="56">
        <v>76</v>
      </c>
      <c r="K504" s="52">
        <f t="shared" si="23"/>
        <v>599</v>
      </c>
      <c r="L504" s="27">
        <f t="shared" si="24"/>
        <v>35</v>
      </c>
      <c r="M504" s="62">
        <f t="shared" si="22"/>
        <v>105</v>
      </c>
      <c r="N504" s="63" t="s">
        <v>16</v>
      </c>
      <c r="O504" s="26" t="s">
        <v>42</v>
      </c>
    </row>
    <row r="505" spans="1:15" ht="16.5" customHeight="1">
      <c r="A505" s="56" t="s">
        <v>2743</v>
      </c>
      <c r="B505" s="57" t="s">
        <v>87</v>
      </c>
      <c r="C505" s="56" t="s">
        <v>163</v>
      </c>
      <c r="D505" s="57" t="s">
        <v>164</v>
      </c>
      <c r="E505" s="56">
        <v>119</v>
      </c>
      <c r="F505" s="56">
        <v>121</v>
      </c>
      <c r="G505" s="56">
        <v>125.5</v>
      </c>
      <c r="H505" s="56">
        <v>81</v>
      </c>
      <c r="I505" s="56">
        <v>100</v>
      </c>
      <c r="J505" s="56">
        <v>81</v>
      </c>
      <c r="K505" s="52">
        <f t="shared" si="23"/>
        <v>627.5</v>
      </c>
      <c r="L505" s="27">
        <f t="shared" si="24"/>
        <v>22</v>
      </c>
      <c r="M505" s="62">
        <f t="shared" si="22"/>
        <v>37</v>
      </c>
      <c r="N505" s="63" t="s">
        <v>16</v>
      </c>
      <c r="O505" s="26" t="s">
        <v>42</v>
      </c>
    </row>
    <row r="506" spans="1:15" ht="16.5" customHeight="1">
      <c r="A506" s="56" t="s">
        <v>2744</v>
      </c>
      <c r="B506" s="57" t="s">
        <v>87</v>
      </c>
      <c r="C506" s="56" t="s">
        <v>372</v>
      </c>
      <c r="D506" s="57" t="s">
        <v>373</v>
      </c>
      <c r="E506" s="56">
        <v>116</v>
      </c>
      <c r="F506" s="56">
        <v>105</v>
      </c>
      <c r="G506" s="56">
        <v>119</v>
      </c>
      <c r="H506" s="56">
        <v>77</v>
      </c>
      <c r="I506" s="56">
        <v>99</v>
      </c>
      <c r="J506" s="56">
        <v>74</v>
      </c>
      <c r="K506" s="52">
        <f t="shared" si="23"/>
        <v>590</v>
      </c>
      <c r="L506" s="27">
        <f t="shared" si="24"/>
        <v>40</v>
      </c>
      <c r="M506" s="62">
        <f t="shared" si="22"/>
        <v>138</v>
      </c>
      <c r="N506" s="63" t="s">
        <v>16</v>
      </c>
      <c r="O506" s="26" t="s">
        <v>44</v>
      </c>
    </row>
    <row r="507" spans="1:15" ht="16.5" customHeight="1">
      <c r="A507" s="56" t="s">
        <v>2745</v>
      </c>
      <c r="B507" s="57" t="s">
        <v>87</v>
      </c>
      <c r="C507" s="56" t="s">
        <v>93</v>
      </c>
      <c r="D507" s="57" t="s">
        <v>94</v>
      </c>
      <c r="E507" s="56">
        <v>119</v>
      </c>
      <c r="F507" s="56">
        <v>131</v>
      </c>
      <c r="G507" s="56">
        <v>128.5</v>
      </c>
      <c r="H507" s="56">
        <v>106</v>
      </c>
      <c r="I507" s="56">
        <v>96</v>
      </c>
      <c r="J507" s="56">
        <v>84</v>
      </c>
      <c r="K507" s="52">
        <f t="shared" si="23"/>
        <v>664.5</v>
      </c>
      <c r="L507" s="27">
        <f t="shared" si="24"/>
        <v>3</v>
      </c>
      <c r="M507" s="62">
        <f t="shared" si="22"/>
        <v>5</v>
      </c>
      <c r="N507" s="63" t="s">
        <v>16</v>
      </c>
      <c r="O507" s="26" t="s">
        <v>42</v>
      </c>
    </row>
    <row r="508" spans="1:15" ht="16.5" customHeight="1">
      <c r="A508" s="56" t="s">
        <v>2746</v>
      </c>
      <c r="B508" s="57" t="s">
        <v>122</v>
      </c>
      <c r="C508" s="56" t="s">
        <v>458</v>
      </c>
      <c r="D508" s="57" t="s">
        <v>459</v>
      </c>
      <c r="E508" s="56">
        <v>117</v>
      </c>
      <c r="F508" s="56">
        <v>108</v>
      </c>
      <c r="G508" s="56">
        <v>116</v>
      </c>
      <c r="H508" s="56">
        <v>76</v>
      </c>
      <c r="I508" s="56">
        <v>91</v>
      </c>
      <c r="J508" s="56">
        <v>72</v>
      </c>
      <c r="K508" s="52">
        <f t="shared" si="23"/>
        <v>580</v>
      </c>
      <c r="L508" s="27">
        <f>RANK(K508,$K$508:$K$559)</f>
        <v>23</v>
      </c>
      <c r="M508" s="62">
        <f t="shared" si="22"/>
        <v>180</v>
      </c>
      <c r="N508" s="63" t="s">
        <v>16</v>
      </c>
      <c r="O508" s="26" t="s">
        <v>44</v>
      </c>
    </row>
    <row r="509" spans="1:15" ht="16.5" customHeight="1">
      <c r="A509" s="56" t="s">
        <v>2747</v>
      </c>
      <c r="B509" s="57" t="s">
        <v>122</v>
      </c>
      <c r="C509" s="56" t="s">
        <v>908</v>
      </c>
      <c r="D509" s="57" t="s">
        <v>909</v>
      </c>
      <c r="E509" s="56">
        <v>103</v>
      </c>
      <c r="F509" s="56">
        <v>78</v>
      </c>
      <c r="G509" s="56">
        <v>121.5</v>
      </c>
      <c r="H509" s="56">
        <v>63</v>
      </c>
      <c r="I509" s="56">
        <v>89</v>
      </c>
      <c r="J509" s="56">
        <v>81</v>
      </c>
      <c r="K509" s="52">
        <f t="shared" si="23"/>
        <v>535.5</v>
      </c>
      <c r="L509" s="27">
        <f t="shared" ref="L509:L559" si="25">RANK(K509,$K$508:$K$559)</f>
        <v>46</v>
      </c>
      <c r="M509" s="62">
        <f t="shared" si="22"/>
        <v>408</v>
      </c>
      <c r="N509" s="63" t="s">
        <v>16</v>
      </c>
      <c r="O509" s="26" t="s">
        <v>42</v>
      </c>
    </row>
    <row r="510" spans="1:15" ht="16.5" customHeight="1">
      <c r="A510" s="56" t="s">
        <v>2748</v>
      </c>
      <c r="B510" s="57" t="s">
        <v>122</v>
      </c>
      <c r="C510" s="56" t="s">
        <v>181</v>
      </c>
      <c r="D510" s="57" t="s">
        <v>182</v>
      </c>
      <c r="E510" s="56">
        <v>109</v>
      </c>
      <c r="F510" s="56">
        <v>137</v>
      </c>
      <c r="G510" s="56">
        <v>110.5</v>
      </c>
      <c r="H510" s="56">
        <v>86</v>
      </c>
      <c r="I510" s="56">
        <v>99</v>
      </c>
      <c r="J510" s="56">
        <v>83</v>
      </c>
      <c r="K510" s="52">
        <f t="shared" si="23"/>
        <v>624.5</v>
      </c>
      <c r="L510" s="27">
        <f t="shared" si="25"/>
        <v>5</v>
      </c>
      <c r="M510" s="62">
        <f t="shared" si="22"/>
        <v>45</v>
      </c>
      <c r="N510" s="63" t="s">
        <v>16</v>
      </c>
      <c r="O510" s="26" t="s">
        <v>44</v>
      </c>
    </row>
    <row r="511" spans="1:15" ht="16.5" customHeight="1">
      <c r="A511" s="56" t="s">
        <v>2749</v>
      </c>
      <c r="B511" s="57" t="s">
        <v>122</v>
      </c>
      <c r="C511" s="56" t="s">
        <v>157</v>
      </c>
      <c r="D511" s="57" t="s">
        <v>158</v>
      </c>
      <c r="E511" s="56">
        <v>109</v>
      </c>
      <c r="F511" s="56">
        <v>134</v>
      </c>
      <c r="G511" s="56">
        <v>122.5</v>
      </c>
      <c r="H511" s="56">
        <v>89</v>
      </c>
      <c r="I511" s="56">
        <v>96</v>
      </c>
      <c r="J511" s="56">
        <v>78</v>
      </c>
      <c r="K511" s="52">
        <f t="shared" si="23"/>
        <v>628.5</v>
      </c>
      <c r="L511" s="27">
        <f t="shared" si="25"/>
        <v>3</v>
      </c>
      <c r="M511" s="62">
        <f t="shared" si="22"/>
        <v>34</v>
      </c>
      <c r="N511" s="63" t="s">
        <v>16</v>
      </c>
      <c r="O511" s="26" t="s">
        <v>2243</v>
      </c>
    </row>
    <row r="512" spans="1:15" ht="16.5" customHeight="1">
      <c r="A512" s="56" t="s">
        <v>2750</v>
      </c>
      <c r="B512" s="57" t="s">
        <v>122</v>
      </c>
      <c r="C512" s="56" t="s">
        <v>864</v>
      </c>
      <c r="D512" s="57" t="s">
        <v>865</v>
      </c>
      <c r="E512" s="56">
        <v>104</v>
      </c>
      <c r="F512" s="56">
        <v>91</v>
      </c>
      <c r="G512" s="56">
        <v>117.5</v>
      </c>
      <c r="H512" s="56">
        <v>82</v>
      </c>
      <c r="I512" s="56">
        <v>85</v>
      </c>
      <c r="J512" s="56">
        <v>60</v>
      </c>
      <c r="K512" s="52">
        <f t="shared" si="23"/>
        <v>539.5</v>
      </c>
      <c r="L512" s="27">
        <f t="shared" si="25"/>
        <v>41</v>
      </c>
      <c r="M512" s="62">
        <f t="shared" si="22"/>
        <v>383</v>
      </c>
      <c r="N512" s="63" t="s">
        <v>16</v>
      </c>
      <c r="O512" s="26" t="s">
        <v>44</v>
      </c>
    </row>
    <row r="513" spans="1:15" ht="16.5" customHeight="1">
      <c r="A513" s="56" t="s">
        <v>2751</v>
      </c>
      <c r="B513" s="57" t="s">
        <v>122</v>
      </c>
      <c r="C513" s="56" t="s">
        <v>529</v>
      </c>
      <c r="D513" s="57" t="s">
        <v>530</v>
      </c>
      <c r="E513" s="56">
        <v>100</v>
      </c>
      <c r="F513" s="56">
        <v>117</v>
      </c>
      <c r="G513" s="56">
        <v>114</v>
      </c>
      <c r="H513" s="56">
        <v>90</v>
      </c>
      <c r="I513" s="56">
        <v>89</v>
      </c>
      <c r="J513" s="56">
        <v>64</v>
      </c>
      <c r="K513" s="52">
        <f t="shared" si="23"/>
        <v>574</v>
      </c>
      <c r="L513" s="27">
        <f t="shared" si="25"/>
        <v>26</v>
      </c>
      <c r="M513" s="62">
        <f t="shared" si="22"/>
        <v>215</v>
      </c>
      <c r="N513" s="63" t="s">
        <v>16</v>
      </c>
      <c r="O513" s="26" t="s">
        <v>44</v>
      </c>
    </row>
    <row r="514" spans="1:15" ht="16.5" customHeight="1">
      <c r="A514" s="56" t="s">
        <v>2752</v>
      </c>
      <c r="B514" s="57" t="s">
        <v>122</v>
      </c>
      <c r="C514" s="56" t="s">
        <v>619</v>
      </c>
      <c r="D514" s="57" t="s">
        <v>620</v>
      </c>
      <c r="E514" s="56">
        <v>115</v>
      </c>
      <c r="F514" s="56">
        <v>111</v>
      </c>
      <c r="G514" s="56">
        <v>120.5</v>
      </c>
      <c r="H514" s="56">
        <v>53</v>
      </c>
      <c r="I514" s="56">
        <v>92</v>
      </c>
      <c r="J514" s="56">
        <v>72</v>
      </c>
      <c r="K514" s="52">
        <f t="shared" si="23"/>
        <v>563.5</v>
      </c>
      <c r="L514" s="27">
        <f t="shared" si="25"/>
        <v>30</v>
      </c>
      <c r="M514" s="62">
        <f t="shared" si="22"/>
        <v>263</v>
      </c>
      <c r="N514" s="63" t="s">
        <v>16</v>
      </c>
      <c r="O514" s="26" t="s">
        <v>44</v>
      </c>
    </row>
    <row r="515" spans="1:15" ht="16.5" customHeight="1">
      <c r="A515" s="56" t="s">
        <v>2753</v>
      </c>
      <c r="B515" s="57" t="s">
        <v>122</v>
      </c>
      <c r="C515" s="56" t="s">
        <v>663</v>
      </c>
      <c r="D515" s="57" t="s">
        <v>664</v>
      </c>
      <c r="E515" s="56">
        <v>108</v>
      </c>
      <c r="F515" s="56">
        <v>83</v>
      </c>
      <c r="G515" s="56">
        <v>127.5</v>
      </c>
      <c r="H515" s="56">
        <v>73</v>
      </c>
      <c r="I515" s="56">
        <v>93</v>
      </c>
      <c r="J515" s="56">
        <v>74</v>
      </c>
      <c r="K515" s="52">
        <f t="shared" si="23"/>
        <v>558.5</v>
      </c>
      <c r="L515" s="27">
        <f t="shared" si="25"/>
        <v>34</v>
      </c>
      <c r="M515" s="62">
        <f t="shared" ref="M515:M578" si="26">RANK(K515,$K$3:$K$953)</f>
        <v>284</v>
      </c>
      <c r="N515" s="63" t="s">
        <v>16</v>
      </c>
      <c r="O515" s="26" t="s">
        <v>42</v>
      </c>
    </row>
    <row r="516" spans="1:15" ht="16.5" customHeight="1">
      <c r="A516" s="56" t="s">
        <v>2754</v>
      </c>
      <c r="B516" s="57" t="s">
        <v>122</v>
      </c>
      <c r="C516" s="56" t="s">
        <v>611</v>
      </c>
      <c r="D516" s="57" t="s">
        <v>612</v>
      </c>
      <c r="E516" s="56">
        <v>115</v>
      </c>
      <c r="F516" s="56">
        <v>99</v>
      </c>
      <c r="G516" s="56">
        <v>119</v>
      </c>
      <c r="H516" s="56">
        <v>67</v>
      </c>
      <c r="I516" s="56">
        <v>92</v>
      </c>
      <c r="J516" s="56">
        <v>73</v>
      </c>
      <c r="K516" s="52">
        <f t="shared" ref="K516:K579" si="27">SUM(E516:J516)</f>
        <v>565</v>
      </c>
      <c r="L516" s="27">
        <f t="shared" si="25"/>
        <v>29</v>
      </c>
      <c r="M516" s="62">
        <f t="shared" si="26"/>
        <v>256</v>
      </c>
      <c r="N516" s="63" t="s">
        <v>16</v>
      </c>
      <c r="O516" s="26" t="s">
        <v>44</v>
      </c>
    </row>
    <row r="517" spans="1:15" ht="16.5" customHeight="1">
      <c r="A517" s="56" t="s">
        <v>2755</v>
      </c>
      <c r="B517" s="57" t="s">
        <v>122</v>
      </c>
      <c r="C517" s="56" t="s">
        <v>832</v>
      </c>
      <c r="D517" s="57" t="s">
        <v>833</v>
      </c>
      <c r="E517" s="56">
        <v>105</v>
      </c>
      <c r="F517" s="56">
        <v>100</v>
      </c>
      <c r="G517" s="56">
        <v>107</v>
      </c>
      <c r="H517" s="56">
        <v>73</v>
      </c>
      <c r="I517" s="56">
        <v>86</v>
      </c>
      <c r="J517" s="56">
        <v>71</v>
      </c>
      <c r="K517" s="52">
        <f t="shared" si="27"/>
        <v>542</v>
      </c>
      <c r="L517" s="27">
        <f t="shared" si="25"/>
        <v>39</v>
      </c>
      <c r="M517" s="62">
        <f t="shared" si="26"/>
        <v>367</v>
      </c>
      <c r="N517" s="63" t="s">
        <v>16</v>
      </c>
      <c r="O517" s="26" t="s">
        <v>44</v>
      </c>
    </row>
    <row r="518" spans="1:15" ht="16.5" customHeight="1">
      <c r="A518" s="56" t="s">
        <v>2756</v>
      </c>
      <c r="B518" s="57" t="s">
        <v>122</v>
      </c>
      <c r="C518" s="56" t="s">
        <v>880</v>
      </c>
      <c r="D518" s="57" t="s">
        <v>881</v>
      </c>
      <c r="E518" s="56">
        <v>103</v>
      </c>
      <c r="F518" s="56">
        <v>102</v>
      </c>
      <c r="G518" s="56">
        <v>101</v>
      </c>
      <c r="H518" s="56">
        <v>66</v>
      </c>
      <c r="I518" s="56">
        <v>87</v>
      </c>
      <c r="J518" s="56">
        <v>79</v>
      </c>
      <c r="K518" s="52">
        <f t="shared" si="27"/>
        <v>538</v>
      </c>
      <c r="L518" s="27">
        <f t="shared" si="25"/>
        <v>42</v>
      </c>
      <c r="M518" s="62">
        <f t="shared" si="26"/>
        <v>393</v>
      </c>
      <c r="N518" s="63" t="s">
        <v>16</v>
      </c>
      <c r="O518" s="26" t="s">
        <v>44</v>
      </c>
    </row>
    <row r="519" spans="1:15" ht="16.5" customHeight="1">
      <c r="A519" s="56" t="s">
        <v>2757</v>
      </c>
      <c r="B519" s="57" t="s">
        <v>122</v>
      </c>
      <c r="C519" s="56" t="s">
        <v>404</v>
      </c>
      <c r="D519" s="57" t="s">
        <v>405</v>
      </c>
      <c r="E519" s="56">
        <v>115</v>
      </c>
      <c r="F519" s="56">
        <v>106</v>
      </c>
      <c r="G519" s="56">
        <v>125.5</v>
      </c>
      <c r="H519" s="56">
        <v>69</v>
      </c>
      <c r="I519" s="56">
        <v>96</v>
      </c>
      <c r="J519" s="56">
        <v>76</v>
      </c>
      <c r="K519" s="52">
        <f t="shared" si="27"/>
        <v>587.5</v>
      </c>
      <c r="L519" s="27">
        <f t="shared" si="25"/>
        <v>20</v>
      </c>
      <c r="M519" s="62">
        <f t="shared" si="26"/>
        <v>154</v>
      </c>
      <c r="N519" s="63" t="s">
        <v>16</v>
      </c>
      <c r="O519" s="26" t="s">
        <v>42</v>
      </c>
    </row>
    <row r="520" spans="1:15" ht="16.5" customHeight="1">
      <c r="A520" s="56" t="s">
        <v>2758</v>
      </c>
      <c r="B520" s="57" t="s">
        <v>122</v>
      </c>
      <c r="C520" s="56" t="s">
        <v>301</v>
      </c>
      <c r="D520" s="57" t="s">
        <v>302</v>
      </c>
      <c r="E520" s="56">
        <v>111</v>
      </c>
      <c r="F520" s="56">
        <v>132</v>
      </c>
      <c r="G520" s="56">
        <v>115</v>
      </c>
      <c r="H520" s="56">
        <v>84</v>
      </c>
      <c r="I520" s="56">
        <v>93</v>
      </c>
      <c r="J520" s="56">
        <v>65</v>
      </c>
      <c r="K520" s="52">
        <f t="shared" si="27"/>
        <v>600</v>
      </c>
      <c r="L520" s="27">
        <f t="shared" si="25"/>
        <v>9</v>
      </c>
      <c r="M520" s="62">
        <f t="shared" si="26"/>
        <v>101</v>
      </c>
      <c r="N520" s="63" t="s">
        <v>16</v>
      </c>
      <c r="O520" s="26" t="s">
        <v>44</v>
      </c>
    </row>
    <row r="521" spans="1:15" ht="16.5" customHeight="1">
      <c r="A521" s="56" t="s">
        <v>2759</v>
      </c>
      <c r="B521" s="57" t="s">
        <v>122</v>
      </c>
      <c r="C521" s="56" t="s">
        <v>673</v>
      </c>
      <c r="D521" s="57" t="s">
        <v>674</v>
      </c>
      <c r="E521" s="56">
        <v>106</v>
      </c>
      <c r="F521" s="56">
        <v>122</v>
      </c>
      <c r="G521" s="56">
        <v>115.5</v>
      </c>
      <c r="H521" s="56">
        <v>48</v>
      </c>
      <c r="I521" s="56">
        <v>93</v>
      </c>
      <c r="J521" s="56">
        <v>73</v>
      </c>
      <c r="K521" s="52">
        <f t="shared" si="27"/>
        <v>557.5</v>
      </c>
      <c r="L521" s="27">
        <f t="shared" si="25"/>
        <v>35</v>
      </c>
      <c r="M521" s="62">
        <f t="shared" si="26"/>
        <v>289</v>
      </c>
      <c r="N521" s="63" t="s">
        <v>16</v>
      </c>
      <c r="O521" s="26" t="s">
        <v>2243</v>
      </c>
    </row>
    <row r="522" spans="1:15" ht="16.5" customHeight="1">
      <c r="A522" s="56" t="s">
        <v>2760</v>
      </c>
      <c r="B522" s="57" t="s">
        <v>122</v>
      </c>
      <c r="C522" s="56" t="s">
        <v>577</v>
      </c>
      <c r="D522" s="57" t="s">
        <v>578</v>
      </c>
      <c r="E522" s="56">
        <v>104</v>
      </c>
      <c r="F522" s="56">
        <v>118</v>
      </c>
      <c r="G522" s="56">
        <v>115</v>
      </c>
      <c r="H522" s="56">
        <v>81</v>
      </c>
      <c r="I522" s="56">
        <v>88</v>
      </c>
      <c r="J522" s="56">
        <v>63</v>
      </c>
      <c r="K522" s="52">
        <f t="shared" si="27"/>
        <v>569</v>
      </c>
      <c r="L522" s="27">
        <f t="shared" si="25"/>
        <v>27</v>
      </c>
      <c r="M522" s="62">
        <f t="shared" si="26"/>
        <v>241</v>
      </c>
      <c r="N522" s="63" t="s">
        <v>16</v>
      </c>
      <c r="O522" s="26" t="s">
        <v>44</v>
      </c>
    </row>
    <row r="523" spans="1:15" ht="16.5" customHeight="1">
      <c r="A523" s="56" t="s">
        <v>2761</v>
      </c>
      <c r="B523" s="57" t="s">
        <v>122</v>
      </c>
      <c r="C523" s="56" t="s">
        <v>120</v>
      </c>
      <c r="D523" s="57" t="s">
        <v>121</v>
      </c>
      <c r="E523" s="56">
        <v>116</v>
      </c>
      <c r="F523" s="56">
        <v>143</v>
      </c>
      <c r="G523" s="56">
        <v>125.5</v>
      </c>
      <c r="H523" s="56">
        <v>97</v>
      </c>
      <c r="I523" s="56">
        <v>93</v>
      </c>
      <c r="J523" s="56">
        <v>72</v>
      </c>
      <c r="K523" s="52">
        <f t="shared" si="27"/>
        <v>646.5</v>
      </c>
      <c r="L523" s="27">
        <f t="shared" si="25"/>
        <v>1</v>
      </c>
      <c r="M523" s="62">
        <f t="shared" si="26"/>
        <v>17</v>
      </c>
      <c r="N523" s="63" t="s">
        <v>16</v>
      </c>
      <c r="O523" s="26" t="s">
        <v>44</v>
      </c>
    </row>
    <row r="524" spans="1:15" ht="16.5" customHeight="1">
      <c r="A524" s="56" t="s">
        <v>2762</v>
      </c>
      <c r="B524" s="57" t="s">
        <v>122</v>
      </c>
      <c r="C524" s="56" t="s">
        <v>1152</v>
      </c>
      <c r="D524" s="57" t="s">
        <v>1153</v>
      </c>
      <c r="E524" s="56">
        <v>100</v>
      </c>
      <c r="F524" s="56">
        <v>90</v>
      </c>
      <c r="G524" s="56">
        <v>110.5</v>
      </c>
      <c r="H524" s="56">
        <v>64</v>
      </c>
      <c r="I524" s="56">
        <v>89</v>
      </c>
      <c r="J524" s="56">
        <v>63</v>
      </c>
      <c r="K524" s="52">
        <f t="shared" si="27"/>
        <v>516.5</v>
      </c>
      <c r="L524" s="27">
        <f t="shared" si="25"/>
        <v>49</v>
      </c>
      <c r="M524" s="62">
        <f t="shared" si="26"/>
        <v>529</v>
      </c>
      <c r="N524" s="63" t="s">
        <v>16</v>
      </c>
      <c r="O524" s="26" t="s">
        <v>44</v>
      </c>
    </row>
    <row r="525" spans="1:15" ht="16.5" customHeight="1">
      <c r="A525" s="56" t="s">
        <v>2763</v>
      </c>
      <c r="B525" s="57" t="s">
        <v>122</v>
      </c>
      <c r="C525" s="56" t="s">
        <v>1368</v>
      </c>
      <c r="D525" s="57" t="s">
        <v>1369</v>
      </c>
      <c r="E525" s="56">
        <v>112</v>
      </c>
      <c r="F525" s="56">
        <v>81</v>
      </c>
      <c r="G525" s="56">
        <v>101</v>
      </c>
      <c r="H525" s="56">
        <v>55</v>
      </c>
      <c r="I525" s="56">
        <v>91</v>
      </c>
      <c r="J525" s="56">
        <v>60</v>
      </c>
      <c r="K525" s="52">
        <f t="shared" si="27"/>
        <v>500</v>
      </c>
      <c r="L525" s="27">
        <f t="shared" si="25"/>
        <v>51</v>
      </c>
      <c r="M525" s="62">
        <f t="shared" si="26"/>
        <v>636</v>
      </c>
      <c r="N525" s="63" t="s">
        <v>16</v>
      </c>
      <c r="O525" s="26" t="s">
        <v>44</v>
      </c>
    </row>
    <row r="526" spans="1:15" ht="16.5" customHeight="1">
      <c r="A526" s="56" t="s">
        <v>2764</v>
      </c>
      <c r="B526" s="57" t="s">
        <v>122</v>
      </c>
      <c r="C526" s="56" t="s">
        <v>900</v>
      </c>
      <c r="D526" s="57" t="s">
        <v>901</v>
      </c>
      <c r="E526" s="56">
        <v>96</v>
      </c>
      <c r="F526" s="56">
        <v>101</v>
      </c>
      <c r="G526" s="56">
        <v>117</v>
      </c>
      <c r="H526" s="56">
        <v>71</v>
      </c>
      <c r="I526" s="56">
        <v>88</v>
      </c>
      <c r="J526" s="56">
        <v>64</v>
      </c>
      <c r="K526" s="52">
        <f t="shared" si="27"/>
        <v>537</v>
      </c>
      <c r="L526" s="27">
        <f t="shared" si="25"/>
        <v>44</v>
      </c>
      <c r="M526" s="62">
        <f t="shared" si="26"/>
        <v>400</v>
      </c>
      <c r="N526" s="63" t="s">
        <v>16</v>
      </c>
      <c r="O526" s="26" t="s">
        <v>44</v>
      </c>
    </row>
    <row r="527" spans="1:15" ht="16.5" customHeight="1">
      <c r="A527" s="56" t="s">
        <v>2765</v>
      </c>
      <c r="B527" s="57" t="s">
        <v>122</v>
      </c>
      <c r="C527" s="56" t="s">
        <v>484</v>
      </c>
      <c r="D527" s="57" t="s">
        <v>485</v>
      </c>
      <c r="E527" s="56">
        <v>118</v>
      </c>
      <c r="F527" s="56">
        <v>95</v>
      </c>
      <c r="G527" s="56">
        <v>120.5</v>
      </c>
      <c r="H527" s="56">
        <v>73</v>
      </c>
      <c r="I527" s="56">
        <v>92</v>
      </c>
      <c r="J527" s="56">
        <v>80</v>
      </c>
      <c r="K527" s="52">
        <f t="shared" si="27"/>
        <v>578.5</v>
      </c>
      <c r="L527" s="27">
        <f t="shared" si="25"/>
        <v>24</v>
      </c>
      <c r="M527" s="62">
        <f t="shared" si="26"/>
        <v>192</v>
      </c>
      <c r="N527" s="63" t="s">
        <v>16</v>
      </c>
      <c r="O527" s="26" t="s">
        <v>44</v>
      </c>
    </row>
    <row r="528" spans="1:15" ht="16.5" customHeight="1">
      <c r="A528" s="56" t="s">
        <v>2766</v>
      </c>
      <c r="B528" s="57" t="s">
        <v>122</v>
      </c>
      <c r="C528" s="56" t="s">
        <v>639</v>
      </c>
      <c r="D528" s="57" t="s">
        <v>640</v>
      </c>
      <c r="E528" s="56">
        <v>125</v>
      </c>
      <c r="F528" s="56">
        <v>96</v>
      </c>
      <c r="G528" s="56">
        <v>118.5</v>
      </c>
      <c r="H528" s="56">
        <v>63</v>
      </c>
      <c r="I528" s="56">
        <v>91</v>
      </c>
      <c r="J528" s="56">
        <v>68</v>
      </c>
      <c r="K528" s="52">
        <f t="shared" si="27"/>
        <v>561.5</v>
      </c>
      <c r="L528" s="27">
        <f t="shared" si="25"/>
        <v>31</v>
      </c>
      <c r="M528" s="62">
        <f t="shared" si="26"/>
        <v>273</v>
      </c>
      <c r="N528" s="63" t="s">
        <v>16</v>
      </c>
      <c r="O528" s="26" t="s">
        <v>42</v>
      </c>
    </row>
    <row r="529" spans="1:15" ht="16.5" customHeight="1">
      <c r="A529" s="56" t="s">
        <v>2767</v>
      </c>
      <c r="B529" s="57" t="s">
        <v>122</v>
      </c>
      <c r="C529" s="56" t="s">
        <v>920</v>
      </c>
      <c r="D529" s="57" t="s">
        <v>921</v>
      </c>
      <c r="E529" s="56">
        <v>102</v>
      </c>
      <c r="F529" s="56">
        <v>86</v>
      </c>
      <c r="G529" s="56">
        <v>116.5</v>
      </c>
      <c r="H529" s="56">
        <v>80</v>
      </c>
      <c r="I529" s="56">
        <v>85</v>
      </c>
      <c r="J529" s="56">
        <v>64</v>
      </c>
      <c r="K529" s="52">
        <f t="shared" si="27"/>
        <v>533.5</v>
      </c>
      <c r="L529" s="27">
        <f t="shared" si="25"/>
        <v>47</v>
      </c>
      <c r="M529" s="62">
        <f t="shared" si="26"/>
        <v>413</v>
      </c>
      <c r="N529" s="63" t="s">
        <v>16</v>
      </c>
      <c r="O529" s="26" t="s">
        <v>44</v>
      </c>
    </row>
    <row r="530" spans="1:15" ht="16.5" customHeight="1">
      <c r="A530" s="56" t="s">
        <v>2768</v>
      </c>
      <c r="B530" s="57" t="s">
        <v>122</v>
      </c>
      <c r="C530" s="56" t="s">
        <v>179</v>
      </c>
      <c r="D530" s="57" t="s">
        <v>180</v>
      </c>
      <c r="E530" s="56">
        <v>117</v>
      </c>
      <c r="F530" s="56">
        <v>141</v>
      </c>
      <c r="G530" s="56">
        <v>107.5</v>
      </c>
      <c r="H530" s="56">
        <v>94</v>
      </c>
      <c r="I530" s="56">
        <v>95</v>
      </c>
      <c r="J530" s="56">
        <v>71</v>
      </c>
      <c r="K530" s="52">
        <f t="shared" si="27"/>
        <v>625.5</v>
      </c>
      <c r="L530" s="27">
        <f t="shared" si="25"/>
        <v>4</v>
      </c>
      <c r="M530" s="62">
        <f t="shared" si="26"/>
        <v>44</v>
      </c>
      <c r="N530" s="63" t="s">
        <v>16</v>
      </c>
      <c r="O530" s="26" t="s">
        <v>44</v>
      </c>
    </row>
    <row r="531" spans="1:15" ht="16.5" customHeight="1">
      <c r="A531" s="56" t="s">
        <v>2769</v>
      </c>
      <c r="B531" s="57" t="s">
        <v>122</v>
      </c>
      <c r="C531" s="56" t="s">
        <v>1510</v>
      </c>
      <c r="D531" s="57" t="s">
        <v>1511</v>
      </c>
      <c r="E531" s="56">
        <v>94</v>
      </c>
      <c r="F531" s="56">
        <v>90</v>
      </c>
      <c r="G531" s="56">
        <v>99</v>
      </c>
      <c r="H531" s="56">
        <v>62</v>
      </c>
      <c r="I531" s="56">
        <v>86</v>
      </c>
      <c r="J531" s="56">
        <v>55</v>
      </c>
      <c r="K531" s="52">
        <f t="shared" si="27"/>
        <v>486</v>
      </c>
      <c r="L531" s="27">
        <f t="shared" si="25"/>
        <v>52</v>
      </c>
      <c r="M531" s="62">
        <f t="shared" si="26"/>
        <v>708</v>
      </c>
      <c r="N531" s="63" t="s">
        <v>16</v>
      </c>
      <c r="O531" s="26" t="s">
        <v>44</v>
      </c>
    </row>
    <row r="532" spans="1:15" ht="16.5" customHeight="1">
      <c r="A532" s="56" t="s">
        <v>2770</v>
      </c>
      <c r="B532" s="57" t="s">
        <v>122</v>
      </c>
      <c r="C532" s="56" t="s">
        <v>788</v>
      </c>
      <c r="D532" s="57" t="s">
        <v>789</v>
      </c>
      <c r="E532" s="56">
        <v>115</v>
      </c>
      <c r="F532" s="56">
        <v>109</v>
      </c>
      <c r="G532" s="56">
        <v>111</v>
      </c>
      <c r="H532" s="56">
        <v>71</v>
      </c>
      <c r="I532" s="56">
        <v>79</v>
      </c>
      <c r="J532" s="56">
        <v>62</v>
      </c>
      <c r="K532" s="52">
        <f t="shared" si="27"/>
        <v>547</v>
      </c>
      <c r="L532" s="27">
        <f t="shared" si="25"/>
        <v>37</v>
      </c>
      <c r="M532" s="62">
        <f t="shared" si="26"/>
        <v>344</v>
      </c>
      <c r="N532" s="63" t="s">
        <v>16</v>
      </c>
      <c r="O532" s="26" t="s">
        <v>42</v>
      </c>
    </row>
    <row r="533" spans="1:15" ht="16.5" customHeight="1">
      <c r="A533" s="56" t="s">
        <v>2771</v>
      </c>
      <c r="B533" s="57" t="s">
        <v>122</v>
      </c>
      <c r="C533" s="56" t="s">
        <v>274</v>
      </c>
      <c r="D533" s="57" t="s">
        <v>275</v>
      </c>
      <c r="E533" s="56">
        <v>121</v>
      </c>
      <c r="F533" s="56">
        <v>102</v>
      </c>
      <c r="G533" s="56">
        <v>131.5</v>
      </c>
      <c r="H533" s="56">
        <v>76</v>
      </c>
      <c r="I533" s="56">
        <v>97</v>
      </c>
      <c r="J533" s="56">
        <v>78</v>
      </c>
      <c r="K533" s="52">
        <f t="shared" si="27"/>
        <v>605.5</v>
      </c>
      <c r="L533" s="27">
        <f t="shared" si="25"/>
        <v>8</v>
      </c>
      <c r="M533" s="62">
        <f t="shared" si="26"/>
        <v>88</v>
      </c>
      <c r="N533" s="63" t="s">
        <v>16</v>
      </c>
      <c r="O533" s="26" t="s">
        <v>44</v>
      </c>
    </row>
    <row r="534" spans="1:15" ht="16.5" customHeight="1">
      <c r="A534" s="56" t="s">
        <v>2772</v>
      </c>
      <c r="B534" s="57" t="s">
        <v>122</v>
      </c>
      <c r="C534" s="56" t="s">
        <v>655</v>
      </c>
      <c r="D534" s="57" t="s">
        <v>656</v>
      </c>
      <c r="E534" s="56">
        <v>109</v>
      </c>
      <c r="F534" s="56">
        <v>108</v>
      </c>
      <c r="G534" s="56">
        <v>116</v>
      </c>
      <c r="H534" s="56">
        <v>72</v>
      </c>
      <c r="I534" s="56">
        <v>86</v>
      </c>
      <c r="J534" s="56">
        <v>68</v>
      </c>
      <c r="K534" s="52">
        <f t="shared" si="27"/>
        <v>559</v>
      </c>
      <c r="L534" s="27">
        <f t="shared" si="25"/>
        <v>33</v>
      </c>
      <c r="M534" s="62">
        <f t="shared" si="26"/>
        <v>280</v>
      </c>
      <c r="N534" s="63" t="s">
        <v>16</v>
      </c>
      <c r="O534" s="26" t="s">
        <v>44</v>
      </c>
    </row>
    <row r="535" spans="1:15" ht="16.5" customHeight="1">
      <c r="A535" s="56" t="s">
        <v>2773</v>
      </c>
      <c r="B535" s="57" t="s">
        <v>122</v>
      </c>
      <c r="C535" s="56" t="s">
        <v>838</v>
      </c>
      <c r="D535" s="57" t="s">
        <v>839</v>
      </c>
      <c r="E535" s="56">
        <v>108</v>
      </c>
      <c r="F535" s="56">
        <v>111</v>
      </c>
      <c r="G535" s="56">
        <v>107.5</v>
      </c>
      <c r="H535" s="56">
        <v>66</v>
      </c>
      <c r="I535" s="56">
        <v>85</v>
      </c>
      <c r="J535" s="56">
        <v>64</v>
      </c>
      <c r="K535" s="52">
        <f t="shared" si="27"/>
        <v>541.5</v>
      </c>
      <c r="L535" s="27">
        <f t="shared" si="25"/>
        <v>40</v>
      </c>
      <c r="M535" s="62">
        <f t="shared" si="26"/>
        <v>372</v>
      </c>
      <c r="N535" s="63" t="s">
        <v>16</v>
      </c>
      <c r="O535" s="26" t="s">
        <v>42</v>
      </c>
    </row>
    <row r="536" spans="1:15" ht="16.5" customHeight="1">
      <c r="A536" s="56" t="s">
        <v>2774</v>
      </c>
      <c r="B536" s="57" t="s">
        <v>122</v>
      </c>
      <c r="C536" s="56" t="s">
        <v>882</v>
      </c>
      <c r="D536" s="57" t="s">
        <v>883</v>
      </c>
      <c r="E536" s="56">
        <v>113</v>
      </c>
      <c r="F536" s="56">
        <v>93</v>
      </c>
      <c r="G536" s="56">
        <v>127</v>
      </c>
      <c r="H536" s="56">
        <v>48</v>
      </c>
      <c r="I536" s="56">
        <v>88</v>
      </c>
      <c r="J536" s="56">
        <v>69</v>
      </c>
      <c r="K536" s="52">
        <f t="shared" si="27"/>
        <v>538</v>
      </c>
      <c r="L536" s="27">
        <f t="shared" si="25"/>
        <v>42</v>
      </c>
      <c r="M536" s="62">
        <f t="shared" si="26"/>
        <v>393</v>
      </c>
      <c r="N536" s="63" t="s">
        <v>16</v>
      </c>
      <c r="O536" s="26" t="s">
        <v>44</v>
      </c>
    </row>
    <row r="537" spans="1:15" ht="16.5" customHeight="1">
      <c r="A537" s="56" t="s">
        <v>2775</v>
      </c>
      <c r="B537" s="57" t="s">
        <v>122</v>
      </c>
      <c r="C537" s="56" t="s">
        <v>647</v>
      </c>
      <c r="D537" s="57" t="s">
        <v>648</v>
      </c>
      <c r="E537" s="56">
        <v>102</v>
      </c>
      <c r="F537" s="56">
        <v>106</v>
      </c>
      <c r="G537" s="56">
        <v>101</v>
      </c>
      <c r="H537" s="56">
        <v>88</v>
      </c>
      <c r="I537" s="56">
        <v>94</v>
      </c>
      <c r="J537" s="56">
        <v>69</v>
      </c>
      <c r="K537" s="52">
        <f t="shared" si="27"/>
        <v>560</v>
      </c>
      <c r="L537" s="27">
        <f t="shared" si="25"/>
        <v>32</v>
      </c>
      <c r="M537" s="62">
        <f t="shared" si="26"/>
        <v>277</v>
      </c>
      <c r="N537" s="63" t="s">
        <v>16</v>
      </c>
      <c r="O537" s="26" t="s">
        <v>44</v>
      </c>
    </row>
    <row r="538" spans="1:15" ht="16.5" customHeight="1">
      <c r="A538" s="56" t="s">
        <v>2776</v>
      </c>
      <c r="B538" s="57" t="s">
        <v>122</v>
      </c>
      <c r="C538" s="56" t="s">
        <v>382</v>
      </c>
      <c r="D538" s="57" t="s">
        <v>383</v>
      </c>
      <c r="E538" s="56">
        <v>113</v>
      </c>
      <c r="F538" s="56">
        <v>121</v>
      </c>
      <c r="G538" s="56">
        <v>111</v>
      </c>
      <c r="H538" s="56">
        <v>78</v>
      </c>
      <c r="I538" s="56">
        <v>93</v>
      </c>
      <c r="J538" s="56">
        <v>73</v>
      </c>
      <c r="K538" s="52">
        <f t="shared" si="27"/>
        <v>589</v>
      </c>
      <c r="L538" s="27">
        <f t="shared" si="25"/>
        <v>17</v>
      </c>
      <c r="M538" s="62">
        <f t="shared" si="26"/>
        <v>143</v>
      </c>
      <c r="N538" s="63" t="s">
        <v>16</v>
      </c>
      <c r="O538" s="26" t="s">
        <v>42</v>
      </c>
    </row>
    <row r="539" spans="1:15" ht="16.5" customHeight="1">
      <c r="A539" s="56" t="s">
        <v>2777</v>
      </c>
      <c r="B539" s="57" t="s">
        <v>122</v>
      </c>
      <c r="C539" s="56" t="s">
        <v>384</v>
      </c>
      <c r="D539" s="57" t="s">
        <v>385</v>
      </c>
      <c r="E539" s="56">
        <v>115</v>
      </c>
      <c r="F539" s="56">
        <v>114</v>
      </c>
      <c r="G539" s="56">
        <v>124</v>
      </c>
      <c r="H539" s="56">
        <v>74</v>
      </c>
      <c r="I539" s="56">
        <v>85</v>
      </c>
      <c r="J539" s="56">
        <v>77</v>
      </c>
      <c r="K539" s="52">
        <f t="shared" si="27"/>
        <v>589</v>
      </c>
      <c r="L539" s="27">
        <f t="shared" si="25"/>
        <v>17</v>
      </c>
      <c r="M539" s="62">
        <f t="shared" si="26"/>
        <v>143</v>
      </c>
      <c r="N539" s="63" t="s">
        <v>16</v>
      </c>
      <c r="O539" s="26" t="s">
        <v>42</v>
      </c>
    </row>
    <row r="540" spans="1:15" ht="16.5" customHeight="1">
      <c r="A540" s="56" t="s">
        <v>2778</v>
      </c>
      <c r="B540" s="57" t="s">
        <v>122</v>
      </c>
      <c r="C540" s="56" t="s">
        <v>335</v>
      </c>
      <c r="D540" s="57" t="s">
        <v>336</v>
      </c>
      <c r="E540" s="56">
        <v>112</v>
      </c>
      <c r="F540" s="56">
        <v>121</v>
      </c>
      <c r="G540" s="56">
        <v>125.5</v>
      </c>
      <c r="H540" s="56">
        <v>82</v>
      </c>
      <c r="I540" s="56">
        <v>83</v>
      </c>
      <c r="J540" s="56">
        <v>72</v>
      </c>
      <c r="K540" s="52">
        <f t="shared" si="27"/>
        <v>595.5</v>
      </c>
      <c r="L540" s="27">
        <f t="shared" si="25"/>
        <v>13</v>
      </c>
      <c r="M540" s="62">
        <f t="shared" si="26"/>
        <v>119</v>
      </c>
      <c r="N540" s="63" t="s">
        <v>16</v>
      </c>
      <c r="O540" s="26" t="s">
        <v>42</v>
      </c>
    </row>
    <row r="541" spans="1:15" ht="15.75" customHeight="1">
      <c r="A541" s="56" t="s">
        <v>2779</v>
      </c>
      <c r="B541" s="57" t="s">
        <v>122</v>
      </c>
      <c r="C541" s="56" t="s">
        <v>234</v>
      </c>
      <c r="D541" s="56" t="s">
        <v>235</v>
      </c>
      <c r="E541" s="56">
        <v>112</v>
      </c>
      <c r="F541" s="56">
        <v>124</v>
      </c>
      <c r="G541" s="56">
        <v>119</v>
      </c>
      <c r="H541" s="56">
        <v>82</v>
      </c>
      <c r="I541" s="56">
        <v>96</v>
      </c>
      <c r="J541" s="56">
        <v>79</v>
      </c>
      <c r="K541" s="52">
        <f t="shared" si="27"/>
        <v>612</v>
      </c>
      <c r="L541" s="27">
        <f t="shared" si="25"/>
        <v>7</v>
      </c>
      <c r="M541" s="62">
        <f t="shared" si="26"/>
        <v>70</v>
      </c>
      <c r="N541" s="63" t="s">
        <v>16</v>
      </c>
      <c r="O541" s="26" t="s">
        <v>44</v>
      </c>
    </row>
    <row r="542" spans="1:15" ht="15.75" customHeight="1">
      <c r="A542" s="56" t="s">
        <v>2780</v>
      </c>
      <c r="B542" s="57" t="s">
        <v>122</v>
      </c>
      <c r="C542" s="56" t="s">
        <v>1066</v>
      </c>
      <c r="D542" s="57" t="s">
        <v>1067</v>
      </c>
      <c r="E542" s="56">
        <v>102</v>
      </c>
      <c r="F542" s="56">
        <v>94</v>
      </c>
      <c r="G542" s="56">
        <v>110</v>
      </c>
      <c r="H542" s="56">
        <v>66</v>
      </c>
      <c r="I542" s="56">
        <v>88</v>
      </c>
      <c r="J542" s="56">
        <v>63</v>
      </c>
      <c r="K542" s="52">
        <f t="shared" si="27"/>
        <v>523</v>
      </c>
      <c r="L542" s="27">
        <f t="shared" si="25"/>
        <v>48</v>
      </c>
      <c r="M542" s="62">
        <f t="shared" si="26"/>
        <v>481</v>
      </c>
      <c r="N542" s="63" t="s">
        <v>16</v>
      </c>
      <c r="O542" s="26" t="s">
        <v>44</v>
      </c>
    </row>
    <row r="543" spans="1:15" ht="15.75" customHeight="1">
      <c r="A543" s="56" t="s">
        <v>2781</v>
      </c>
      <c r="B543" s="57" t="s">
        <v>122</v>
      </c>
      <c r="C543" s="56" t="s">
        <v>728</v>
      </c>
      <c r="D543" s="57" t="s">
        <v>729</v>
      </c>
      <c r="E543" s="56">
        <v>108</v>
      </c>
      <c r="F543" s="56">
        <v>107</v>
      </c>
      <c r="G543" s="56">
        <v>121.5</v>
      </c>
      <c r="H543" s="56">
        <v>64</v>
      </c>
      <c r="I543" s="56">
        <v>87</v>
      </c>
      <c r="J543" s="56">
        <v>65</v>
      </c>
      <c r="K543" s="52">
        <f t="shared" si="27"/>
        <v>552.5</v>
      </c>
      <c r="L543" s="27">
        <f t="shared" si="25"/>
        <v>36</v>
      </c>
      <c r="M543" s="62">
        <f t="shared" si="26"/>
        <v>316</v>
      </c>
      <c r="N543" s="63" t="s">
        <v>16</v>
      </c>
      <c r="O543" s="26" t="s">
        <v>42</v>
      </c>
    </row>
    <row r="544" spans="1:15" ht="15.75" customHeight="1">
      <c r="A544" s="56" t="s">
        <v>2782</v>
      </c>
      <c r="B544" s="57" t="s">
        <v>122</v>
      </c>
      <c r="C544" s="56" t="s">
        <v>906</v>
      </c>
      <c r="D544" s="57" t="s">
        <v>907</v>
      </c>
      <c r="E544" s="56">
        <v>112</v>
      </c>
      <c r="F544" s="56">
        <v>96</v>
      </c>
      <c r="G544" s="56">
        <v>110</v>
      </c>
      <c r="H544" s="56">
        <v>58</v>
      </c>
      <c r="I544" s="56">
        <v>90</v>
      </c>
      <c r="J544" s="56">
        <v>70</v>
      </c>
      <c r="K544" s="52">
        <f t="shared" si="27"/>
        <v>536</v>
      </c>
      <c r="L544" s="27">
        <f t="shared" si="25"/>
        <v>45</v>
      </c>
      <c r="M544" s="62">
        <f t="shared" si="26"/>
        <v>406</v>
      </c>
      <c r="N544" s="63" t="s">
        <v>16</v>
      </c>
      <c r="O544" s="26" t="s">
        <v>44</v>
      </c>
    </row>
    <row r="545" spans="1:15" ht="15.75" customHeight="1">
      <c r="A545" s="56" t="s">
        <v>2783</v>
      </c>
      <c r="B545" s="57" t="s">
        <v>122</v>
      </c>
      <c r="C545" s="56" t="s">
        <v>315</v>
      </c>
      <c r="D545" s="57" t="s">
        <v>316</v>
      </c>
      <c r="E545" s="56">
        <v>103</v>
      </c>
      <c r="F545" s="56">
        <v>134</v>
      </c>
      <c r="G545" s="56">
        <v>109</v>
      </c>
      <c r="H545" s="56">
        <v>74</v>
      </c>
      <c r="I545" s="56">
        <v>97</v>
      </c>
      <c r="J545" s="56">
        <v>81</v>
      </c>
      <c r="K545" s="52">
        <f t="shared" si="27"/>
        <v>598</v>
      </c>
      <c r="L545" s="27">
        <f t="shared" si="25"/>
        <v>10</v>
      </c>
      <c r="M545" s="62">
        <f t="shared" si="26"/>
        <v>108</v>
      </c>
      <c r="N545" s="63" t="s">
        <v>16</v>
      </c>
      <c r="O545" s="26" t="s">
        <v>42</v>
      </c>
    </row>
    <row r="546" spans="1:15" ht="15.75" customHeight="1">
      <c r="A546" s="56" t="s">
        <v>2784</v>
      </c>
      <c r="B546" s="57" t="s">
        <v>122</v>
      </c>
      <c r="C546" s="56" t="s">
        <v>506</v>
      </c>
      <c r="D546" s="57" t="s">
        <v>507</v>
      </c>
      <c r="E546" s="56">
        <v>114</v>
      </c>
      <c r="F546" s="56">
        <v>102</v>
      </c>
      <c r="G546" s="56">
        <v>106.5</v>
      </c>
      <c r="H546" s="56">
        <v>86</v>
      </c>
      <c r="I546" s="56">
        <v>95</v>
      </c>
      <c r="J546" s="56">
        <v>72</v>
      </c>
      <c r="K546" s="52">
        <f t="shared" si="27"/>
        <v>575.5</v>
      </c>
      <c r="L546" s="27">
        <f t="shared" si="25"/>
        <v>25</v>
      </c>
      <c r="M546" s="62">
        <f t="shared" si="26"/>
        <v>204</v>
      </c>
      <c r="N546" s="63" t="s">
        <v>16</v>
      </c>
      <c r="O546" s="26" t="s">
        <v>44</v>
      </c>
    </row>
    <row r="547" spans="1:15" ht="15.75" customHeight="1">
      <c r="A547" s="56" t="s">
        <v>2785</v>
      </c>
      <c r="B547" s="57" t="s">
        <v>122</v>
      </c>
      <c r="C547" s="56" t="s">
        <v>450</v>
      </c>
      <c r="D547" s="57" t="s">
        <v>451</v>
      </c>
      <c r="E547" s="56">
        <v>111</v>
      </c>
      <c r="F547" s="56">
        <v>104</v>
      </c>
      <c r="G547" s="56">
        <v>120.5</v>
      </c>
      <c r="H547" s="56">
        <v>82</v>
      </c>
      <c r="I547" s="56">
        <v>93</v>
      </c>
      <c r="J547" s="56">
        <v>70</v>
      </c>
      <c r="K547" s="52">
        <f t="shared" si="27"/>
        <v>580.5</v>
      </c>
      <c r="L547" s="27">
        <f t="shared" si="25"/>
        <v>22</v>
      </c>
      <c r="M547" s="62">
        <f t="shared" si="26"/>
        <v>176</v>
      </c>
      <c r="N547" s="63" t="s">
        <v>16</v>
      </c>
      <c r="O547" s="26" t="s">
        <v>44</v>
      </c>
    </row>
    <row r="548" spans="1:15" ht="15.75" customHeight="1">
      <c r="A548" s="56" t="s">
        <v>2786</v>
      </c>
      <c r="B548" s="57" t="s">
        <v>122</v>
      </c>
      <c r="C548" s="56" t="s">
        <v>125</v>
      </c>
      <c r="D548" s="57" t="s">
        <v>126</v>
      </c>
      <c r="E548" s="56">
        <v>127</v>
      </c>
      <c r="F548" s="56">
        <v>115</v>
      </c>
      <c r="G548" s="56">
        <v>141</v>
      </c>
      <c r="H548" s="56">
        <v>91</v>
      </c>
      <c r="I548" s="56">
        <v>89</v>
      </c>
      <c r="J548" s="56">
        <v>82</v>
      </c>
      <c r="K548" s="52">
        <f t="shared" si="27"/>
        <v>645</v>
      </c>
      <c r="L548" s="27">
        <f t="shared" si="25"/>
        <v>2</v>
      </c>
      <c r="M548" s="62">
        <f t="shared" si="26"/>
        <v>19</v>
      </c>
      <c r="N548" s="63" t="s">
        <v>16</v>
      </c>
      <c r="O548" s="26" t="s">
        <v>42</v>
      </c>
    </row>
    <row r="549" spans="1:15" ht="15.75" customHeight="1">
      <c r="A549" s="56" t="s">
        <v>2787</v>
      </c>
      <c r="B549" s="57" t="s">
        <v>122</v>
      </c>
      <c r="C549" s="56" t="s">
        <v>337</v>
      </c>
      <c r="D549" s="57" t="s">
        <v>338</v>
      </c>
      <c r="E549" s="56">
        <v>110</v>
      </c>
      <c r="F549" s="56">
        <v>106</v>
      </c>
      <c r="G549" s="56">
        <v>120</v>
      </c>
      <c r="H549" s="56">
        <v>85</v>
      </c>
      <c r="I549" s="56">
        <v>97</v>
      </c>
      <c r="J549" s="56">
        <v>77</v>
      </c>
      <c r="K549" s="52">
        <f t="shared" si="27"/>
        <v>595</v>
      </c>
      <c r="L549" s="27">
        <f t="shared" si="25"/>
        <v>14</v>
      </c>
      <c r="M549" s="62">
        <f t="shared" si="26"/>
        <v>120</v>
      </c>
      <c r="N549" s="63" t="s">
        <v>16</v>
      </c>
      <c r="O549" s="26" t="s">
        <v>44</v>
      </c>
    </row>
    <row r="550" spans="1:15" ht="15.75" customHeight="1">
      <c r="A550" s="56" t="s">
        <v>2788</v>
      </c>
      <c r="B550" s="57" t="s">
        <v>122</v>
      </c>
      <c r="C550" s="56" t="s">
        <v>440</v>
      </c>
      <c r="D550" s="57" t="s">
        <v>441</v>
      </c>
      <c r="E550" s="56">
        <v>125</v>
      </c>
      <c r="F550" s="56">
        <v>100</v>
      </c>
      <c r="G550" s="56">
        <v>125</v>
      </c>
      <c r="H550" s="56">
        <v>68</v>
      </c>
      <c r="I550" s="56">
        <v>90</v>
      </c>
      <c r="J550" s="56">
        <v>75</v>
      </c>
      <c r="K550" s="52">
        <f t="shared" si="27"/>
        <v>583</v>
      </c>
      <c r="L550" s="27">
        <f t="shared" si="25"/>
        <v>21</v>
      </c>
      <c r="M550" s="62">
        <f t="shared" si="26"/>
        <v>169</v>
      </c>
      <c r="N550" s="63" t="s">
        <v>16</v>
      </c>
      <c r="O550" s="26" t="s">
        <v>44</v>
      </c>
    </row>
    <row r="551" spans="1:15" ht="15.75" customHeight="1">
      <c r="A551" s="56" t="s">
        <v>2789</v>
      </c>
      <c r="B551" s="57" t="s">
        <v>122</v>
      </c>
      <c r="C551" s="56" t="s">
        <v>1336</v>
      </c>
      <c r="D551" s="57" t="s">
        <v>1337</v>
      </c>
      <c r="E551" s="56">
        <v>113</v>
      </c>
      <c r="F551" s="56">
        <v>77</v>
      </c>
      <c r="G551" s="56">
        <v>109.5</v>
      </c>
      <c r="H551" s="56">
        <v>70</v>
      </c>
      <c r="I551" s="56">
        <v>84</v>
      </c>
      <c r="J551" s="56">
        <v>49</v>
      </c>
      <c r="K551" s="52">
        <f t="shared" si="27"/>
        <v>502.5</v>
      </c>
      <c r="L551" s="27">
        <f t="shared" si="25"/>
        <v>50</v>
      </c>
      <c r="M551" s="62">
        <f t="shared" si="26"/>
        <v>622</v>
      </c>
      <c r="N551" s="63" t="s">
        <v>16</v>
      </c>
      <c r="O551" s="26" t="s">
        <v>44</v>
      </c>
    </row>
    <row r="552" spans="1:15" ht="15.75" customHeight="1">
      <c r="A552" s="56" t="s">
        <v>2790</v>
      </c>
      <c r="B552" s="57" t="s">
        <v>122</v>
      </c>
      <c r="C552" s="56" t="s">
        <v>376</v>
      </c>
      <c r="D552" s="57" t="s">
        <v>377</v>
      </c>
      <c r="E552" s="56">
        <v>130</v>
      </c>
      <c r="F552" s="56">
        <v>117</v>
      </c>
      <c r="G552" s="56">
        <v>123.5</v>
      </c>
      <c r="H552" s="56">
        <v>61</v>
      </c>
      <c r="I552" s="56">
        <v>88</v>
      </c>
      <c r="J552" s="56">
        <v>70</v>
      </c>
      <c r="K552" s="52">
        <f t="shared" si="27"/>
        <v>589.5</v>
      </c>
      <c r="L552" s="27">
        <f t="shared" si="25"/>
        <v>16</v>
      </c>
      <c r="M552" s="62">
        <f t="shared" si="26"/>
        <v>140</v>
      </c>
      <c r="N552" s="63" t="s">
        <v>16</v>
      </c>
      <c r="O552" s="26" t="s">
        <v>44</v>
      </c>
    </row>
    <row r="553" spans="1:15" ht="15.75" customHeight="1">
      <c r="A553" s="56" t="s">
        <v>2791</v>
      </c>
      <c r="B553" s="57" t="s">
        <v>122</v>
      </c>
      <c r="C553" s="56" t="s">
        <v>388</v>
      </c>
      <c r="D553" s="57" t="s">
        <v>389</v>
      </c>
      <c r="E553" s="56">
        <v>112</v>
      </c>
      <c r="F553" s="56">
        <v>105</v>
      </c>
      <c r="G553" s="56">
        <v>121.5</v>
      </c>
      <c r="H553" s="56">
        <v>82</v>
      </c>
      <c r="I553" s="56">
        <v>100</v>
      </c>
      <c r="J553" s="56">
        <v>68</v>
      </c>
      <c r="K553" s="52">
        <f t="shared" si="27"/>
        <v>588.5</v>
      </c>
      <c r="L553" s="27">
        <f t="shared" si="25"/>
        <v>19</v>
      </c>
      <c r="M553" s="62">
        <f t="shared" si="26"/>
        <v>146</v>
      </c>
      <c r="N553" s="63" t="s">
        <v>16</v>
      </c>
      <c r="O553" s="26" t="s">
        <v>44</v>
      </c>
    </row>
    <row r="554" spans="1:15" ht="15.75" customHeight="1">
      <c r="A554" s="56" t="s">
        <v>2792</v>
      </c>
      <c r="B554" s="57" t="s">
        <v>122</v>
      </c>
      <c r="C554" s="56" t="s">
        <v>364</v>
      </c>
      <c r="D554" s="57" t="s">
        <v>365</v>
      </c>
      <c r="E554" s="56">
        <v>120</v>
      </c>
      <c r="F554" s="56">
        <v>122</v>
      </c>
      <c r="G554" s="56">
        <v>105.5</v>
      </c>
      <c r="H554" s="56">
        <v>90</v>
      </c>
      <c r="I554" s="56">
        <v>90</v>
      </c>
      <c r="J554" s="56">
        <v>64</v>
      </c>
      <c r="K554" s="52">
        <f t="shared" si="27"/>
        <v>591.5</v>
      </c>
      <c r="L554" s="27">
        <f t="shared" si="25"/>
        <v>15</v>
      </c>
      <c r="M554" s="62">
        <f t="shared" si="26"/>
        <v>132</v>
      </c>
      <c r="N554" s="63"/>
      <c r="O554" s="26" t="s">
        <v>44</v>
      </c>
    </row>
    <row r="555" spans="1:15" ht="15.75" customHeight="1">
      <c r="A555" s="56" t="s">
        <v>2793</v>
      </c>
      <c r="B555" s="57" t="s">
        <v>122</v>
      </c>
      <c r="C555" s="56" t="s">
        <v>232</v>
      </c>
      <c r="D555" s="57" t="s">
        <v>233</v>
      </c>
      <c r="E555" s="56">
        <v>114</v>
      </c>
      <c r="F555" s="56">
        <v>131</v>
      </c>
      <c r="G555" s="56">
        <v>127.5</v>
      </c>
      <c r="H555" s="56">
        <v>73</v>
      </c>
      <c r="I555" s="56">
        <v>84</v>
      </c>
      <c r="J555" s="56">
        <v>83</v>
      </c>
      <c r="K555" s="52">
        <f t="shared" si="27"/>
        <v>612.5</v>
      </c>
      <c r="L555" s="27">
        <f t="shared" si="25"/>
        <v>6</v>
      </c>
      <c r="M555" s="62">
        <f t="shared" si="26"/>
        <v>68</v>
      </c>
      <c r="N555" s="63" t="s">
        <v>16</v>
      </c>
      <c r="O555" s="26" t="s">
        <v>42</v>
      </c>
    </row>
    <row r="556" spans="1:15" ht="15.75" customHeight="1">
      <c r="A556" s="56" t="s">
        <v>2794</v>
      </c>
      <c r="B556" s="57" t="s">
        <v>122</v>
      </c>
      <c r="C556" s="56" t="s">
        <v>579</v>
      </c>
      <c r="D556" s="57" t="s">
        <v>580</v>
      </c>
      <c r="E556" s="56">
        <v>116</v>
      </c>
      <c r="F556" s="56">
        <v>95</v>
      </c>
      <c r="G556" s="56">
        <v>114.5</v>
      </c>
      <c r="H556" s="56">
        <v>86</v>
      </c>
      <c r="I556" s="56">
        <v>87</v>
      </c>
      <c r="J556" s="56">
        <v>70</v>
      </c>
      <c r="K556" s="52">
        <f t="shared" si="27"/>
        <v>568.5</v>
      </c>
      <c r="L556" s="27">
        <f t="shared" si="25"/>
        <v>28</v>
      </c>
      <c r="M556" s="62">
        <f t="shared" si="26"/>
        <v>243</v>
      </c>
      <c r="N556" s="63" t="s">
        <v>16</v>
      </c>
      <c r="O556" s="26" t="s">
        <v>44</v>
      </c>
    </row>
    <row r="557" spans="1:15" ht="15.75" customHeight="1">
      <c r="A557" s="56" t="s">
        <v>2795</v>
      </c>
      <c r="B557" s="57" t="s">
        <v>122</v>
      </c>
      <c r="C557" s="56" t="s">
        <v>313</v>
      </c>
      <c r="D557" s="57" t="s">
        <v>314</v>
      </c>
      <c r="E557" s="56">
        <v>112</v>
      </c>
      <c r="F557" s="56">
        <v>125</v>
      </c>
      <c r="G557" s="56">
        <v>112</v>
      </c>
      <c r="H557" s="56">
        <v>84</v>
      </c>
      <c r="I557" s="56">
        <v>94</v>
      </c>
      <c r="J557" s="56">
        <v>71</v>
      </c>
      <c r="K557" s="52">
        <f t="shared" si="27"/>
        <v>598</v>
      </c>
      <c r="L557" s="27">
        <f t="shared" si="25"/>
        <v>10</v>
      </c>
      <c r="M557" s="62">
        <f t="shared" si="26"/>
        <v>108</v>
      </c>
      <c r="N557" s="63" t="s">
        <v>16</v>
      </c>
      <c r="O557" s="26" t="s">
        <v>42</v>
      </c>
    </row>
    <row r="558" spans="1:15" ht="15.75" customHeight="1">
      <c r="A558" s="56" t="s">
        <v>2796</v>
      </c>
      <c r="B558" s="57" t="s">
        <v>122</v>
      </c>
      <c r="C558" s="56" t="s">
        <v>319</v>
      </c>
      <c r="D558" s="57" t="s">
        <v>320</v>
      </c>
      <c r="E558" s="56">
        <v>118</v>
      </c>
      <c r="F558" s="56">
        <v>120</v>
      </c>
      <c r="G558" s="56">
        <v>115.5</v>
      </c>
      <c r="H558" s="56">
        <v>68</v>
      </c>
      <c r="I558" s="56">
        <v>96</v>
      </c>
      <c r="J558" s="56">
        <v>80</v>
      </c>
      <c r="K558" s="52">
        <f t="shared" si="27"/>
        <v>597.5</v>
      </c>
      <c r="L558" s="27">
        <f t="shared" si="25"/>
        <v>12</v>
      </c>
      <c r="M558" s="62">
        <f t="shared" si="26"/>
        <v>111</v>
      </c>
      <c r="N558" s="63" t="s">
        <v>16</v>
      </c>
      <c r="O558" s="26" t="s">
        <v>42</v>
      </c>
    </row>
    <row r="559" spans="1:15" ht="15.75" customHeight="1">
      <c r="A559" s="56" t="s">
        <v>2797</v>
      </c>
      <c r="B559" s="57" t="s">
        <v>122</v>
      </c>
      <c r="C559" s="56" t="s">
        <v>804</v>
      </c>
      <c r="D559" s="57" t="s">
        <v>805</v>
      </c>
      <c r="E559" s="56">
        <v>110</v>
      </c>
      <c r="F559" s="56">
        <v>101</v>
      </c>
      <c r="G559" s="56">
        <v>118.5</v>
      </c>
      <c r="H559" s="56">
        <v>71</v>
      </c>
      <c r="I559" s="56">
        <v>86</v>
      </c>
      <c r="J559" s="56">
        <v>59</v>
      </c>
      <c r="K559" s="52">
        <f t="shared" si="27"/>
        <v>545.5</v>
      </c>
      <c r="L559" s="27">
        <f t="shared" si="25"/>
        <v>38</v>
      </c>
      <c r="M559" s="62">
        <f t="shared" si="26"/>
        <v>354</v>
      </c>
      <c r="N559" s="63" t="s">
        <v>16</v>
      </c>
      <c r="O559" s="26" t="s">
        <v>44</v>
      </c>
    </row>
    <row r="560" spans="1:15" ht="15.75" customHeight="1">
      <c r="A560" s="56" t="s">
        <v>2798</v>
      </c>
      <c r="B560" s="57" t="s">
        <v>240</v>
      </c>
      <c r="C560" s="56" t="s">
        <v>1624</v>
      </c>
      <c r="D560" s="57" t="s">
        <v>1625</v>
      </c>
      <c r="E560" s="56">
        <v>108</v>
      </c>
      <c r="F560" s="56">
        <v>75</v>
      </c>
      <c r="G560" s="56">
        <v>89</v>
      </c>
      <c r="H560" s="56">
        <v>70</v>
      </c>
      <c r="I560" s="56">
        <v>72</v>
      </c>
      <c r="J560" s="56">
        <v>60</v>
      </c>
      <c r="K560" s="52">
        <f t="shared" si="27"/>
        <v>474</v>
      </c>
      <c r="L560" s="27">
        <f>RANK(K560,$K$560:$K$616)</f>
        <v>44</v>
      </c>
      <c r="M560" s="62">
        <f t="shared" si="26"/>
        <v>764</v>
      </c>
      <c r="N560" s="63" t="s">
        <v>17</v>
      </c>
      <c r="O560" s="26" t="s">
        <v>2243</v>
      </c>
    </row>
    <row r="561" spans="1:15" ht="15.75" customHeight="1">
      <c r="A561" s="56" t="s">
        <v>2799</v>
      </c>
      <c r="B561" s="57" t="s">
        <v>240</v>
      </c>
      <c r="C561" s="56" t="s">
        <v>1750</v>
      </c>
      <c r="D561" s="57" t="s">
        <v>1751</v>
      </c>
      <c r="E561" s="56">
        <v>91</v>
      </c>
      <c r="F561" s="56">
        <v>84</v>
      </c>
      <c r="G561" s="56">
        <v>114</v>
      </c>
      <c r="H561" s="56">
        <v>40</v>
      </c>
      <c r="I561" s="56">
        <v>67</v>
      </c>
      <c r="J561" s="56">
        <v>59</v>
      </c>
      <c r="K561" s="52">
        <f t="shared" si="27"/>
        <v>455</v>
      </c>
      <c r="L561" s="27">
        <f t="shared" ref="L561:L616" si="28">RANK(K561,$K$560:$K$616)</f>
        <v>52</v>
      </c>
      <c r="M561" s="62">
        <f t="shared" si="26"/>
        <v>827</v>
      </c>
      <c r="N561" s="63" t="s">
        <v>16</v>
      </c>
      <c r="O561" s="26" t="s">
        <v>42</v>
      </c>
    </row>
    <row r="562" spans="1:15" ht="15.75" customHeight="1">
      <c r="A562" s="56" t="s">
        <v>2800</v>
      </c>
      <c r="B562" s="57" t="s">
        <v>240</v>
      </c>
      <c r="C562" s="56" t="s">
        <v>280</v>
      </c>
      <c r="D562" s="57" t="s">
        <v>281</v>
      </c>
      <c r="E562" s="56">
        <v>111</v>
      </c>
      <c r="F562" s="56">
        <v>109</v>
      </c>
      <c r="G562" s="56">
        <v>121</v>
      </c>
      <c r="H562" s="56">
        <v>100</v>
      </c>
      <c r="I562" s="56">
        <v>84</v>
      </c>
      <c r="J562" s="56">
        <v>79</v>
      </c>
      <c r="K562" s="52">
        <f t="shared" si="27"/>
        <v>604</v>
      </c>
      <c r="L562" s="27">
        <f t="shared" si="28"/>
        <v>5</v>
      </c>
      <c r="M562" s="62">
        <f t="shared" si="26"/>
        <v>92</v>
      </c>
      <c r="N562" s="63" t="s">
        <v>16</v>
      </c>
      <c r="O562" s="26" t="s">
        <v>2243</v>
      </c>
    </row>
    <row r="563" spans="1:15" ht="15.75" customHeight="1">
      <c r="A563" s="56" t="s">
        <v>2801</v>
      </c>
      <c r="B563" s="57" t="s">
        <v>240</v>
      </c>
      <c r="C563" s="56" t="s">
        <v>597</v>
      </c>
      <c r="D563" s="57" t="s">
        <v>598</v>
      </c>
      <c r="E563" s="56">
        <v>110</v>
      </c>
      <c r="F563" s="56">
        <v>93</v>
      </c>
      <c r="G563" s="56">
        <v>116</v>
      </c>
      <c r="H563" s="56">
        <v>76</v>
      </c>
      <c r="I563" s="56">
        <v>93</v>
      </c>
      <c r="J563" s="56">
        <v>78</v>
      </c>
      <c r="K563" s="52">
        <f t="shared" si="27"/>
        <v>566</v>
      </c>
      <c r="L563" s="27">
        <f t="shared" si="28"/>
        <v>11</v>
      </c>
      <c r="M563" s="62">
        <f t="shared" si="26"/>
        <v>249</v>
      </c>
      <c r="N563" s="63" t="s">
        <v>16</v>
      </c>
      <c r="O563" s="26" t="s">
        <v>44</v>
      </c>
    </row>
    <row r="564" spans="1:15" ht="15.75" customHeight="1">
      <c r="A564" s="56" t="s">
        <v>2802</v>
      </c>
      <c r="B564" s="57" t="s">
        <v>240</v>
      </c>
      <c r="C564" s="56" t="s">
        <v>1660</v>
      </c>
      <c r="D564" s="57" t="s">
        <v>1661</v>
      </c>
      <c r="E564" s="56">
        <v>99</v>
      </c>
      <c r="F564" s="56">
        <v>60</v>
      </c>
      <c r="G564" s="56">
        <v>108</v>
      </c>
      <c r="H564" s="56">
        <v>70</v>
      </c>
      <c r="I564" s="56">
        <v>70</v>
      </c>
      <c r="J564" s="56">
        <v>61</v>
      </c>
      <c r="K564" s="52">
        <f t="shared" si="27"/>
        <v>468</v>
      </c>
      <c r="L564" s="27">
        <f t="shared" si="28"/>
        <v>48</v>
      </c>
      <c r="M564" s="62">
        <f t="shared" si="26"/>
        <v>783</v>
      </c>
      <c r="N564" s="63" t="s">
        <v>17</v>
      </c>
      <c r="O564" s="26" t="s">
        <v>42</v>
      </c>
    </row>
    <row r="565" spans="1:15" ht="15.75" customHeight="1">
      <c r="A565" s="56" t="s">
        <v>2803</v>
      </c>
      <c r="B565" s="57" t="s">
        <v>240</v>
      </c>
      <c r="C565" s="56" t="s">
        <v>936</v>
      </c>
      <c r="D565" s="57" t="s">
        <v>937</v>
      </c>
      <c r="E565" s="56">
        <v>107</v>
      </c>
      <c r="F565" s="56">
        <v>100</v>
      </c>
      <c r="G565" s="56">
        <v>111</v>
      </c>
      <c r="H565" s="56">
        <v>69</v>
      </c>
      <c r="I565" s="56">
        <v>77</v>
      </c>
      <c r="J565" s="56">
        <v>68</v>
      </c>
      <c r="K565" s="52">
        <f t="shared" si="27"/>
        <v>532</v>
      </c>
      <c r="L565" s="27">
        <f t="shared" si="28"/>
        <v>26</v>
      </c>
      <c r="M565" s="62">
        <f t="shared" si="26"/>
        <v>422</v>
      </c>
      <c r="N565" s="63" t="s">
        <v>17</v>
      </c>
      <c r="O565" s="26" t="s">
        <v>2243</v>
      </c>
    </row>
    <row r="566" spans="1:15" ht="15.75" customHeight="1">
      <c r="A566" s="56" t="s">
        <v>2804</v>
      </c>
      <c r="B566" s="57" t="s">
        <v>240</v>
      </c>
      <c r="C566" s="56" t="s">
        <v>768</v>
      </c>
      <c r="D566" s="57" t="s">
        <v>769</v>
      </c>
      <c r="E566" s="56">
        <v>110</v>
      </c>
      <c r="F566" s="56">
        <v>108</v>
      </c>
      <c r="G566" s="56">
        <v>114</v>
      </c>
      <c r="H566" s="56">
        <v>66</v>
      </c>
      <c r="I566" s="56">
        <v>77</v>
      </c>
      <c r="J566" s="56">
        <v>74</v>
      </c>
      <c r="K566" s="52">
        <f t="shared" si="27"/>
        <v>549</v>
      </c>
      <c r="L566" s="27">
        <f t="shared" si="28"/>
        <v>18</v>
      </c>
      <c r="M566" s="62">
        <f t="shared" si="26"/>
        <v>338</v>
      </c>
      <c r="N566" s="63" t="s">
        <v>16</v>
      </c>
      <c r="O566" s="26" t="s">
        <v>2243</v>
      </c>
    </row>
    <row r="567" spans="1:15" ht="15.75" customHeight="1">
      <c r="A567" s="56" t="s">
        <v>2805</v>
      </c>
      <c r="B567" s="57" t="s">
        <v>240</v>
      </c>
      <c r="C567" s="56" t="s">
        <v>1616</v>
      </c>
      <c r="D567" s="57" t="s">
        <v>1617</v>
      </c>
      <c r="E567" s="56">
        <v>105</v>
      </c>
      <c r="F567" s="56">
        <v>87</v>
      </c>
      <c r="G567" s="56">
        <v>104.5</v>
      </c>
      <c r="H567" s="56">
        <v>57</v>
      </c>
      <c r="I567" s="56">
        <v>53</v>
      </c>
      <c r="J567" s="56">
        <v>68</v>
      </c>
      <c r="K567" s="52">
        <f t="shared" si="27"/>
        <v>474.5</v>
      </c>
      <c r="L567" s="27">
        <f t="shared" si="28"/>
        <v>43</v>
      </c>
      <c r="M567" s="62">
        <f t="shared" si="26"/>
        <v>762</v>
      </c>
      <c r="N567" s="63" t="s">
        <v>16</v>
      </c>
      <c r="O567" s="26" t="s">
        <v>2243</v>
      </c>
    </row>
    <row r="568" spans="1:15" ht="15.75" customHeight="1">
      <c r="A568" s="56" t="s">
        <v>2806</v>
      </c>
      <c r="B568" s="57" t="s">
        <v>240</v>
      </c>
      <c r="C568" s="56" t="s">
        <v>1888</v>
      </c>
      <c r="D568" s="57" t="s">
        <v>1889</v>
      </c>
      <c r="E568" s="56">
        <v>104</v>
      </c>
      <c r="F568" s="56">
        <v>67</v>
      </c>
      <c r="G568" s="56">
        <v>90.5</v>
      </c>
      <c r="H568" s="56">
        <v>52</v>
      </c>
      <c r="I568" s="56">
        <v>61</v>
      </c>
      <c r="J568" s="56">
        <v>53</v>
      </c>
      <c r="K568" s="52">
        <f t="shared" si="27"/>
        <v>427.5</v>
      </c>
      <c r="L568" s="27">
        <f t="shared" si="28"/>
        <v>54</v>
      </c>
      <c r="M568" s="62">
        <f t="shared" si="26"/>
        <v>898</v>
      </c>
      <c r="N568" s="63" t="s">
        <v>17</v>
      </c>
      <c r="O568" s="26" t="s">
        <v>42</v>
      </c>
    </row>
    <row r="569" spans="1:15" ht="15.75" customHeight="1">
      <c r="A569" s="56" t="s">
        <v>2807</v>
      </c>
      <c r="B569" s="57" t="s">
        <v>240</v>
      </c>
      <c r="C569" s="56" t="s">
        <v>786</v>
      </c>
      <c r="D569" s="57" t="s">
        <v>787</v>
      </c>
      <c r="E569" s="56">
        <v>97</v>
      </c>
      <c r="F569" s="56">
        <v>110</v>
      </c>
      <c r="G569" s="56">
        <v>109</v>
      </c>
      <c r="H569" s="56">
        <v>80</v>
      </c>
      <c r="I569" s="56">
        <v>84</v>
      </c>
      <c r="J569" s="56">
        <v>67</v>
      </c>
      <c r="K569" s="52">
        <f t="shared" si="27"/>
        <v>547</v>
      </c>
      <c r="L569" s="27">
        <f t="shared" si="28"/>
        <v>20</v>
      </c>
      <c r="M569" s="62">
        <f t="shared" si="26"/>
        <v>344</v>
      </c>
      <c r="N569" s="63" t="s">
        <v>17</v>
      </c>
      <c r="O569" s="26" t="s">
        <v>2243</v>
      </c>
    </row>
    <row r="570" spans="1:15" ht="15.75" customHeight="1">
      <c r="A570" s="56" t="s">
        <v>2808</v>
      </c>
      <c r="B570" s="57" t="s">
        <v>240</v>
      </c>
      <c r="C570" s="56" t="s">
        <v>1588</v>
      </c>
      <c r="D570" s="57" t="s">
        <v>1589</v>
      </c>
      <c r="E570" s="56">
        <v>101</v>
      </c>
      <c r="F570" s="56">
        <v>69</v>
      </c>
      <c r="G570" s="56">
        <v>114.5</v>
      </c>
      <c r="H570" s="56">
        <v>63</v>
      </c>
      <c r="I570" s="56">
        <v>75</v>
      </c>
      <c r="J570" s="56">
        <v>55</v>
      </c>
      <c r="K570" s="52">
        <f t="shared" si="27"/>
        <v>477.5</v>
      </c>
      <c r="L570" s="27">
        <f t="shared" si="28"/>
        <v>41</v>
      </c>
      <c r="M570" s="62">
        <f t="shared" si="26"/>
        <v>747</v>
      </c>
      <c r="N570" s="63" t="s">
        <v>17</v>
      </c>
      <c r="O570" s="26" t="s">
        <v>2243</v>
      </c>
    </row>
    <row r="571" spans="1:15" ht="15.75" customHeight="1">
      <c r="A571" s="56" t="s">
        <v>2809</v>
      </c>
      <c r="B571" s="57" t="s">
        <v>240</v>
      </c>
      <c r="C571" s="56" t="s">
        <v>339</v>
      </c>
      <c r="D571" s="57" t="s">
        <v>340</v>
      </c>
      <c r="E571" s="56">
        <v>107</v>
      </c>
      <c r="F571" s="56">
        <v>126</v>
      </c>
      <c r="G571" s="56">
        <v>115</v>
      </c>
      <c r="H571" s="56">
        <v>85</v>
      </c>
      <c r="I571" s="56">
        <v>83</v>
      </c>
      <c r="J571" s="56">
        <v>79</v>
      </c>
      <c r="K571" s="52">
        <f t="shared" si="27"/>
        <v>595</v>
      </c>
      <c r="L571" s="27">
        <f t="shared" si="28"/>
        <v>6</v>
      </c>
      <c r="M571" s="62">
        <f t="shared" si="26"/>
        <v>120</v>
      </c>
      <c r="N571" s="63" t="s">
        <v>16</v>
      </c>
      <c r="O571" s="26" t="s">
        <v>42</v>
      </c>
    </row>
    <row r="572" spans="1:15" ht="15.75" customHeight="1">
      <c r="A572" s="56" t="s">
        <v>2810</v>
      </c>
      <c r="B572" s="57" t="s">
        <v>240</v>
      </c>
      <c r="C572" s="56" t="s">
        <v>1138</v>
      </c>
      <c r="D572" s="57" t="s">
        <v>1139</v>
      </c>
      <c r="E572" s="56">
        <v>100</v>
      </c>
      <c r="F572" s="56">
        <v>113</v>
      </c>
      <c r="G572" s="56">
        <v>87.5</v>
      </c>
      <c r="H572" s="56">
        <v>71</v>
      </c>
      <c r="I572" s="56">
        <v>82</v>
      </c>
      <c r="J572" s="56">
        <v>64</v>
      </c>
      <c r="K572" s="52">
        <f t="shared" si="27"/>
        <v>517.5</v>
      </c>
      <c r="L572" s="27">
        <f t="shared" si="28"/>
        <v>35</v>
      </c>
      <c r="M572" s="62">
        <f t="shared" si="26"/>
        <v>519</v>
      </c>
      <c r="N572" s="63"/>
      <c r="O572" s="26" t="s">
        <v>44</v>
      </c>
    </row>
    <row r="573" spans="1:15" ht="15.75" customHeight="1">
      <c r="A573" s="56" t="s">
        <v>2811</v>
      </c>
      <c r="B573" s="57" t="s">
        <v>240</v>
      </c>
      <c r="C573" s="56" t="s">
        <v>916</v>
      </c>
      <c r="D573" s="57" t="s">
        <v>917</v>
      </c>
      <c r="E573" s="56">
        <v>96</v>
      </c>
      <c r="F573" s="56">
        <v>89</v>
      </c>
      <c r="G573" s="56">
        <v>118</v>
      </c>
      <c r="H573" s="56">
        <v>86</v>
      </c>
      <c r="I573" s="56">
        <v>78</v>
      </c>
      <c r="J573" s="56">
        <v>67</v>
      </c>
      <c r="K573" s="52">
        <f t="shared" si="27"/>
        <v>534</v>
      </c>
      <c r="L573" s="27">
        <f t="shared" si="28"/>
        <v>24</v>
      </c>
      <c r="M573" s="62">
        <f t="shared" si="26"/>
        <v>412</v>
      </c>
      <c r="N573" s="63" t="s">
        <v>17</v>
      </c>
      <c r="O573" s="26" t="s">
        <v>2243</v>
      </c>
    </row>
    <row r="574" spans="1:15" ht="15.75" customHeight="1">
      <c r="A574" s="56" t="s">
        <v>2812</v>
      </c>
      <c r="B574" s="57" t="s">
        <v>240</v>
      </c>
      <c r="C574" s="56" t="s">
        <v>617</v>
      </c>
      <c r="D574" s="57" t="s">
        <v>618</v>
      </c>
      <c r="E574" s="56">
        <v>120</v>
      </c>
      <c r="F574" s="56">
        <v>93</v>
      </c>
      <c r="G574" s="56">
        <v>133</v>
      </c>
      <c r="H574" s="56">
        <v>73</v>
      </c>
      <c r="I574" s="56">
        <v>73</v>
      </c>
      <c r="J574" s="56">
        <v>72</v>
      </c>
      <c r="K574" s="52">
        <f t="shared" si="27"/>
        <v>564</v>
      </c>
      <c r="L574" s="27">
        <f t="shared" si="28"/>
        <v>12</v>
      </c>
      <c r="M574" s="62">
        <f t="shared" si="26"/>
        <v>262</v>
      </c>
      <c r="N574" s="63" t="s">
        <v>16</v>
      </c>
      <c r="O574" s="26" t="s">
        <v>2243</v>
      </c>
    </row>
    <row r="575" spans="1:15" ht="15.75" customHeight="1">
      <c r="A575" s="56" t="s">
        <v>2813</v>
      </c>
      <c r="B575" s="57" t="s">
        <v>240</v>
      </c>
      <c r="C575" s="56" t="s">
        <v>730</v>
      </c>
      <c r="D575" s="57" t="s">
        <v>731</v>
      </c>
      <c r="E575" s="56">
        <v>113</v>
      </c>
      <c r="F575" s="56">
        <v>116</v>
      </c>
      <c r="G575" s="56">
        <v>110</v>
      </c>
      <c r="H575" s="56">
        <v>65</v>
      </c>
      <c r="I575" s="56">
        <v>89</v>
      </c>
      <c r="J575" s="56">
        <v>59</v>
      </c>
      <c r="K575" s="52">
        <f t="shared" si="27"/>
        <v>552</v>
      </c>
      <c r="L575" s="27">
        <f t="shared" si="28"/>
        <v>16</v>
      </c>
      <c r="M575" s="62">
        <f t="shared" si="26"/>
        <v>319</v>
      </c>
      <c r="N575" s="63" t="s">
        <v>17</v>
      </c>
      <c r="O575" s="26" t="s">
        <v>2243</v>
      </c>
    </row>
    <row r="576" spans="1:15" ht="15.75" customHeight="1">
      <c r="A576" s="56" t="s">
        <v>2814</v>
      </c>
      <c r="B576" s="57" t="s">
        <v>240</v>
      </c>
      <c r="C576" s="56" t="s">
        <v>1032</v>
      </c>
      <c r="D576" s="57" t="s">
        <v>1033</v>
      </c>
      <c r="E576" s="56">
        <v>89</v>
      </c>
      <c r="F576" s="56">
        <v>94</v>
      </c>
      <c r="G576" s="56">
        <v>113.5</v>
      </c>
      <c r="H576" s="56">
        <v>62</v>
      </c>
      <c r="I576" s="56">
        <v>86</v>
      </c>
      <c r="J576" s="56">
        <v>80</v>
      </c>
      <c r="K576" s="52">
        <f t="shared" si="27"/>
        <v>524.5</v>
      </c>
      <c r="L576" s="27">
        <f t="shared" si="28"/>
        <v>29</v>
      </c>
      <c r="M576" s="62">
        <f t="shared" si="26"/>
        <v>470</v>
      </c>
      <c r="N576" s="63" t="s">
        <v>16</v>
      </c>
      <c r="O576" s="26" t="s">
        <v>2243</v>
      </c>
    </row>
    <row r="577" spans="1:15" ht="15.75" customHeight="1">
      <c r="A577" s="56" t="s">
        <v>2815</v>
      </c>
      <c r="B577" s="57" t="s">
        <v>240</v>
      </c>
      <c r="C577" s="56" t="s">
        <v>1662</v>
      </c>
      <c r="D577" s="57" t="s">
        <v>1663</v>
      </c>
      <c r="E577" s="56">
        <v>98</v>
      </c>
      <c r="F577" s="56">
        <v>77</v>
      </c>
      <c r="G577" s="56">
        <v>68.5</v>
      </c>
      <c r="H577" s="56">
        <v>81</v>
      </c>
      <c r="I577" s="56">
        <v>73</v>
      </c>
      <c r="J577" s="56">
        <v>70</v>
      </c>
      <c r="K577" s="52">
        <f t="shared" si="27"/>
        <v>467.5</v>
      </c>
      <c r="L577" s="27">
        <f t="shared" si="28"/>
        <v>49</v>
      </c>
      <c r="M577" s="62">
        <f t="shared" si="26"/>
        <v>785</v>
      </c>
      <c r="N577" s="63" t="s">
        <v>17</v>
      </c>
      <c r="O577" s="26" t="s">
        <v>42</v>
      </c>
    </row>
    <row r="578" spans="1:15" ht="15.75" customHeight="1">
      <c r="A578" s="56" t="s">
        <v>2816</v>
      </c>
      <c r="B578" s="57" t="s">
        <v>240</v>
      </c>
      <c r="C578" s="56" t="s">
        <v>942</v>
      </c>
      <c r="D578" s="57" t="s">
        <v>943</v>
      </c>
      <c r="E578" s="56">
        <v>105</v>
      </c>
      <c r="F578" s="56">
        <v>89</v>
      </c>
      <c r="G578" s="56">
        <v>94</v>
      </c>
      <c r="H578" s="56">
        <v>83</v>
      </c>
      <c r="I578" s="56">
        <v>86</v>
      </c>
      <c r="J578" s="56">
        <v>75</v>
      </c>
      <c r="K578" s="52">
        <f t="shared" si="27"/>
        <v>532</v>
      </c>
      <c r="L578" s="27">
        <f t="shared" si="28"/>
        <v>26</v>
      </c>
      <c r="M578" s="62">
        <f t="shared" si="26"/>
        <v>422</v>
      </c>
      <c r="N578" s="63" t="s">
        <v>16</v>
      </c>
      <c r="O578" s="26" t="s">
        <v>44</v>
      </c>
    </row>
    <row r="579" spans="1:15" ht="15.75" customHeight="1">
      <c r="A579" s="56" t="s">
        <v>2817</v>
      </c>
      <c r="B579" s="57" t="s">
        <v>240</v>
      </c>
      <c r="C579" s="56" t="s">
        <v>1174</v>
      </c>
      <c r="D579" s="57" t="s">
        <v>1175</v>
      </c>
      <c r="E579" s="56">
        <v>108</v>
      </c>
      <c r="F579" s="56">
        <v>74</v>
      </c>
      <c r="G579" s="56">
        <v>100.5</v>
      </c>
      <c r="H579" s="56">
        <v>81</v>
      </c>
      <c r="I579" s="56">
        <v>85</v>
      </c>
      <c r="J579" s="56">
        <v>67</v>
      </c>
      <c r="K579" s="52">
        <f t="shared" si="27"/>
        <v>515.5</v>
      </c>
      <c r="L579" s="27">
        <f t="shared" si="28"/>
        <v>36</v>
      </c>
      <c r="M579" s="62">
        <f t="shared" ref="M579:M642" si="29">RANK(K579,$K$3:$K$953)</f>
        <v>537</v>
      </c>
      <c r="N579" s="63" t="s">
        <v>16</v>
      </c>
      <c r="O579" s="26" t="s">
        <v>43</v>
      </c>
    </row>
    <row r="580" spans="1:15" ht="15.75" customHeight="1">
      <c r="A580" s="56" t="s">
        <v>2818</v>
      </c>
      <c r="B580" s="57" t="s">
        <v>240</v>
      </c>
      <c r="C580" s="56" t="s">
        <v>1050</v>
      </c>
      <c r="D580" s="57" t="s">
        <v>1051</v>
      </c>
      <c r="E580" s="56">
        <v>116</v>
      </c>
      <c r="F580" s="56">
        <v>87</v>
      </c>
      <c r="G580" s="56">
        <v>118.5</v>
      </c>
      <c r="H580" s="56">
        <v>56</v>
      </c>
      <c r="I580" s="56">
        <v>84</v>
      </c>
      <c r="J580" s="56">
        <v>62</v>
      </c>
      <c r="K580" s="52">
        <f t="shared" ref="K580:K643" si="30">SUM(E580:J580)</f>
        <v>523.5</v>
      </c>
      <c r="L580" s="27">
        <f t="shared" si="28"/>
        <v>31</v>
      </c>
      <c r="M580" s="62">
        <f t="shared" si="29"/>
        <v>475</v>
      </c>
      <c r="N580" s="63" t="s">
        <v>16</v>
      </c>
      <c r="O580" s="26" t="s">
        <v>2243</v>
      </c>
    </row>
    <row r="581" spans="1:15" ht="15.75" customHeight="1">
      <c r="A581" s="56" t="s">
        <v>2819</v>
      </c>
      <c r="B581" s="57" t="s">
        <v>240</v>
      </c>
      <c r="C581" s="56" t="s">
        <v>1036</v>
      </c>
      <c r="D581" s="57" t="s">
        <v>1037</v>
      </c>
      <c r="E581" s="56">
        <v>107</v>
      </c>
      <c r="F581" s="56">
        <v>98</v>
      </c>
      <c r="G581" s="56">
        <v>121.5</v>
      </c>
      <c r="H581" s="56">
        <v>56</v>
      </c>
      <c r="I581" s="56">
        <v>73</v>
      </c>
      <c r="J581" s="56">
        <v>69</v>
      </c>
      <c r="K581" s="52">
        <f t="shared" si="30"/>
        <v>524.5</v>
      </c>
      <c r="L581" s="27">
        <f t="shared" si="28"/>
        <v>29</v>
      </c>
      <c r="M581" s="62">
        <f t="shared" si="29"/>
        <v>470</v>
      </c>
      <c r="N581" s="63" t="s">
        <v>16</v>
      </c>
      <c r="O581" s="26" t="s">
        <v>2243</v>
      </c>
    </row>
    <row r="582" spans="1:15" ht="15.75" customHeight="1">
      <c r="A582" s="56" t="s">
        <v>2820</v>
      </c>
      <c r="B582" s="57" t="s">
        <v>240</v>
      </c>
      <c r="C582" s="56" t="s">
        <v>516</v>
      </c>
      <c r="D582" s="57" t="s">
        <v>517</v>
      </c>
      <c r="E582" s="56">
        <v>113</v>
      </c>
      <c r="F582" s="56">
        <v>108</v>
      </c>
      <c r="G582" s="56">
        <v>128</v>
      </c>
      <c r="H582" s="56">
        <v>77</v>
      </c>
      <c r="I582" s="56">
        <v>66</v>
      </c>
      <c r="J582" s="56">
        <v>83</v>
      </c>
      <c r="K582" s="52">
        <f t="shared" si="30"/>
        <v>575</v>
      </c>
      <c r="L582" s="27">
        <f t="shared" si="28"/>
        <v>9</v>
      </c>
      <c r="M582" s="62">
        <f t="shared" si="29"/>
        <v>207</v>
      </c>
      <c r="N582" s="63" t="s">
        <v>16</v>
      </c>
      <c r="O582" s="26" t="s">
        <v>44</v>
      </c>
    </row>
    <row r="583" spans="1:15" ht="15.75" customHeight="1">
      <c r="A583" s="56" t="s">
        <v>2821</v>
      </c>
      <c r="B583" s="57" t="s">
        <v>240</v>
      </c>
      <c r="C583" s="56" t="s">
        <v>778</v>
      </c>
      <c r="D583" s="57" t="s">
        <v>779</v>
      </c>
      <c r="E583" s="56">
        <v>112</v>
      </c>
      <c r="F583" s="56">
        <v>96</v>
      </c>
      <c r="G583" s="56">
        <v>104.5</v>
      </c>
      <c r="H583" s="56">
        <v>82</v>
      </c>
      <c r="I583" s="56">
        <v>75</v>
      </c>
      <c r="J583" s="56">
        <v>78</v>
      </c>
      <c r="K583" s="52">
        <f t="shared" si="30"/>
        <v>547.5</v>
      </c>
      <c r="L583" s="27">
        <f t="shared" si="28"/>
        <v>19</v>
      </c>
      <c r="M583" s="62">
        <f t="shared" si="29"/>
        <v>342</v>
      </c>
      <c r="N583" s="63" t="s">
        <v>16</v>
      </c>
      <c r="O583" s="26" t="s">
        <v>44</v>
      </c>
    </row>
    <row r="584" spans="1:15" ht="15.75" customHeight="1">
      <c r="A584" s="56" t="s">
        <v>2822</v>
      </c>
      <c r="B584" s="57" t="s">
        <v>240</v>
      </c>
      <c r="C584" s="56" t="s">
        <v>1596</v>
      </c>
      <c r="D584" s="57" t="s">
        <v>1597</v>
      </c>
      <c r="E584" s="56">
        <v>105</v>
      </c>
      <c r="F584" s="56">
        <v>83</v>
      </c>
      <c r="G584" s="56">
        <v>95.5</v>
      </c>
      <c r="H584" s="56">
        <v>54</v>
      </c>
      <c r="I584" s="56">
        <v>79</v>
      </c>
      <c r="J584" s="56">
        <v>60</v>
      </c>
      <c r="K584" s="52">
        <f t="shared" si="30"/>
        <v>476.5</v>
      </c>
      <c r="L584" s="27">
        <f t="shared" si="28"/>
        <v>42</v>
      </c>
      <c r="M584" s="62">
        <f t="shared" si="29"/>
        <v>750</v>
      </c>
      <c r="N584" s="63" t="s">
        <v>17</v>
      </c>
      <c r="O584" s="26" t="s">
        <v>2243</v>
      </c>
    </row>
    <row r="585" spans="1:15" ht="15.75" customHeight="1">
      <c r="A585" s="56" t="s">
        <v>2823</v>
      </c>
      <c r="B585" s="57" t="s">
        <v>240</v>
      </c>
      <c r="C585" s="56" t="s">
        <v>1630</v>
      </c>
      <c r="D585" s="57" t="s">
        <v>1631</v>
      </c>
      <c r="E585" s="56">
        <v>105</v>
      </c>
      <c r="F585" s="56">
        <v>53</v>
      </c>
      <c r="G585" s="56">
        <v>111.5</v>
      </c>
      <c r="H585" s="56">
        <v>57</v>
      </c>
      <c r="I585" s="56">
        <v>75</v>
      </c>
      <c r="J585" s="56">
        <v>72</v>
      </c>
      <c r="K585" s="52">
        <f t="shared" si="30"/>
        <v>473.5</v>
      </c>
      <c r="L585" s="27">
        <f t="shared" si="28"/>
        <v>45</v>
      </c>
      <c r="M585" s="62">
        <f t="shared" si="29"/>
        <v>767</v>
      </c>
      <c r="N585" s="63" t="s">
        <v>17</v>
      </c>
      <c r="O585" s="26" t="s">
        <v>2243</v>
      </c>
    </row>
    <row r="586" spans="1:15" ht="15.75" customHeight="1">
      <c r="A586" s="56" t="s">
        <v>2824</v>
      </c>
      <c r="B586" s="57" t="s">
        <v>240</v>
      </c>
      <c r="C586" s="56" t="s">
        <v>796</v>
      </c>
      <c r="D586" s="57" t="s">
        <v>797</v>
      </c>
      <c r="E586" s="56">
        <v>105</v>
      </c>
      <c r="F586" s="56">
        <v>99</v>
      </c>
      <c r="G586" s="56">
        <v>102</v>
      </c>
      <c r="H586" s="56">
        <v>77</v>
      </c>
      <c r="I586" s="56">
        <v>81</v>
      </c>
      <c r="J586" s="56">
        <v>82</v>
      </c>
      <c r="K586" s="52">
        <f t="shared" si="30"/>
        <v>546</v>
      </c>
      <c r="L586" s="27">
        <f t="shared" si="28"/>
        <v>21</v>
      </c>
      <c r="M586" s="62">
        <f t="shared" si="29"/>
        <v>352</v>
      </c>
      <c r="N586" s="63" t="s">
        <v>16</v>
      </c>
      <c r="O586" s="26" t="s">
        <v>42</v>
      </c>
    </row>
    <row r="587" spans="1:15" ht="15.75" customHeight="1">
      <c r="A587" s="56" t="s">
        <v>2825</v>
      </c>
      <c r="B587" s="57" t="s">
        <v>240</v>
      </c>
      <c r="C587" s="56" t="s">
        <v>424</v>
      </c>
      <c r="D587" s="57" t="s">
        <v>425</v>
      </c>
      <c r="E587" s="56">
        <v>93</v>
      </c>
      <c r="F587" s="56">
        <v>140</v>
      </c>
      <c r="G587" s="56">
        <v>94</v>
      </c>
      <c r="H587" s="56">
        <v>78</v>
      </c>
      <c r="I587" s="56">
        <v>96</v>
      </c>
      <c r="J587" s="56">
        <v>83</v>
      </c>
      <c r="K587" s="52">
        <f t="shared" si="30"/>
        <v>584</v>
      </c>
      <c r="L587" s="27">
        <f t="shared" si="28"/>
        <v>7</v>
      </c>
      <c r="M587" s="62">
        <f t="shared" si="29"/>
        <v>164</v>
      </c>
      <c r="N587" s="63" t="s">
        <v>17</v>
      </c>
      <c r="O587" s="26" t="s">
        <v>2243</v>
      </c>
    </row>
    <row r="588" spans="1:15" ht="15.75" customHeight="1">
      <c r="A588" s="56" t="s">
        <v>2826</v>
      </c>
      <c r="B588" s="57" t="s">
        <v>240</v>
      </c>
      <c r="C588" s="56" t="s">
        <v>1928</v>
      </c>
      <c r="D588" s="57" t="s">
        <v>1929</v>
      </c>
      <c r="E588" s="56">
        <v>103</v>
      </c>
      <c r="F588" s="56">
        <v>69</v>
      </c>
      <c r="G588" s="56">
        <v>96.5</v>
      </c>
      <c r="H588" s="56">
        <v>41</v>
      </c>
      <c r="I588" s="56">
        <v>63</v>
      </c>
      <c r="J588" s="56">
        <v>43</v>
      </c>
      <c r="K588" s="52">
        <f t="shared" si="30"/>
        <v>415.5</v>
      </c>
      <c r="L588" s="27">
        <f t="shared" si="28"/>
        <v>56</v>
      </c>
      <c r="M588" s="62">
        <f t="shared" si="29"/>
        <v>918</v>
      </c>
      <c r="N588" s="63" t="s">
        <v>17</v>
      </c>
      <c r="O588" s="26" t="s">
        <v>2243</v>
      </c>
    </row>
    <row r="589" spans="1:15" ht="15.75" customHeight="1">
      <c r="A589" s="56" t="s">
        <v>2827</v>
      </c>
      <c r="B589" s="57" t="s">
        <v>240</v>
      </c>
      <c r="C589" s="56" t="s">
        <v>1452</v>
      </c>
      <c r="D589" s="57" t="s">
        <v>1453</v>
      </c>
      <c r="E589" s="56">
        <v>115</v>
      </c>
      <c r="F589" s="56">
        <v>79</v>
      </c>
      <c r="G589" s="56">
        <v>100</v>
      </c>
      <c r="H589" s="56">
        <v>70</v>
      </c>
      <c r="I589" s="56">
        <v>68</v>
      </c>
      <c r="J589" s="56">
        <v>61</v>
      </c>
      <c r="K589" s="52">
        <f t="shared" si="30"/>
        <v>493</v>
      </c>
      <c r="L589" s="27">
        <f t="shared" si="28"/>
        <v>39</v>
      </c>
      <c r="M589" s="62">
        <f t="shared" si="29"/>
        <v>677</v>
      </c>
      <c r="N589" s="63" t="s">
        <v>16</v>
      </c>
      <c r="O589" s="26" t="s">
        <v>44</v>
      </c>
    </row>
    <row r="590" spans="1:15" ht="15.75" customHeight="1">
      <c r="A590" s="56" t="s">
        <v>2828</v>
      </c>
      <c r="B590" s="57" t="s">
        <v>240</v>
      </c>
      <c r="C590" s="56" t="s">
        <v>653</v>
      </c>
      <c r="D590" s="57" t="s">
        <v>654</v>
      </c>
      <c r="E590" s="56">
        <v>104</v>
      </c>
      <c r="F590" s="56">
        <v>112</v>
      </c>
      <c r="G590" s="56">
        <v>107</v>
      </c>
      <c r="H590" s="56">
        <v>70</v>
      </c>
      <c r="I590" s="56">
        <v>89</v>
      </c>
      <c r="J590" s="56">
        <v>77</v>
      </c>
      <c r="K590" s="52">
        <f t="shared" si="30"/>
        <v>559</v>
      </c>
      <c r="L590" s="27">
        <f t="shared" si="28"/>
        <v>14</v>
      </c>
      <c r="M590" s="62">
        <f t="shared" si="29"/>
        <v>280</v>
      </c>
      <c r="N590" s="63" t="s">
        <v>16</v>
      </c>
      <c r="O590" s="26" t="s">
        <v>2243</v>
      </c>
    </row>
    <row r="591" spans="1:15" ht="15.75" customHeight="1">
      <c r="A591" s="56" t="s">
        <v>2829</v>
      </c>
      <c r="B591" s="57" t="s">
        <v>240</v>
      </c>
      <c r="C591" s="56" t="s">
        <v>1814</v>
      </c>
      <c r="D591" s="57" t="s">
        <v>40</v>
      </c>
      <c r="E591" s="56">
        <v>99</v>
      </c>
      <c r="F591" s="56">
        <v>73</v>
      </c>
      <c r="G591" s="56">
        <v>102</v>
      </c>
      <c r="H591" s="56">
        <v>48</v>
      </c>
      <c r="I591" s="56">
        <v>62</v>
      </c>
      <c r="J591" s="56">
        <v>58</v>
      </c>
      <c r="K591" s="52">
        <f t="shared" si="30"/>
        <v>442</v>
      </c>
      <c r="L591" s="27">
        <f t="shared" si="28"/>
        <v>53</v>
      </c>
      <c r="M591" s="62">
        <f t="shared" si="29"/>
        <v>860</v>
      </c>
      <c r="N591" s="63" t="s">
        <v>17</v>
      </c>
      <c r="O591" s="26" t="s">
        <v>42</v>
      </c>
    </row>
    <row r="592" spans="1:15" ht="15.75" customHeight="1">
      <c r="A592" s="56" t="s">
        <v>2830</v>
      </c>
      <c r="B592" s="57" t="s">
        <v>240</v>
      </c>
      <c r="C592" s="56" t="s">
        <v>1944</v>
      </c>
      <c r="D592" s="57" t="s">
        <v>1945</v>
      </c>
      <c r="E592" s="56">
        <v>84</v>
      </c>
      <c r="F592" s="56">
        <v>73</v>
      </c>
      <c r="G592" s="56">
        <v>65.5</v>
      </c>
      <c r="H592" s="56">
        <v>47</v>
      </c>
      <c r="I592" s="56">
        <v>73</v>
      </c>
      <c r="J592" s="56">
        <v>63</v>
      </c>
      <c r="K592" s="52">
        <f t="shared" si="30"/>
        <v>405.5</v>
      </c>
      <c r="L592" s="27">
        <f t="shared" si="28"/>
        <v>57</v>
      </c>
      <c r="M592" s="62">
        <f t="shared" si="29"/>
        <v>926</v>
      </c>
      <c r="N592" s="63" t="s">
        <v>17</v>
      </c>
      <c r="O592" s="26" t="s">
        <v>2243</v>
      </c>
    </row>
    <row r="593" spans="1:15" ht="15.75" customHeight="1">
      <c r="A593" s="56" t="s">
        <v>2831</v>
      </c>
      <c r="B593" s="57" t="s">
        <v>240</v>
      </c>
      <c r="C593" s="56" t="s">
        <v>260</v>
      </c>
      <c r="D593" s="57" t="s">
        <v>261</v>
      </c>
      <c r="E593" s="56">
        <v>92</v>
      </c>
      <c r="F593" s="56">
        <v>123</v>
      </c>
      <c r="G593" s="56">
        <v>114</v>
      </c>
      <c r="H593" s="56">
        <v>104</v>
      </c>
      <c r="I593" s="56">
        <v>93</v>
      </c>
      <c r="J593" s="56">
        <v>82</v>
      </c>
      <c r="K593" s="52">
        <f t="shared" si="30"/>
        <v>608</v>
      </c>
      <c r="L593" s="27">
        <f t="shared" si="28"/>
        <v>3</v>
      </c>
      <c r="M593" s="62">
        <f t="shared" si="29"/>
        <v>81</v>
      </c>
      <c r="N593" s="63" t="s">
        <v>16</v>
      </c>
      <c r="O593" s="26" t="s">
        <v>2243</v>
      </c>
    </row>
    <row r="594" spans="1:15" ht="16.5" customHeight="1">
      <c r="A594" s="56" t="s">
        <v>2832</v>
      </c>
      <c r="B594" s="57" t="s">
        <v>240</v>
      </c>
      <c r="C594" s="56" t="s">
        <v>1054</v>
      </c>
      <c r="D594" s="57" t="s">
        <v>1055</v>
      </c>
      <c r="E594" s="56">
        <v>110</v>
      </c>
      <c r="F594" s="56">
        <v>106</v>
      </c>
      <c r="G594" s="56">
        <v>107</v>
      </c>
      <c r="H594" s="56">
        <v>60</v>
      </c>
      <c r="I594" s="56">
        <v>75</v>
      </c>
      <c r="J594" s="56">
        <v>65</v>
      </c>
      <c r="K594" s="52">
        <f t="shared" si="30"/>
        <v>523</v>
      </c>
      <c r="L594" s="27">
        <f t="shared" si="28"/>
        <v>33</v>
      </c>
      <c r="M594" s="62">
        <f t="shared" si="29"/>
        <v>481</v>
      </c>
      <c r="N594" s="63"/>
      <c r="O594" s="26" t="s">
        <v>44</v>
      </c>
    </row>
    <row r="595" spans="1:15" ht="16.5" customHeight="1">
      <c r="A595" s="56" t="s">
        <v>2833</v>
      </c>
      <c r="B595" s="57" t="s">
        <v>240</v>
      </c>
      <c r="C595" s="56" t="s">
        <v>926</v>
      </c>
      <c r="D595" s="57" t="s">
        <v>927</v>
      </c>
      <c r="E595" s="56">
        <v>98</v>
      </c>
      <c r="F595" s="56">
        <v>115</v>
      </c>
      <c r="G595" s="56">
        <v>108</v>
      </c>
      <c r="H595" s="56">
        <v>69</v>
      </c>
      <c r="I595" s="56">
        <v>80</v>
      </c>
      <c r="J595" s="56">
        <v>63</v>
      </c>
      <c r="K595" s="52">
        <f t="shared" si="30"/>
        <v>533</v>
      </c>
      <c r="L595" s="27">
        <f t="shared" si="28"/>
        <v>25</v>
      </c>
      <c r="M595" s="62">
        <f t="shared" si="29"/>
        <v>415</v>
      </c>
      <c r="N595" s="63" t="s">
        <v>17</v>
      </c>
      <c r="O595" s="26" t="s">
        <v>42</v>
      </c>
    </row>
    <row r="596" spans="1:15" ht="16.5" customHeight="1">
      <c r="A596" s="56" t="s">
        <v>2834</v>
      </c>
      <c r="B596" s="57" t="s">
        <v>240</v>
      </c>
      <c r="C596" s="56" t="s">
        <v>1292</v>
      </c>
      <c r="D596" s="57" t="s">
        <v>1293</v>
      </c>
      <c r="E596" s="56">
        <v>96</v>
      </c>
      <c r="F596" s="56">
        <v>97</v>
      </c>
      <c r="G596" s="56">
        <v>104</v>
      </c>
      <c r="H596" s="56">
        <v>51</v>
      </c>
      <c r="I596" s="56">
        <v>93</v>
      </c>
      <c r="J596" s="56">
        <v>65</v>
      </c>
      <c r="K596" s="52">
        <f t="shared" si="30"/>
        <v>506</v>
      </c>
      <c r="L596" s="27">
        <f t="shared" si="28"/>
        <v>38</v>
      </c>
      <c r="M596" s="62">
        <f t="shared" si="29"/>
        <v>600</v>
      </c>
      <c r="N596" s="63"/>
      <c r="O596" s="26" t="s">
        <v>1</v>
      </c>
    </row>
    <row r="597" spans="1:15" ht="16.5" customHeight="1">
      <c r="A597" s="56" t="s">
        <v>2835</v>
      </c>
      <c r="B597" s="57" t="s">
        <v>240</v>
      </c>
      <c r="C597" s="56" t="s">
        <v>1908</v>
      </c>
      <c r="D597" s="57" t="s">
        <v>1909</v>
      </c>
      <c r="E597" s="56">
        <v>96</v>
      </c>
      <c r="F597" s="56">
        <v>36</v>
      </c>
      <c r="G597" s="56">
        <v>115</v>
      </c>
      <c r="H597" s="56">
        <v>48</v>
      </c>
      <c r="I597" s="56">
        <v>70</v>
      </c>
      <c r="J597" s="56">
        <v>58</v>
      </c>
      <c r="K597" s="52">
        <f t="shared" si="30"/>
        <v>423</v>
      </c>
      <c r="L597" s="27">
        <f t="shared" si="28"/>
        <v>55</v>
      </c>
      <c r="M597" s="62">
        <f t="shared" si="29"/>
        <v>908</v>
      </c>
      <c r="N597" s="63" t="s">
        <v>17</v>
      </c>
      <c r="O597" s="26" t="s">
        <v>2243</v>
      </c>
    </row>
    <row r="598" spans="1:15" ht="16.5" customHeight="1">
      <c r="A598" s="56" t="s">
        <v>2836</v>
      </c>
      <c r="B598" s="57" t="s">
        <v>240</v>
      </c>
      <c r="C598" s="56" t="s">
        <v>667</v>
      </c>
      <c r="D598" s="57" t="s">
        <v>668</v>
      </c>
      <c r="E598" s="56">
        <v>109</v>
      </c>
      <c r="F598" s="56">
        <v>118</v>
      </c>
      <c r="G598" s="56">
        <v>100</v>
      </c>
      <c r="H598" s="56">
        <v>70</v>
      </c>
      <c r="I598" s="56">
        <v>90</v>
      </c>
      <c r="J598" s="56">
        <v>71</v>
      </c>
      <c r="K598" s="52">
        <f t="shared" si="30"/>
        <v>558</v>
      </c>
      <c r="L598" s="27">
        <f t="shared" si="28"/>
        <v>15</v>
      </c>
      <c r="M598" s="62">
        <f t="shared" si="29"/>
        <v>287</v>
      </c>
      <c r="N598" s="63" t="s">
        <v>16</v>
      </c>
      <c r="O598" s="26" t="s">
        <v>2243</v>
      </c>
    </row>
    <row r="599" spans="1:15" ht="16.5" customHeight="1">
      <c r="A599" s="56" t="s">
        <v>2837</v>
      </c>
      <c r="B599" s="57" t="s">
        <v>240</v>
      </c>
      <c r="C599" s="56" t="s">
        <v>1230</v>
      </c>
      <c r="D599" s="57" t="s">
        <v>1231</v>
      </c>
      <c r="E599" s="56">
        <v>106</v>
      </c>
      <c r="F599" s="56">
        <v>85</v>
      </c>
      <c r="G599" s="56">
        <v>123.5</v>
      </c>
      <c r="H599" s="56">
        <v>68</v>
      </c>
      <c r="I599" s="56">
        <v>65</v>
      </c>
      <c r="J599" s="56">
        <v>64</v>
      </c>
      <c r="K599" s="52">
        <f t="shared" si="30"/>
        <v>511.5</v>
      </c>
      <c r="L599" s="27">
        <f t="shared" si="28"/>
        <v>37</v>
      </c>
      <c r="M599" s="62">
        <f t="shared" si="29"/>
        <v>565</v>
      </c>
      <c r="N599" s="63" t="s">
        <v>16</v>
      </c>
      <c r="O599" s="26" t="s">
        <v>43</v>
      </c>
    </row>
    <row r="600" spans="1:15" ht="16.5" customHeight="1">
      <c r="A600" s="56" t="s">
        <v>2838</v>
      </c>
      <c r="B600" s="57" t="s">
        <v>240</v>
      </c>
      <c r="C600" s="56" t="s">
        <v>252</v>
      </c>
      <c r="D600" s="57" t="s">
        <v>253</v>
      </c>
      <c r="E600" s="56">
        <v>107</v>
      </c>
      <c r="F600" s="56">
        <v>108</v>
      </c>
      <c r="G600" s="56">
        <v>120</v>
      </c>
      <c r="H600" s="56">
        <v>96</v>
      </c>
      <c r="I600" s="56">
        <v>96</v>
      </c>
      <c r="J600" s="56">
        <v>82</v>
      </c>
      <c r="K600" s="52">
        <f t="shared" si="30"/>
        <v>609</v>
      </c>
      <c r="L600" s="27">
        <f t="shared" si="28"/>
        <v>2</v>
      </c>
      <c r="M600" s="62">
        <f t="shared" si="29"/>
        <v>78</v>
      </c>
      <c r="N600" s="63" t="s">
        <v>16</v>
      </c>
      <c r="O600" s="26" t="s">
        <v>42</v>
      </c>
    </row>
    <row r="601" spans="1:15" ht="16.5" customHeight="1">
      <c r="A601" s="56" t="s">
        <v>2839</v>
      </c>
      <c r="B601" s="57" t="s">
        <v>240</v>
      </c>
      <c r="C601" s="56" t="s">
        <v>1650</v>
      </c>
      <c r="D601" s="57" t="s">
        <v>1651</v>
      </c>
      <c r="E601" s="56">
        <v>107</v>
      </c>
      <c r="F601" s="56">
        <v>78</v>
      </c>
      <c r="G601" s="56">
        <v>113.5</v>
      </c>
      <c r="H601" s="56">
        <v>40</v>
      </c>
      <c r="I601" s="56">
        <v>70</v>
      </c>
      <c r="J601" s="56">
        <v>62</v>
      </c>
      <c r="K601" s="52">
        <f t="shared" si="30"/>
        <v>470.5</v>
      </c>
      <c r="L601" s="27">
        <f t="shared" si="28"/>
        <v>46</v>
      </c>
      <c r="M601" s="62">
        <f t="shared" si="29"/>
        <v>778</v>
      </c>
      <c r="N601" s="63"/>
      <c r="O601" s="26" t="s">
        <v>1</v>
      </c>
    </row>
    <row r="602" spans="1:15" ht="16.5" customHeight="1">
      <c r="A602" s="56" t="s">
        <v>2840</v>
      </c>
      <c r="B602" s="57" t="s">
        <v>240</v>
      </c>
      <c r="C602" s="56" t="s">
        <v>998</v>
      </c>
      <c r="D602" s="57" t="s">
        <v>999</v>
      </c>
      <c r="E602" s="56">
        <v>103</v>
      </c>
      <c r="F602" s="56">
        <v>82</v>
      </c>
      <c r="G602" s="56">
        <v>126</v>
      </c>
      <c r="H602" s="56">
        <v>71</v>
      </c>
      <c r="I602" s="56">
        <v>80</v>
      </c>
      <c r="J602" s="56">
        <v>66</v>
      </c>
      <c r="K602" s="52">
        <f t="shared" si="30"/>
        <v>528</v>
      </c>
      <c r="L602" s="27">
        <f t="shared" si="28"/>
        <v>28</v>
      </c>
      <c r="M602" s="62">
        <f t="shared" si="29"/>
        <v>449</v>
      </c>
      <c r="N602" s="63" t="s">
        <v>17</v>
      </c>
      <c r="O602" s="26" t="s">
        <v>2243</v>
      </c>
    </row>
    <row r="603" spans="1:15" ht="16.5" customHeight="1">
      <c r="A603" s="56" t="s">
        <v>2841</v>
      </c>
      <c r="B603" s="57" t="s">
        <v>240</v>
      </c>
      <c r="C603" s="56" t="s">
        <v>1656</v>
      </c>
      <c r="D603" s="57" t="s">
        <v>1657</v>
      </c>
      <c r="E603" s="56">
        <v>112</v>
      </c>
      <c r="F603" s="56">
        <v>67</v>
      </c>
      <c r="G603" s="56">
        <v>130.5</v>
      </c>
      <c r="H603" s="56">
        <v>44</v>
      </c>
      <c r="I603" s="56">
        <v>56</v>
      </c>
      <c r="J603" s="56">
        <v>60</v>
      </c>
      <c r="K603" s="52">
        <f t="shared" si="30"/>
        <v>469.5</v>
      </c>
      <c r="L603" s="27">
        <f t="shared" si="28"/>
        <v>47</v>
      </c>
      <c r="M603" s="62">
        <f t="shared" si="29"/>
        <v>781</v>
      </c>
      <c r="N603" s="63" t="s">
        <v>17</v>
      </c>
      <c r="O603" s="26" t="s">
        <v>2243</v>
      </c>
    </row>
    <row r="604" spans="1:15" ht="16.5" customHeight="1">
      <c r="A604" s="56" t="s">
        <v>2842</v>
      </c>
      <c r="B604" s="57" t="s">
        <v>240</v>
      </c>
      <c r="C604" s="56" t="s">
        <v>1742</v>
      </c>
      <c r="D604" s="57" t="s">
        <v>1743</v>
      </c>
      <c r="E604" s="56">
        <v>103</v>
      </c>
      <c r="F604" s="56">
        <v>70</v>
      </c>
      <c r="G604" s="56">
        <v>110.5</v>
      </c>
      <c r="H604" s="56">
        <v>44</v>
      </c>
      <c r="I604" s="56">
        <v>76</v>
      </c>
      <c r="J604" s="56">
        <v>54</v>
      </c>
      <c r="K604" s="52">
        <f t="shared" si="30"/>
        <v>457.5</v>
      </c>
      <c r="L604" s="27">
        <f t="shared" si="28"/>
        <v>51</v>
      </c>
      <c r="M604" s="62">
        <f t="shared" si="29"/>
        <v>825</v>
      </c>
      <c r="N604" s="63" t="s">
        <v>16</v>
      </c>
      <c r="O604" s="26" t="s">
        <v>44</v>
      </c>
    </row>
    <row r="605" spans="1:15" ht="16.5" customHeight="1">
      <c r="A605" s="56" t="s">
        <v>2843</v>
      </c>
      <c r="B605" s="57" t="s">
        <v>240</v>
      </c>
      <c r="C605" s="56" t="s">
        <v>641</v>
      </c>
      <c r="D605" s="57" t="s">
        <v>642</v>
      </c>
      <c r="E605" s="56">
        <v>105</v>
      </c>
      <c r="F605" s="56">
        <v>117</v>
      </c>
      <c r="G605" s="56">
        <v>108.5</v>
      </c>
      <c r="H605" s="56">
        <v>75</v>
      </c>
      <c r="I605" s="56">
        <v>83</v>
      </c>
      <c r="J605" s="56">
        <v>73</v>
      </c>
      <c r="K605" s="52">
        <f t="shared" si="30"/>
        <v>561.5</v>
      </c>
      <c r="L605" s="27">
        <f t="shared" si="28"/>
        <v>13</v>
      </c>
      <c r="M605" s="62">
        <f t="shared" si="29"/>
        <v>273</v>
      </c>
      <c r="N605" s="63" t="s">
        <v>17</v>
      </c>
      <c r="O605" s="26" t="s">
        <v>2243</v>
      </c>
    </row>
    <row r="606" spans="1:15" ht="16.5" customHeight="1">
      <c r="A606" s="56" t="s">
        <v>2844</v>
      </c>
      <c r="B606" s="57" t="s">
        <v>240</v>
      </c>
      <c r="C606" s="56" t="s">
        <v>1052</v>
      </c>
      <c r="D606" s="57" t="s">
        <v>1053</v>
      </c>
      <c r="E606" s="56">
        <v>114</v>
      </c>
      <c r="F606" s="56">
        <v>75</v>
      </c>
      <c r="G606" s="56">
        <v>118.5</v>
      </c>
      <c r="H606" s="56">
        <v>65</v>
      </c>
      <c r="I606" s="56">
        <v>78</v>
      </c>
      <c r="J606" s="56">
        <v>73</v>
      </c>
      <c r="K606" s="52">
        <f t="shared" si="30"/>
        <v>523.5</v>
      </c>
      <c r="L606" s="27">
        <f t="shared" si="28"/>
        <v>31</v>
      </c>
      <c r="M606" s="62">
        <f t="shared" si="29"/>
        <v>475</v>
      </c>
      <c r="N606" s="63" t="s">
        <v>17</v>
      </c>
      <c r="O606" s="26" t="s">
        <v>2243</v>
      </c>
    </row>
    <row r="607" spans="1:15" ht="16.5" customHeight="1">
      <c r="A607" s="56" t="s">
        <v>2845</v>
      </c>
      <c r="B607" s="57" t="s">
        <v>240</v>
      </c>
      <c r="C607" s="56" t="s">
        <v>1684</v>
      </c>
      <c r="D607" s="57" t="s">
        <v>1685</v>
      </c>
      <c r="E607" s="56">
        <v>115</v>
      </c>
      <c r="F607" s="56">
        <v>66</v>
      </c>
      <c r="G607" s="56">
        <v>122</v>
      </c>
      <c r="H607" s="56">
        <v>52</v>
      </c>
      <c r="I607" s="56">
        <v>51</v>
      </c>
      <c r="J607" s="56">
        <v>60</v>
      </c>
      <c r="K607" s="52">
        <f t="shared" si="30"/>
        <v>466</v>
      </c>
      <c r="L607" s="27">
        <f t="shared" si="28"/>
        <v>50</v>
      </c>
      <c r="M607" s="62">
        <f t="shared" si="29"/>
        <v>795</v>
      </c>
      <c r="N607" s="63" t="s">
        <v>17</v>
      </c>
      <c r="O607" s="26" t="s">
        <v>2243</v>
      </c>
    </row>
    <row r="608" spans="1:15" ht="16.5" customHeight="1">
      <c r="A608" s="56" t="s">
        <v>2846</v>
      </c>
      <c r="B608" s="57" t="s">
        <v>240</v>
      </c>
      <c r="C608" s="56" t="s">
        <v>836</v>
      </c>
      <c r="D608" s="57" t="s">
        <v>837</v>
      </c>
      <c r="E608" s="56">
        <v>110</v>
      </c>
      <c r="F608" s="56">
        <v>105</v>
      </c>
      <c r="G608" s="56">
        <v>101.5</v>
      </c>
      <c r="H608" s="56">
        <v>73</v>
      </c>
      <c r="I608" s="56">
        <v>83</v>
      </c>
      <c r="J608" s="56">
        <v>69</v>
      </c>
      <c r="K608" s="52">
        <f t="shared" si="30"/>
        <v>541.5</v>
      </c>
      <c r="L608" s="27">
        <f t="shared" si="28"/>
        <v>22</v>
      </c>
      <c r="M608" s="62">
        <f t="shared" si="29"/>
        <v>372</v>
      </c>
      <c r="N608" s="63" t="s">
        <v>17</v>
      </c>
      <c r="O608" s="26" t="s">
        <v>2243</v>
      </c>
    </row>
    <row r="609" spans="1:15" ht="16.5" customHeight="1">
      <c r="A609" s="56" t="s">
        <v>2847</v>
      </c>
      <c r="B609" s="57" t="s">
        <v>240</v>
      </c>
      <c r="C609" s="56" t="s">
        <v>270</v>
      </c>
      <c r="D609" s="57" t="s">
        <v>271</v>
      </c>
      <c r="E609" s="56">
        <v>107</v>
      </c>
      <c r="F609" s="56">
        <v>135</v>
      </c>
      <c r="G609" s="56">
        <v>123.5</v>
      </c>
      <c r="H609" s="56">
        <v>79</v>
      </c>
      <c r="I609" s="56">
        <v>92</v>
      </c>
      <c r="J609" s="56">
        <v>70</v>
      </c>
      <c r="K609" s="52">
        <f t="shared" si="30"/>
        <v>606.5</v>
      </c>
      <c r="L609" s="27">
        <f t="shared" si="28"/>
        <v>4</v>
      </c>
      <c r="M609" s="62">
        <f t="shared" si="29"/>
        <v>87</v>
      </c>
      <c r="N609" s="63" t="s">
        <v>16</v>
      </c>
      <c r="O609" s="26" t="s">
        <v>42</v>
      </c>
    </row>
    <row r="610" spans="1:15" ht="16.5" customHeight="1">
      <c r="A610" s="56" t="s">
        <v>2848</v>
      </c>
      <c r="B610" s="57" t="s">
        <v>240</v>
      </c>
      <c r="C610" s="56" t="s">
        <v>1080</v>
      </c>
      <c r="D610" s="57" t="s">
        <v>1081</v>
      </c>
      <c r="E610" s="56">
        <v>95</v>
      </c>
      <c r="F610" s="56">
        <v>103</v>
      </c>
      <c r="G610" s="56">
        <v>118</v>
      </c>
      <c r="H610" s="56">
        <v>74</v>
      </c>
      <c r="I610" s="56">
        <v>83</v>
      </c>
      <c r="J610" s="56">
        <v>49</v>
      </c>
      <c r="K610" s="52">
        <f t="shared" si="30"/>
        <v>522</v>
      </c>
      <c r="L610" s="27">
        <f t="shared" si="28"/>
        <v>34</v>
      </c>
      <c r="M610" s="62">
        <f t="shared" si="29"/>
        <v>491</v>
      </c>
      <c r="N610" s="63" t="s">
        <v>16</v>
      </c>
      <c r="O610" s="26" t="s">
        <v>2243</v>
      </c>
    </row>
    <row r="611" spans="1:15" ht="16.5" customHeight="1">
      <c r="A611" s="56" t="s">
        <v>2849</v>
      </c>
      <c r="B611" s="57" t="s">
        <v>240</v>
      </c>
      <c r="C611" s="56" t="s">
        <v>238</v>
      </c>
      <c r="D611" s="57" t="s">
        <v>239</v>
      </c>
      <c r="E611" s="56">
        <v>103</v>
      </c>
      <c r="F611" s="56">
        <v>144</v>
      </c>
      <c r="G611" s="56">
        <v>99.5</v>
      </c>
      <c r="H611" s="56">
        <v>98</v>
      </c>
      <c r="I611" s="56">
        <v>87</v>
      </c>
      <c r="J611" s="56">
        <v>79</v>
      </c>
      <c r="K611" s="52">
        <f t="shared" si="30"/>
        <v>610.5</v>
      </c>
      <c r="L611" s="27">
        <f t="shared" si="28"/>
        <v>1</v>
      </c>
      <c r="M611" s="62">
        <f t="shared" si="29"/>
        <v>72</v>
      </c>
      <c r="N611" s="63" t="s">
        <v>16</v>
      </c>
      <c r="O611" s="26" t="s">
        <v>2243</v>
      </c>
    </row>
    <row r="612" spans="1:15" ht="16.5" customHeight="1">
      <c r="A612" s="56" t="s">
        <v>2850</v>
      </c>
      <c r="B612" s="57" t="s">
        <v>240</v>
      </c>
      <c r="C612" s="56" t="s">
        <v>490</v>
      </c>
      <c r="D612" s="57" t="s">
        <v>491</v>
      </c>
      <c r="E612" s="56">
        <v>114</v>
      </c>
      <c r="F612" s="56">
        <v>116</v>
      </c>
      <c r="G612" s="56">
        <v>106</v>
      </c>
      <c r="H612" s="56">
        <v>84</v>
      </c>
      <c r="I612" s="56">
        <v>81</v>
      </c>
      <c r="J612" s="56">
        <v>76</v>
      </c>
      <c r="K612" s="52">
        <f t="shared" si="30"/>
        <v>577</v>
      </c>
      <c r="L612" s="27">
        <f t="shared" si="28"/>
        <v>8</v>
      </c>
      <c r="M612" s="62">
        <f t="shared" si="29"/>
        <v>197</v>
      </c>
      <c r="N612" s="63" t="s">
        <v>16</v>
      </c>
      <c r="O612" s="26" t="s">
        <v>42</v>
      </c>
    </row>
    <row r="613" spans="1:15" ht="16.5" customHeight="1">
      <c r="A613" s="56" t="s">
        <v>2851</v>
      </c>
      <c r="B613" s="57" t="s">
        <v>240</v>
      </c>
      <c r="C613" s="56" t="s">
        <v>1526</v>
      </c>
      <c r="D613" s="57" t="s">
        <v>1527</v>
      </c>
      <c r="E613" s="56">
        <v>100</v>
      </c>
      <c r="F613" s="56">
        <v>98</v>
      </c>
      <c r="G613" s="56">
        <v>92.5</v>
      </c>
      <c r="H613" s="56">
        <v>45</v>
      </c>
      <c r="I613" s="56">
        <v>84</v>
      </c>
      <c r="J613" s="56">
        <v>65</v>
      </c>
      <c r="K613" s="52">
        <f t="shared" si="30"/>
        <v>484.5</v>
      </c>
      <c r="L613" s="27">
        <f t="shared" si="28"/>
        <v>40</v>
      </c>
      <c r="M613" s="62">
        <f t="shared" si="29"/>
        <v>715</v>
      </c>
      <c r="N613" s="63" t="s">
        <v>16</v>
      </c>
      <c r="O613" s="26" t="s">
        <v>44</v>
      </c>
    </row>
    <row r="614" spans="1:15" ht="16.5" customHeight="1">
      <c r="A614" s="56" t="s">
        <v>2852</v>
      </c>
      <c r="B614" s="57" t="s">
        <v>240</v>
      </c>
      <c r="C614" s="56" t="s">
        <v>581</v>
      </c>
      <c r="D614" s="57" t="s">
        <v>582</v>
      </c>
      <c r="E614" s="56">
        <v>111</v>
      </c>
      <c r="F614" s="56">
        <v>109</v>
      </c>
      <c r="G614" s="56">
        <v>113.5</v>
      </c>
      <c r="H614" s="56">
        <v>71</v>
      </c>
      <c r="I614" s="56">
        <v>90</v>
      </c>
      <c r="J614" s="56">
        <v>74</v>
      </c>
      <c r="K614" s="52">
        <f t="shared" si="30"/>
        <v>568.5</v>
      </c>
      <c r="L614" s="27">
        <f t="shared" si="28"/>
        <v>10</v>
      </c>
      <c r="M614" s="62">
        <f t="shared" si="29"/>
        <v>243</v>
      </c>
      <c r="N614" s="63" t="s">
        <v>16</v>
      </c>
      <c r="O614" s="26" t="s">
        <v>44</v>
      </c>
    </row>
    <row r="615" spans="1:15" ht="16.5" customHeight="1">
      <c r="A615" s="56" t="s">
        <v>2853</v>
      </c>
      <c r="B615" s="57" t="s">
        <v>240</v>
      </c>
      <c r="C615" s="56" t="s">
        <v>890</v>
      </c>
      <c r="D615" s="57" t="s">
        <v>891</v>
      </c>
      <c r="E615" s="56">
        <v>72</v>
      </c>
      <c r="F615" s="56">
        <v>125</v>
      </c>
      <c r="G615" s="56">
        <v>102.5</v>
      </c>
      <c r="H615" s="56">
        <v>73</v>
      </c>
      <c r="I615" s="56">
        <v>90</v>
      </c>
      <c r="J615" s="56">
        <v>75</v>
      </c>
      <c r="K615" s="52">
        <f t="shared" si="30"/>
        <v>537.5</v>
      </c>
      <c r="L615" s="27">
        <f t="shared" si="28"/>
        <v>23</v>
      </c>
      <c r="M615" s="62">
        <f t="shared" si="29"/>
        <v>396</v>
      </c>
      <c r="N615" s="63" t="s">
        <v>16</v>
      </c>
      <c r="O615" s="26" t="s">
        <v>42</v>
      </c>
    </row>
    <row r="616" spans="1:15" ht="16.5" customHeight="1">
      <c r="A616" s="56" t="s">
        <v>2854</v>
      </c>
      <c r="B616" s="57" t="s">
        <v>240</v>
      </c>
      <c r="C616" s="56" t="s">
        <v>736</v>
      </c>
      <c r="D616" s="57" t="s">
        <v>737</v>
      </c>
      <c r="E616" s="56">
        <v>127</v>
      </c>
      <c r="F616" s="56">
        <v>91</v>
      </c>
      <c r="G616" s="56">
        <v>111</v>
      </c>
      <c r="H616" s="56">
        <v>72</v>
      </c>
      <c r="I616" s="56">
        <v>86</v>
      </c>
      <c r="J616" s="56">
        <v>65</v>
      </c>
      <c r="K616" s="52">
        <f t="shared" si="30"/>
        <v>552</v>
      </c>
      <c r="L616" s="27">
        <f t="shared" si="28"/>
        <v>16</v>
      </c>
      <c r="M616" s="62">
        <f t="shared" si="29"/>
        <v>319</v>
      </c>
      <c r="N616" s="63" t="s">
        <v>16</v>
      </c>
      <c r="O616" s="26" t="s">
        <v>2243</v>
      </c>
    </row>
    <row r="617" spans="1:15" ht="16.5" customHeight="1">
      <c r="A617" s="56" t="s">
        <v>2855</v>
      </c>
      <c r="B617" s="57" t="s">
        <v>169</v>
      </c>
      <c r="C617" s="56" t="s">
        <v>615</v>
      </c>
      <c r="D617" s="57" t="s">
        <v>616</v>
      </c>
      <c r="E617" s="56">
        <v>108</v>
      </c>
      <c r="F617" s="56">
        <v>112</v>
      </c>
      <c r="G617" s="56">
        <v>99.5</v>
      </c>
      <c r="H617" s="56">
        <v>83</v>
      </c>
      <c r="I617" s="56">
        <v>92</v>
      </c>
      <c r="J617" s="56">
        <v>70</v>
      </c>
      <c r="K617" s="52">
        <f t="shared" si="30"/>
        <v>564.5</v>
      </c>
      <c r="L617" s="27">
        <f>RANK(K617,$K$617:$K$672)</f>
        <v>14</v>
      </c>
      <c r="M617" s="62">
        <f t="shared" si="29"/>
        <v>260</v>
      </c>
      <c r="N617" s="63" t="s">
        <v>16</v>
      </c>
      <c r="O617" s="26" t="s">
        <v>2243</v>
      </c>
    </row>
    <row r="618" spans="1:15" ht="16.5" customHeight="1">
      <c r="A618" s="56" t="s">
        <v>2856</v>
      </c>
      <c r="B618" s="57" t="s">
        <v>169</v>
      </c>
      <c r="C618" s="56" t="s">
        <v>635</v>
      </c>
      <c r="D618" s="57" t="s">
        <v>636</v>
      </c>
      <c r="E618" s="56">
        <v>109</v>
      </c>
      <c r="F618" s="56">
        <v>122</v>
      </c>
      <c r="G618" s="56">
        <v>119</v>
      </c>
      <c r="H618" s="56">
        <v>63</v>
      </c>
      <c r="I618" s="56">
        <v>80</v>
      </c>
      <c r="J618" s="56">
        <v>70</v>
      </c>
      <c r="K618" s="52">
        <f t="shared" si="30"/>
        <v>563</v>
      </c>
      <c r="L618" s="27">
        <f t="shared" ref="L618:L672" si="31">RANK(K618,$K$617:$K$672)</f>
        <v>15</v>
      </c>
      <c r="M618" s="62">
        <f t="shared" si="29"/>
        <v>270</v>
      </c>
      <c r="N618" s="63" t="s">
        <v>16</v>
      </c>
      <c r="O618" s="26" t="s">
        <v>2243</v>
      </c>
    </row>
    <row r="619" spans="1:15" ht="16.5" customHeight="1">
      <c r="A619" s="56" t="s">
        <v>2857</v>
      </c>
      <c r="B619" s="57" t="s">
        <v>169</v>
      </c>
      <c r="C619" s="56" t="s">
        <v>1948</v>
      </c>
      <c r="D619" s="57" t="s">
        <v>1949</v>
      </c>
      <c r="E619" s="56">
        <v>103</v>
      </c>
      <c r="F619" s="56">
        <v>38</v>
      </c>
      <c r="G619" s="56">
        <v>108.5</v>
      </c>
      <c r="H619" s="56">
        <v>55</v>
      </c>
      <c r="I619" s="56">
        <v>57</v>
      </c>
      <c r="J619" s="56">
        <v>40</v>
      </c>
      <c r="K619" s="52">
        <f t="shared" si="30"/>
        <v>401.5</v>
      </c>
      <c r="L619" s="27">
        <f t="shared" si="31"/>
        <v>54</v>
      </c>
      <c r="M619" s="62">
        <f t="shared" si="29"/>
        <v>928</v>
      </c>
      <c r="N619" s="63" t="s">
        <v>17</v>
      </c>
      <c r="O619" s="26" t="s">
        <v>42</v>
      </c>
    </row>
    <row r="620" spans="1:15" ht="16.5" customHeight="1">
      <c r="A620" s="56" t="s">
        <v>2858</v>
      </c>
      <c r="B620" s="57" t="s">
        <v>169</v>
      </c>
      <c r="C620" s="56" t="s">
        <v>1670</v>
      </c>
      <c r="D620" s="57" t="s">
        <v>1671</v>
      </c>
      <c r="E620" s="56">
        <v>119</v>
      </c>
      <c r="F620" s="56">
        <v>78</v>
      </c>
      <c r="G620" s="56">
        <v>114.5</v>
      </c>
      <c r="H620" s="56">
        <v>54</v>
      </c>
      <c r="I620" s="56">
        <v>54</v>
      </c>
      <c r="J620" s="56">
        <v>47</v>
      </c>
      <c r="K620" s="52">
        <f t="shared" si="30"/>
        <v>466.5</v>
      </c>
      <c r="L620" s="27">
        <f t="shared" si="31"/>
        <v>43</v>
      </c>
      <c r="M620" s="62">
        <f t="shared" si="29"/>
        <v>787</v>
      </c>
      <c r="N620" s="63" t="s">
        <v>17</v>
      </c>
      <c r="O620" s="26" t="s">
        <v>2243</v>
      </c>
    </row>
    <row r="621" spans="1:15" ht="16.5" customHeight="1">
      <c r="A621" s="56" t="s">
        <v>2859</v>
      </c>
      <c r="B621" s="57" t="s">
        <v>169</v>
      </c>
      <c r="C621" s="56" t="s">
        <v>1672</v>
      </c>
      <c r="D621" s="57" t="s">
        <v>1673</v>
      </c>
      <c r="E621" s="56">
        <v>109</v>
      </c>
      <c r="F621" s="56">
        <v>71</v>
      </c>
      <c r="G621" s="56">
        <v>107.5</v>
      </c>
      <c r="H621" s="56">
        <v>44</v>
      </c>
      <c r="I621" s="56">
        <v>84</v>
      </c>
      <c r="J621" s="56">
        <v>51</v>
      </c>
      <c r="K621" s="52">
        <f t="shared" si="30"/>
        <v>466.5</v>
      </c>
      <c r="L621" s="27">
        <f t="shared" si="31"/>
        <v>43</v>
      </c>
      <c r="M621" s="62">
        <f t="shared" si="29"/>
        <v>787</v>
      </c>
      <c r="N621" s="63" t="s">
        <v>17</v>
      </c>
      <c r="O621" s="26" t="s">
        <v>2243</v>
      </c>
    </row>
    <row r="622" spans="1:15" ht="16.5" customHeight="1">
      <c r="A622" s="56" t="s">
        <v>2860</v>
      </c>
      <c r="B622" s="57" t="s">
        <v>169</v>
      </c>
      <c r="C622" s="56" t="s">
        <v>1494</v>
      </c>
      <c r="D622" s="57" t="s">
        <v>1495</v>
      </c>
      <c r="E622" s="56">
        <v>109</v>
      </c>
      <c r="F622" s="56">
        <v>71</v>
      </c>
      <c r="G622" s="56">
        <v>111.5</v>
      </c>
      <c r="H622" s="56">
        <v>62</v>
      </c>
      <c r="I622" s="56">
        <v>77</v>
      </c>
      <c r="J622" s="56">
        <v>58</v>
      </c>
      <c r="K622" s="52">
        <f t="shared" si="30"/>
        <v>488.5</v>
      </c>
      <c r="L622" s="27">
        <f t="shared" si="31"/>
        <v>40</v>
      </c>
      <c r="M622" s="62">
        <f t="shared" si="29"/>
        <v>701</v>
      </c>
      <c r="N622" s="63" t="s">
        <v>16</v>
      </c>
      <c r="O622" s="26" t="s">
        <v>2243</v>
      </c>
    </row>
    <row r="623" spans="1:15" ht="16.5" customHeight="1">
      <c r="A623" s="56" t="s">
        <v>2861</v>
      </c>
      <c r="B623" s="57" t="s">
        <v>169</v>
      </c>
      <c r="C623" s="56" t="s">
        <v>707</v>
      </c>
      <c r="D623" s="57" t="s">
        <v>708</v>
      </c>
      <c r="E623" s="56">
        <v>116</v>
      </c>
      <c r="F623" s="56">
        <v>102</v>
      </c>
      <c r="G623" s="56">
        <v>109.5</v>
      </c>
      <c r="H623" s="56">
        <v>73</v>
      </c>
      <c r="I623" s="56">
        <v>80</v>
      </c>
      <c r="J623" s="56">
        <v>74</v>
      </c>
      <c r="K623" s="52">
        <f t="shared" si="30"/>
        <v>554.5</v>
      </c>
      <c r="L623" s="27">
        <f t="shared" si="31"/>
        <v>18</v>
      </c>
      <c r="M623" s="62">
        <f t="shared" si="29"/>
        <v>304</v>
      </c>
      <c r="N623" s="63" t="s">
        <v>17</v>
      </c>
      <c r="O623" s="26" t="s">
        <v>2243</v>
      </c>
    </row>
    <row r="624" spans="1:15" ht="16.5" customHeight="1">
      <c r="A624" s="56" t="s">
        <v>2862</v>
      </c>
      <c r="B624" s="57" t="s">
        <v>169</v>
      </c>
      <c r="C624" s="56" t="s">
        <v>189</v>
      </c>
      <c r="D624" s="57" t="s">
        <v>190</v>
      </c>
      <c r="E624" s="56">
        <v>114</v>
      </c>
      <c r="F624" s="56">
        <v>127</v>
      </c>
      <c r="G624" s="56">
        <v>131</v>
      </c>
      <c r="H624" s="56">
        <v>99</v>
      </c>
      <c r="I624" s="56">
        <v>80</v>
      </c>
      <c r="J624" s="56">
        <v>71</v>
      </c>
      <c r="K624" s="52">
        <f t="shared" si="30"/>
        <v>622</v>
      </c>
      <c r="L624" s="27">
        <f t="shared" si="31"/>
        <v>3</v>
      </c>
      <c r="M624" s="62">
        <f t="shared" si="29"/>
        <v>49</v>
      </c>
      <c r="N624" s="63" t="s">
        <v>16</v>
      </c>
      <c r="O624" s="26" t="s">
        <v>42</v>
      </c>
    </row>
    <row r="625" spans="1:15" ht="16.5" customHeight="1">
      <c r="A625" s="56" t="s">
        <v>2863</v>
      </c>
      <c r="B625" s="57" t="s">
        <v>169</v>
      </c>
      <c r="C625" s="56" t="s">
        <v>187</v>
      </c>
      <c r="D625" s="57" t="s">
        <v>188</v>
      </c>
      <c r="E625" s="56">
        <v>105</v>
      </c>
      <c r="F625" s="56">
        <v>125</v>
      </c>
      <c r="G625" s="56">
        <v>125</v>
      </c>
      <c r="H625" s="56">
        <v>97</v>
      </c>
      <c r="I625" s="56">
        <v>85</v>
      </c>
      <c r="J625" s="56">
        <v>86</v>
      </c>
      <c r="K625" s="52">
        <f t="shared" si="30"/>
        <v>623</v>
      </c>
      <c r="L625" s="27">
        <f t="shared" si="31"/>
        <v>2</v>
      </c>
      <c r="M625" s="62">
        <f t="shared" si="29"/>
        <v>48</v>
      </c>
      <c r="N625" s="63" t="s">
        <v>16</v>
      </c>
      <c r="O625" s="26" t="s">
        <v>2243</v>
      </c>
    </row>
    <row r="626" spans="1:15" ht="16.5" customHeight="1">
      <c r="A626" s="56" t="s">
        <v>2864</v>
      </c>
      <c r="B626" s="57" t="s">
        <v>169</v>
      </c>
      <c r="C626" s="56" t="s">
        <v>643</v>
      </c>
      <c r="D626" s="57" t="s">
        <v>644</v>
      </c>
      <c r="E626" s="56">
        <v>109</v>
      </c>
      <c r="F626" s="56">
        <v>122</v>
      </c>
      <c r="G626" s="56">
        <v>106</v>
      </c>
      <c r="H626" s="56">
        <v>75</v>
      </c>
      <c r="I626" s="56">
        <v>81</v>
      </c>
      <c r="J626" s="56">
        <v>68</v>
      </c>
      <c r="K626" s="52">
        <f t="shared" si="30"/>
        <v>561</v>
      </c>
      <c r="L626" s="27">
        <f t="shared" si="31"/>
        <v>16</v>
      </c>
      <c r="M626" s="62">
        <f t="shared" si="29"/>
        <v>275</v>
      </c>
      <c r="N626" s="63" t="s">
        <v>16</v>
      </c>
      <c r="O626" s="26" t="s">
        <v>42</v>
      </c>
    </row>
    <row r="627" spans="1:15" ht="16.5" customHeight="1">
      <c r="A627" s="56" t="s">
        <v>2865</v>
      </c>
      <c r="B627" s="57" t="s">
        <v>169</v>
      </c>
      <c r="C627" s="56" t="s">
        <v>1682</v>
      </c>
      <c r="D627" s="57" t="s">
        <v>1683</v>
      </c>
      <c r="E627" s="56">
        <v>107</v>
      </c>
      <c r="F627" s="56">
        <v>78</v>
      </c>
      <c r="G627" s="56">
        <v>99</v>
      </c>
      <c r="H627" s="56">
        <v>49</v>
      </c>
      <c r="I627" s="56">
        <v>73</v>
      </c>
      <c r="J627" s="56">
        <v>60</v>
      </c>
      <c r="K627" s="52">
        <f t="shared" si="30"/>
        <v>466</v>
      </c>
      <c r="L627" s="27">
        <f t="shared" si="31"/>
        <v>46</v>
      </c>
      <c r="M627" s="62">
        <f t="shared" si="29"/>
        <v>795</v>
      </c>
      <c r="N627" s="63" t="s">
        <v>17</v>
      </c>
      <c r="O627" s="26" t="s">
        <v>2243</v>
      </c>
    </row>
    <row r="628" spans="1:15" ht="16.5" customHeight="1">
      <c r="A628" s="56" t="s">
        <v>2866</v>
      </c>
      <c r="B628" s="57" t="s">
        <v>169</v>
      </c>
      <c r="C628" s="56" t="s">
        <v>1294</v>
      </c>
      <c r="D628" s="57" t="s">
        <v>1295</v>
      </c>
      <c r="E628" s="56">
        <v>117</v>
      </c>
      <c r="F628" s="56">
        <v>74</v>
      </c>
      <c r="G628" s="56">
        <v>110</v>
      </c>
      <c r="H628" s="56">
        <v>68</v>
      </c>
      <c r="I628" s="56">
        <v>72</v>
      </c>
      <c r="J628" s="56">
        <v>65</v>
      </c>
      <c r="K628" s="52">
        <f t="shared" si="30"/>
        <v>506</v>
      </c>
      <c r="L628" s="27">
        <f t="shared" si="31"/>
        <v>37</v>
      </c>
      <c r="M628" s="62">
        <f t="shared" si="29"/>
        <v>600</v>
      </c>
      <c r="N628" s="63" t="s">
        <v>16</v>
      </c>
      <c r="O628" s="26" t="s">
        <v>2243</v>
      </c>
    </row>
    <row r="629" spans="1:15" ht="16.5" customHeight="1">
      <c r="A629" s="56" t="s">
        <v>2867</v>
      </c>
      <c r="B629" s="57" t="s">
        <v>169</v>
      </c>
      <c r="C629" s="56" t="s">
        <v>464</v>
      </c>
      <c r="D629" s="57" t="s">
        <v>465</v>
      </c>
      <c r="E629" s="56">
        <v>112</v>
      </c>
      <c r="F629" s="56">
        <v>108</v>
      </c>
      <c r="G629" s="56">
        <v>102</v>
      </c>
      <c r="H629" s="56">
        <v>87</v>
      </c>
      <c r="I629" s="56">
        <v>87</v>
      </c>
      <c r="J629" s="56">
        <v>84</v>
      </c>
      <c r="K629" s="52">
        <f t="shared" si="30"/>
        <v>580</v>
      </c>
      <c r="L629" s="27">
        <f t="shared" si="31"/>
        <v>9</v>
      </c>
      <c r="M629" s="62">
        <f t="shared" si="29"/>
        <v>180</v>
      </c>
      <c r="N629" s="63" t="s">
        <v>16</v>
      </c>
      <c r="O629" s="26" t="s">
        <v>2243</v>
      </c>
    </row>
    <row r="630" spans="1:15" ht="16.5" customHeight="1">
      <c r="A630" s="56" t="s">
        <v>2868</v>
      </c>
      <c r="B630" s="57" t="s">
        <v>169</v>
      </c>
      <c r="C630" s="56" t="s">
        <v>986</v>
      </c>
      <c r="D630" s="57" t="s">
        <v>987</v>
      </c>
      <c r="E630" s="56">
        <v>113</v>
      </c>
      <c r="F630" s="56">
        <v>91</v>
      </c>
      <c r="G630" s="56">
        <v>114.5</v>
      </c>
      <c r="H630" s="56">
        <v>67</v>
      </c>
      <c r="I630" s="56">
        <v>73</v>
      </c>
      <c r="J630" s="56">
        <v>70</v>
      </c>
      <c r="K630" s="52">
        <f t="shared" si="30"/>
        <v>528.5</v>
      </c>
      <c r="L630" s="27">
        <f t="shared" si="31"/>
        <v>27</v>
      </c>
      <c r="M630" s="62">
        <f t="shared" si="29"/>
        <v>445</v>
      </c>
      <c r="N630" s="63" t="s">
        <v>17</v>
      </c>
      <c r="O630" s="26" t="s">
        <v>2243</v>
      </c>
    </row>
    <row r="631" spans="1:15" ht="16.5" customHeight="1">
      <c r="A631" s="56" t="s">
        <v>2869</v>
      </c>
      <c r="B631" s="57" t="s">
        <v>169</v>
      </c>
      <c r="C631" s="56" t="s">
        <v>1940</v>
      </c>
      <c r="D631" s="57" t="s">
        <v>1941</v>
      </c>
      <c r="E631" s="56">
        <v>95</v>
      </c>
      <c r="F631" s="56">
        <v>75</v>
      </c>
      <c r="G631" s="56">
        <v>87.5</v>
      </c>
      <c r="H631" s="56">
        <v>41</v>
      </c>
      <c r="I631" s="56">
        <v>58</v>
      </c>
      <c r="J631" s="56">
        <v>50</v>
      </c>
      <c r="K631" s="52">
        <f t="shared" si="30"/>
        <v>406.5</v>
      </c>
      <c r="L631" s="27">
        <f t="shared" si="31"/>
        <v>53</v>
      </c>
      <c r="M631" s="62">
        <f t="shared" si="29"/>
        <v>924</v>
      </c>
      <c r="N631" s="63" t="s">
        <v>17</v>
      </c>
      <c r="O631" s="26" t="s">
        <v>2243</v>
      </c>
    </row>
    <row r="632" spans="1:15" ht="16.5" customHeight="1">
      <c r="A632" s="56" t="s">
        <v>2870</v>
      </c>
      <c r="B632" s="57" t="s">
        <v>169</v>
      </c>
      <c r="C632" s="56" t="s">
        <v>1958</v>
      </c>
      <c r="D632" s="57" t="s">
        <v>1959</v>
      </c>
      <c r="E632" s="56">
        <v>95</v>
      </c>
      <c r="F632" s="56">
        <v>48</v>
      </c>
      <c r="G632" s="56">
        <v>70</v>
      </c>
      <c r="H632" s="56">
        <v>41</v>
      </c>
      <c r="I632" s="56">
        <v>81</v>
      </c>
      <c r="J632" s="56">
        <v>59</v>
      </c>
      <c r="K632" s="52">
        <f t="shared" si="30"/>
        <v>394</v>
      </c>
      <c r="L632" s="27">
        <f t="shared" si="31"/>
        <v>55</v>
      </c>
      <c r="M632" s="62">
        <f t="shared" si="29"/>
        <v>933</v>
      </c>
      <c r="N632" s="63" t="s">
        <v>17</v>
      </c>
      <c r="O632" s="26" t="s">
        <v>42</v>
      </c>
    </row>
    <row r="633" spans="1:15" ht="16.5" customHeight="1">
      <c r="A633" s="56" t="s">
        <v>2871</v>
      </c>
      <c r="B633" s="57" t="s">
        <v>169</v>
      </c>
      <c r="C633" s="56" t="s">
        <v>211</v>
      </c>
      <c r="D633" s="57" t="s">
        <v>212</v>
      </c>
      <c r="E633" s="56">
        <v>109</v>
      </c>
      <c r="F633" s="56">
        <v>130</v>
      </c>
      <c r="G633" s="56">
        <v>121</v>
      </c>
      <c r="H633" s="56">
        <v>100</v>
      </c>
      <c r="I633" s="56">
        <v>78</v>
      </c>
      <c r="J633" s="56">
        <v>79</v>
      </c>
      <c r="K633" s="52">
        <f t="shared" si="30"/>
        <v>617</v>
      </c>
      <c r="L633" s="27">
        <f t="shared" si="31"/>
        <v>4</v>
      </c>
      <c r="M633" s="62">
        <f t="shared" si="29"/>
        <v>59</v>
      </c>
      <c r="N633" s="63" t="s">
        <v>16</v>
      </c>
      <c r="O633" s="26" t="s">
        <v>42</v>
      </c>
    </row>
    <row r="634" spans="1:15" ht="16.5" customHeight="1">
      <c r="A634" s="56" t="s">
        <v>2872</v>
      </c>
      <c r="B634" s="57" t="s">
        <v>169</v>
      </c>
      <c r="C634" s="56" t="s">
        <v>1974</v>
      </c>
      <c r="D634" s="57" t="s">
        <v>1975</v>
      </c>
      <c r="E634" s="56">
        <v>102</v>
      </c>
      <c r="F634" s="56">
        <v>48</v>
      </c>
      <c r="G634" s="56">
        <v>80.5</v>
      </c>
      <c r="H634" s="56">
        <v>25</v>
      </c>
      <c r="I634" s="56">
        <v>72</v>
      </c>
      <c r="J634" s="56">
        <v>54</v>
      </c>
      <c r="K634" s="52">
        <f t="shared" si="30"/>
        <v>381.5</v>
      </c>
      <c r="L634" s="27">
        <f t="shared" si="31"/>
        <v>56</v>
      </c>
      <c r="M634" s="62">
        <f t="shared" si="29"/>
        <v>941</v>
      </c>
      <c r="N634" s="63" t="s">
        <v>17</v>
      </c>
      <c r="O634" s="26" t="s">
        <v>2243</v>
      </c>
    </row>
    <row r="635" spans="1:15" ht="16.5" customHeight="1">
      <c r="A635" s="56" t="s">
        <v>2873</v>
      </c>
      <c r="B635" s="57" t="s">
        <v>169</v>
      </c>
      <c r="C635" s="56" t="s">
        <v>1776</v>
      </c>
      <c r="D635" s="57" t="s">
        <v>1777</v>
      </c>
      <c r="E635" s="56">
        <v>101</v>
      </c>
      <c r="F635" s="56">
        <v>85</v>
      </c>
      <c r="G635" s="56">
        <v>83</v>
      </c>
      <c r="H635" s="56">
        <v>51</v>
      </c>
      <c r="I635" s="56">
        <v>78</v>
      </c>
      <c r="J635" s="56">
        <v>53</v>
      </c>
      <c r="K635" s="52">
        <f t="shared" si="30"/>
        <v>451</v>
      </c>
      <c r="L635" s="27">
        <f t="shared" si="31"/>
        <v>47</v>
      </c>
      <c r="M635" s="62">
        <f t="shared" si="29"/>
        <v>841</v>
      </c>
      <c r="N635" s="63" t="s">
        <v>17</v>
      </c>
      <c r="O635" s="26" t="s">
        <v>42</v>
      </c>
    </row>
    <row r="636" spans="1:15" ht="16.5" customHeight="1">
      <c r="A636" s="56" t="s">
        <v>2874</v>
      </c>
      <c r="B636" s="57" t="s">
        <v>169</v>
      </c>
      <c r="C636" s="56" t="s">
        <v>1102</v>
      </c>
      <c r="D636" s="57" t="s">
        <v>1103</v>
      </c>
      <c r="E636" s="56">
        <v>101</v>
      </c>
      <c r="F636" s="56">
        <v>88</v>
      </c>
      <c r="G636" s="56">
        <v>101</v>
      </c>
      <c r="H636" s="56">
        <v>60</v>
      </c>
      <c r="I636" s="56">
        <v>89</v>
      </c>
      <c r="J636" s="56">
        <v>81</v>
      </c>
      <c r="K636" s="52">
        <f t="shared" si="30"/>
        <v>520</v>
      </c>
      <c r="L636" s="27">
        <f t="shared" si="31"/>
        <v>30</v>
      </c>
      <c r="M636" s="62">
        <f t="shared" si="29"/>
        <v>504</v>
      </c>
      <c r="N636" s="63" t="s">
        <v>17</v>
      </c>
      <c r="O636" s="26" t="s">
        <v>2243</v>
      </c>
    </row>
    <row r="637" spans="1:15" ht="16.5" customHeight="1">
      <c r="A637" s="56" t="s">
        <v>2875</v>
      </c>
      <c r="B637" s="57" t="s">
        <v>169</v>
      </c>
      <c r="C637" s="56" t="s">
        <v>243</v>
      </c>
      <c r="D637" s="57" t="s">
        <v>244</v>
      </c>
      <c r="E637" s="56">
        <v>110</v>
      </c>
      <c r="F637" s="56">
        <v>114</v>
      </c>
      <c r="G637" s="56">
        <v>119.5</v>
      </c>
      <c r="H637" s="56">
        <v>94</v>
      </c>
      <c r="I637" s="56">
        <v>91</v>
      </c>
      <c r="J637" s="56">
        <v>81</v>
      </c>
      <c r="K637" s="52">
        <f t="shared" si="30"/>
        <v>609.5</v>
      </c>
      <c r="L637" s="27">
        <f t="shared" si="31"/>
        <v>5</v>
      </c>
      <c r="M637" s="62">
        <f t="shared" si="29"/>
        <v>74</v>
      </c>
      <c r="N637" s="63" t="s">
        <v>16</v>
      </c>
      <c r="O637" s="26" t="s">
        <v>2243</v>
      </c>
    </row>
    <row r="638" spans="1:15" ht="16.5" customHeight="1">
      <c r="A638" s="56" t="s">
        <v>2876</v>
      </c>
      <c r="B638" s="57" t="s">
        <v>169</v>
      </c>
      <c r="C638" s="56" t="s">
        <v>705</v>
      </c>
      <c r="D638" s="57" t="s">
        <v>706</v>
      </c>
      <c r="E638" s="56">
        <v>107</v>
      </c>
      <c r="F638" s="56">
        <v>84</v>
      </c>
      <c r="G638" s="56">
        <v>120.5</v>
      </c>
      <c r="H638" s="56">
        <v>83</v>
      </c>
      <c r="I638" s="56">
        <v>82</v>
      </c>
      <c r="J638" s="56">
        <v>78</v>
      </c>
      <c r="K638" s="52">
        <f t="shared" si="30"/>
        <v>554.5</v>
      </c>
      <c r="L638" s="27">
        <f t="shared" si="31"/>
        <v>18</v>
      </c>
      <c r="M638" s="62">
        <f t="shared" si="29"/>
        <v>304</v>
      </c>
      <c r="N638" s="63" t="s">
        <v>16</v>
      </c>
      <c r="O638" s="26" t="s">
        <v>2243</v>
      </c>
    </row>
    <row r="639" spans="1:15" ht="16.5" customHeight="1">
      <c r="A639" s="56" t="s">
        <v>2877</v>
      </c>
      <c r="B639" s="57" t="s">
        <v>169</v>
      </c>
      <c r="C639" s="56" t="s">
        <v>1926</v>
      </c>
      <c r="D639" s="57" t="s">
        <v>1927</v>
      </c>
      <c r="E639" s="56">
        <v>102</v>
      </c>
      <c r="F639" s="56">
        <v>63</v>
      </c>
      <c r="G639" s="56">
        <v>87</v>
      </c>
      <c r="H639" s="56">
        <v>46</v>
      </c>
      <c r="I639" s="56">
        <v>67</v>
      </c>
      <c r="J639" s="56">
        <v>51</v>
      </c>
      <c r="K639" s="52">
        <f t="shared" si="30"/>
        <v>416</v>
      </c>
      <c r="L639" s="27">
        <f t="shared" si="31"/>
        <v>51</v>
      </c>
      <c r="M639" s="62">
        <f t="shared" si="29"/>
        <v>917</v>
      </c>
      <c r="N639" s="63" t="s">
        <v>17</v>
      </c>
      <c r="O639" s="26" t="s">
        <v>42</v>
      </c>
    </row>
    <row r="640" spans="1:15" ht="16.5" customHeight="1">
      <c r="A640" s="56" t="s">
        <v>2878</v>
      </c>
      <c r="B640" s="57" t="s">
        <v>169</v>
      </c>
      <c r="C640" s="56" t="s">
        <v>1896</v>
      </c>
      <c r="D640" s="57" t="s">
        <v>1897</v>
      </c>
      <c r="E640" s="56">
        <v>100</v>
      </c>
      <c r="F640" s="56">
        <v>76</v>
      </c>
      <c r="G640" s="56">
        <v>103.5</v>
      </c>
      <c r="H640" s="56">
        <v>52</v>
      </c>
      <c r="I640" s="56">
        <v>53</v>
      </c>
      <c r="J640" s="56">
        <v>41</v>
      </c>
      <c r="K640" s="52">
        <f t="shared" si="30"/>
        <v>425.5</v>
      </c>
      <c r="L640" s="27">
        <f t="shared" si="31"/>
        <v>50</v>
      </c>
      <c r="M640" s="62">
        <f t="shared" si="29"/>
        <v>902</v>
      </c>
      <c r="N640" s="63" t="s">
        <v>17</v>
      </c>
      <c r="O640" s="26" t="s">
        <v>2243</v>
      </c>
    </row>
    <row r="641" spans="1:15" ht="16.5" customHeight="1">
      <c r="A641" s="56" t="s">
        <v>2879</v>
      </c>
      <c r="B641" s="57" t="s">
        <v>169</v>
      </c>
      <c r="C641" s="56" t="s">
        <v>1934</v>
      </c>
      <c r="D641" s="57" t="s">
        <v>1935</v>
      </c>
      <c r="E641" s="56">
        <v>98</v>
      </c>
      <c r="F641" s="56">
        <v>77</v>
      </c>
      <c r="G641" s="56">
        <v>50</v>
      </c>
      <c r="H641" s="56">
        <v>70</v>
      </c>
      <c r="I641" s="56">
        <v>74</v>
      </c>
      <c r="J641" s="56">
        <v>42</v>
      </c>
      <c r="K641" s="52">
        <f t="shared" si="30"/>
        <v>411</v>
      </c>
      <c r="L641" s="27">
        <f t="shared" si="31"/>
        <v>52</v>
      </c>
      <c r="M641" s="62">
        <f t="shared" si="29"/>
        <v>921</v>
      </c>
      <c r="N641" s="63" t="s">
        <v>17</v>
      </c>
      <c r="O641" s="26" t="s">
        <v>2243</v>
      </c>
    </row>
    <row r="642" spans="1:15" ht="16.5" customHeight="1">
      <c r="A642" s="56" t="s">
        <v>2880</v>
      </c>
      <c r="B642" s="57" t="s">
        <v>169</v>
      </c>
      <c r="C642" s="56" t="s">
        <v>1188</v>
      </c>
      <c r="D642" s="57" t="s">
        <v>1189</v>
      </c>
      <c r="E642" s="56">
        <v>101</v>
      </c>
      <c r="F642" s="56">
        <v>92</v>
      </c>
      <c r="G642" s="56">
        <v>118</v>
      </c>
      <c r="H642" s="56">
        <v>55</v>
      </c>
      <c r="I642" s="56">
        <v>83</v>
      </c>
      <c r="J642" s="56">
        <v>65</v>
      </c>
      <c r="K642" s="52">
        <f t="shared" si="30"/>
        <v>514</v>
      </c>
      <c r="L642" s="27">
        <f t="shared" si="31"/>
        <v>33</v>
      </c>
      <c r="M642" s="62">
        <f t="shared" si="29"/>
        <v>547</v>
      </c>
      <c r="N642" s="63" t="s">
        <v>16</v>
      </c>
      <c r="O642" s="26" t="s">
        <v>44</v>
      </c>
    </row>
    <row r="643" spans="1:15" ht="16.5" customHeight="1">
      <c r="A643" s="56" t="s">
        <v>2881</v>
      </c>
      <c r="B643" s="57" t="s">
        <v>169</v>
      </c>
      <c r="C643" s="56" t="s">
        <v>928</v>
      </c>
      <c r="D643" s="57" t="s">
        <v>929</v>
      </c>
      <c r="E643" s="56">
        <v>106</v>
      </c>
      <c r="F643" s="56">
        <v>94</v>
      </c>
      <c r="G643" s="56">
        <v>113.5</v>
      </c>
      <c r="H643" s="56">
        <v>56</v>
      </c>
      <c r="I643" s="56">
        <v>89</v>
      </c>
      <c r="J643" s="56">
        <v>74</v>
      </c>
      <c r="K643" s="52">
        <f t="shared" si="30"/>
        <v>532.5</v>
      </c>
      <c r="L643" s="27">
        <f t="shared" si="31"/>
        <v>25</v>
      </c>
      <c r="M643" s="62">
        <f t="shared" ref="M643:M706" si="32">RANK(K643,$K$3:$K$953)</f>
        <v>418</v>
      </c>
      <c r="N643" s="63" t="s">
        <v>16</v>
      </c>
      <c r="O643" s="26" t="s">
        <v>2243</v>
      </c>
    </row>
    <row r="644" spans="1:15" ht="16.5" customHeight="1">
      <c r="A644" s="56" t="s">
        <v>2882</v>
      </c>
      <c r="B644" s="57" t="s">
        <v>169</v>
      </c>
      <c r="C644" s="56" t="s">
        <v>436</v>
      </c>
      <c r="D644" s="57" t="s">
        <v>437</v>
      </c>
      <c r="E644" s="56">
        <v>96</v>
      </c>
      <c r="F644" s="56">
        <v>126</v>
      </c>
      <c r="G644" s="56">
        <v>98</v>
      </c>
      <c r="H644" s="56">
        <v>87</v>
      </c>
      <c r="I644" s="56">
        <v>97</v>
      </c>
      <c r="J644" s="56">
        <v>79</v>
      </c>
      <c r="K644" s="52">
        <f t="shared" ref="K644:K707" si="33">SUM(E644:J644)</f>
        <v>583</v>
      </c>
      <c r="L644" s="27">
        <f t="shared" si="31"/>
        <v>8</v>
      </c>
      <c r="M644" s="62">
        <f t="shared" si="32"/>
        <v>169</v>
      </c>
      <c r="N644" s="63" t="s">
        <v>16</v>
      </c>
      <c r="O644" s="26" t="s">
        <v>2243</v>
      </c>
    </row>
    <row r="645" spans="1:15" ht="16.5" customHeight="1">
      <c r="A645" s="56" t="s">
        <v>2883</v>
      </c>
      <c r="B645" s="57" t="s">
        <v>169</v>
      </c>
      <c r="C645" s="56" t="s">
        <v>984</v>
      </c>
      <c r="D645" s="57" t="s">
        <v>985</v>
      </c>
      <c r="E645" s="56">
        <v>110</v>
      </c>
      <c r="F645" s="56">
        <v>99</v>
      </c>
      <c r="G645" s="56">
        <v>103.5</v>
      </c>
      <c r="H645" s="56">
        <v>77</v>
      </c>
      <c r="I645" s="56">
        <v>74</v>
      </c>
      <c r="J645" s="56">
        <v>65</v>
      </c>
      <c r="K645" s="52">
        <f t="shared" si="33"/>
        <v>528.5</v>
      </c>
      <c r="L645" s="27">
        <f t="shared" si="31"/>
        <v>27</v>
      </c>
      <c r="M645" s="62">
        <f t="shared" si="32"/>
        <v>445</v>
      </c>
      <c r="N645" s="63" t="s">
        <v>16</v>
      </c>
      <c r="O645" s="26" t="s">
        <v>2243</v>
      </c>
    </row>
    <row r="646" spans="1:15" ht="16.5" customHeight="1">
      <c r="A646" s="56" t="s">
        <v>2884</v>
      </c>
      <c r="B646" s="57" t="s">
        <v>169</v>
      </c>
      <c r="C646" s="56" t="s">
        <v>1416</v>
      </c>
      <c r="D646" s="57" t="s">
        <v>1417</v>
      </c>
      <c r="E646" s="56">
        <v>102</v>
      </c>
      <c r="F646" s="56">
        <v>95</v>
      </c>
      <c r="G646" s="56">
        <v>112</v>
      </c>
      <c r="H646" s="56">
        <v>52</v>
      </c>
      <c r="I646" s="56">
        <v>75</v>
      </c>
      <c r="J646" s="56">
        <v>60</v>
      </c>
      <c r="K646" s="52">
        <f t="shared" si="33"/>
        <v>496</v>
      </c>
      <c r="L646" s="27">
        <f t="shared" si="31"/>
        <v>39</v>
      </c>
      <c r="M646" s="62">
        <f t="shared" si="32"/>
        <v>661</v>
      </c>
      <c r="N646" s="63" t="s">
        <v>16</v>
      </c>
      <c r="O646" s="26" t="s">
        <v>2243</v>
      </c>
    </row>
    <row r="647" spans="1:15" ht="16.5" customHeight="1">
      <c r="A647" s="56" t="s">
        <v>2885</v>
      </c>
      <c r="B647" s="57" t="s">
        <v>169</v>
      </c>
      <c r="C647" s="56" t="s">
        <v>760</v>
      </c>
      <c r="D647" s="57" t="s">
        <v>761</v>
      </c>
      <c r="E647" s="56">
        <v>110</v>
      </c>
      <c r="F647" s="56">
        <v>113</v>
      </c>
      <c r="G647" s="56">
        <v>111</v>
      </c>
      <c r="H647" s="56">
        <v>62</v>
      </c>
      <c r="I647" s="56">
        <v>83</v>
      </c>
      <c r="J647" s="56">
        <v>71</v>
      </c>
      <c r="K647" s="52">
        <f t="shared" si="33"/>
        <v>550</v>
      </c>
      <c r="L647" s="27">
        <f t="shared" si="31"/>
        <v>20</v>
      </c>
      <c r="M647" s="62">
        <f t="shared" si="32"/>
        <v>331</v>
      </c>
      <c r="N647" s="63" t="s">
        <v>16</v>
      </c>
      <c r="O647" s="26" t="s">
        <v>44</v>
      </c>
    </row>
    <row r="648" spans="1:15" ht="16.5" customHeight="1">
      <c r="A648" s="56" t="s">
        <v>2886</v>
      </c>
      <c r="B648" s="57" t="s">
        <v>169</v>
      </c>
      <c r="C648" s="56" t="s">
        <v>167</v>
      </c>
      <c r="D648" s="57" t="s">
        <v>168</v>
      </c>
      <c r="E648" s="56">
        <v>115</v>
      </c>
      <c r="F648" s="56">
        <v>140</v>
      </c>
      <c r="G648" s="56">
        <v>118</v>
      </c>
      <c r="H648" s="56">
        <v>84</v>
      </c>
      <c r="I648" s="56">
        <v>95</v>
      </c>
      <c r="J648" s="56">
        <v>75</v>
      </c>
      <c r="K648" s="52">
        <f t="shared" si="33"/>
        <v>627</v>
      </c>
      <c r="L648" s="27">
        <f t="shared" si="31"/>
        <v>1</v>
      </c>
      <c r="M648" s="62">
        <f t="shared" si="32"/>
        <v>38</v>
      </c>
      <c r="N648" s="63"/>
      <c r="O648" s="26" t="s">
        <v>44</v>
      </c>
    </row>
    <row r="649" spans="1:15" ht="16.5" customHeight="1">
      <c r="A649" s="56" t="s">
        <v>2887</v>
      </c>
      <c r="B649" s="57" t="s">
        <v>169</v>
      </c>
      <c r="C649" s="56" t="s">
        <v>1790</v>
      </c>
      <c r="D649" s="57" t="s">
        <v>1791</v>
      </c>
      <c r="E649" s="56">
        <v>104</v>
      </c>
      <c r="F649" s="56">
        <v>81</v>
      </c>
      <c r="G649" s="56">
        <v>99.5</v>
      </c>
      <c r="H649" s="56">
        <v>61</v>
      </c>
      <c r="I649" s="56">
        <v>37</v>
      </c>
      <c r="J649" s="56">
        <v>65</v>
      </c>
      <c r="K649" s="52">
        <f t="shared" si="33"/>
        <v>447.5</v>
      </c>
      <c r="L649" s="27">
        <f t="shared" si="31"/>
        <v>48</v>
      </c>
      <c r="M649" s="62">
        <f t="shared" si="32"/>
        <v>848</v>
      </c>
      <c r="N649" s="63" t="s">
        <v>17</v>
      </c>
      <c r="O649" s="26" t="s">
        <v>2243</v>
      </c>
    </row>
    <row r="650" spans="1:15" ht="16.5" customHeight="1">
      <c r="A650" s="56" t="s">
        <v>2888</v>
      </c>
      <c r="B650" s="57" t="s">
        <v>169</v>
      </c>
      <c r="C650" s="56" t="s">
        <v>780</v>
      </c>
      <c r="D650" s="57" t="s">
        <v>781</v>
      </c>
      <c r="E650" s="56">
        <v>106</v>
      </c>
      <c r="F650" s="56">
        <v>111</v>
      </c>
      <c r="G650" s="56">
        <v>108</v>
      </c>
      <c r="H650" s="56">
        <v>75</v>
      </c>
      <c r="I650" s="56">
        <v>93</v>
      </c>
      <c r="J650" s="56">
        <v>54</v>
      </c>
      <c r="K650" s="52">
        <f t="shared" si="33"/>
        <v>547</v>
      </c>
      <c r="L650" s="27">
        <f t="shared" si="31"/>
        <v>22</v>
      </c>
      <c r="M650" s="62">
        <f t="shared" si="32"/>
        <v>344</v>
      </c>
      <c r="N650" s="63" t="s">
        <v>17</v>
      </c>
      <c r="O650" s="26" t="s">
        <v>2243</v>
      </c>
    </row>
    <row r="651" spans="1:15" ht="16.5" customHeight="1">
      <c r="A651" s="56" t="s">
        <v>2889</v>
      </c>
      <c r="B651" s="57" t="s">
        <v>169</v>
      </c>
      <c r="C651" s="56" t="s">
        <v>1270</v>
      </c>
      <c r="D651" s="57" t="s">
        <v>1271</v>
      </c>
      <c r="E651" s="56">
        <v>102</v>
      </c>
      <c r="F651" s="56">
        <v>101</v>
      </c>
      <c r="G651" s="56">
        <v>109</v>
      </c>
      <c r="H651" s="56">
        <v>80</v>
      </c>
      <c r="I651" s="56">
        <v>70</v>
      </c>
      <c r="J651" s="56">
        <v>46</v>
      </c>
      <c r="K651" s="52">
        <f t="shared" si="33"/>
        <v>508</v>
      </c>
      <c r="L651" s="27">
        <f t="shared" si="31"/>
        <v>35</v>
      </c>
      <c r="M651" s="62">
        <f t="shared" si="32"/>
        <v>588</v>
      </c>
      <c r="N651" s="63" t="s">
        <v>17</v>
      </c>
      <c r="O651" s="26" t="s">
        <v>2243</v>
      </c>
    </row>
    <row r="652" spans="1:15">
      <c r="A652" s="56" t="s">
        <v>2890</v>
      </c>
      <c r="B652" s="57" t="s">
        <v>169</v>
      </c>
      <c r="C652" s="56" t="s">
        <v>1746</v>
      </c>
      <c r="D652" s="57" t="s">
        <v>1747</v>
      </c>
      <c r="E652" s="56">
        <v>112</v>
      </c>
      <c r="F652" s="56">
        <v>117</v>
      </c>
      <c r="G652" s="56">
        <v>114.5</v>
      </c>
      <c r="H652" s="56">
        <v>80</v>
      </c>
      <c r="I652" s="56">
        <v>86</v>
      </c>
      <c r="J652" s="56">
        <v>63</v>
      </c>
      <c r="K652" s="52">
        <f>SUM(E652:J652)</f>
        <v>572.5</v>
      </c>
      <c r="L652" s="27">
        <f t="shared" si="31"/>
        <v>12</v>
      </c>
      <c r="M652" s="62">
        <f t="shared" si="32"/>
        <v>226</v>
      </c>
      <c r="N652" s="63" t="s">
        <v>16</v>
      </c>
      <c r="O652" s="26" t="s">
        <v>2243</v>
      </c>
    </row>
    <row r="653" spans="1:15" ht="16.5" customHeight="1">
      <c r="A653" s="56" t="s">
        <v>2891</v>
      </c>
      <c r="B653" s="57" t="s">
        <v>169</v>
      </c>
      <c r="C653" s="56" t="s">
        <v>605</v>
      </c>
      <c r="D653" s="56" t="s">
        <v>606</v>
      </c>
      <c r="E653" s="56">
        <v>99</v>
      </c>
      <c r="F653" s="56">
        <v>124</v>
      </c>
      <c r="G653" s="56">
        <v>103</v>
      </c>
      <c r="H653" s="56">
        <v>75</v>
      </c>
      <c r="I653" s="56">
        <v>88</v>
      </c>
      <c r="J653" s="56">
        <v>76</v>
      </c>
      <c r="K653" s="52">
        <f t="shared" si="33"/>
        <v>565</v>
      </c>
      <c r="L653" s="27">
        <f t="shared" si="31"/>
        <v>13</v>
      </c>
      <c r="M653" s="62">
        <f t="shared" si="32"/>
        <v>256</v>
      </c>
      <c r="N653" s="63" t="s">
        <v>16</v>
      </c>
      <c r="O653" s="26" t="s">
        <v>42</v>
      </c>
    </row>
    <row r="654" spans="1:15" ht="16.5" customHeight="1">
      <c r="A654" s="56" t="s">
        <v>2892</v>
      </c>
      <c r="B654" s="57" t="s">
        <v>169</v>
      </c>
      <c r="C654" s="56" t="s">
        <v>1238</v>
      </c>
      <c r="D654" s="57" t="s">
        <v>1239</v>
      </c>
      <c r="E654" s="56">
        <v>108</v>
      </c>
      <c r="F654" s="56">
        <v>87</v>
      </c>
      <c r="G654" s="56">
        <v>99.5</v>
      </c>
      <c r="H654" s="56">
        <v>71</v>
      </c>
      <c r="I654" s="56">
        <v>75</v>
      </c>
      <c r="J654" s="56">
        <v>70</v>
      </c>
      <c r="K654" s="52">
        <f t="shared" si="33"/>
        <v>510.5</v>
      </c>
      <c r="L654" s="27">
        <f t="shared" si="31"/>
        <v>34</v>
      </c>
      <c r="M654" s="62">
        <f t="shared" si="32"/>
        <v>573</v>
      </c>
      <c r="N654" s="63" t="s">
        <v>16</v>
      </c>
      <c r="O654" s="26" t="s">
        <v>44</v>
      </c>
    </row>
    <row r="655" spans="1:15" ht="16.5" customHeight="1">
      <c r="A655" s="56" t="s">
        <v>2893</v>
      </c>
      <c r="B655" s="57" t="s">
        <v>169</v>
      </c>
      <c r="C655" s="56" t="s">
        <v>466</v>
      </c>
      <c r="D655" s="57" t="s">
        <v>467</v>
      </c>
      <c r="E655" s="56">
        <v>122</v>
      </c>
      <c r="F655" s="56">
        <v>92</v>
      </c>
      <c r="G655" s="56">
        <v>120</v>
      </c>
      <c r="H655" s="56">
        <v>88</v>
      </c>
      <c r="I655" s="56">
        <v>83</v>
      </c>
      <c r="J655" s="56">
        <v>75</v>
      </c>
      <c r="K655" s="52">
        <f t="shared" si="33"/>
        <v>580</v>
      </c>
      <c r="L655" s="27">
        <f t="shared" si="31"/>
        <v>9</v>
      </c>
      <c r="M655" s="62">
        <f t="shared" si="32"/>
        <v>180</v>
      </c>
      <c r="N655" s="63" t="s">
        <v>16</v>
      </c>
      <c r="O655" s="26" t="s">
        <v>44</v>
      </c>
    </row>
    <row r="656" spans="1:15" ht="16.5" customHeight="1">
      <c r="A656" s="56" t="s">
        <v>2894</v>
      </c>
      <c r="B656" s="57" t="s">
        <v>169</v>
      </c>
      <c r="C656" s="56" t="s">
        <v>1674</v>
      </c>
      <c r="D656" s="57" t="s">
        <v>1675</v>
      </c>
      <c r="E656" s="56">
        <v>100</v>
      </c>
      <c r="F656" s="56">
        <v>85</v>
      </c>
      <c r="G656" s="56">
        <v>103.5</v>
      </c>
      <c r="H656" s="56">
        <v>56</v>
      </c>
      <c r="I656" s="56">
        <v>66</v>
      </c>
      <c r="J656" s="56">
        <v>56</v>
      </c>
      <c r="K656" s="52">
        <f t="shared" si="33"/>
        <v>466.5</v>
      </c>
      <c r="L656" s="27">
        <f t="shared" si="31"/>
        <v>43</v>
      </c>
      <c r="M656" s="62">
        <f t="shared" si="32"/>
        <v>787</v>
      </c>
      <c r="N656" s="63" t="s">
        <v>16</v>
      </c>
      <c r="O656" s="26" t="s">
        <v>2243</v>
      </c>
    </row>
    <row r="657" spans="1:15" ht="16.5" customHeight="1">
      <c r="A657" s="56" t="s">
        <v>2895</v>
      </c>
      <c r="B657" s="57" t="s">
        <v>169</v>
      </c>
      <c r="C657" s="56" t="s">
        <v>762</v>
      </c>
      <c r="D657" s="57" t="s">
        <v>763</v>
      </c>
      <c r="E657" s="56">
        <v>105</v>
      </c>
      <c r="F657" s="56">
        <v>102</v>
      </c>
      <c r="G657" s="56">
        <v>120.5</v>
      </c>
      <c r="H657" s="56">
        <v>68</v>
      </c>
      <c r="I657" s="56">
        <v>79</v>
      </c>
      <c r="J657" s="56">
        <v>75</v>
      </c>
      <c r="K657" s="52">
        <f t="shared" si="33"/>
        <v>549.5</v>
      </c>
      <c r="L657" s="27">
        <f t="shared" si="31"/>
        <v>21</v>
      </c>
      <c r="M657" s="62">
        <f t="shared" si="32"/>
        <v>335</v>
      </c>
      <c r="N657" s="63" t="s">
        <v>16</v>
      </c>
      <c r="O657" s="26" t="s">
        <v>44</v>
      </c>
    </row>
    <row r="658" spans="1:15" ht="16.5" customHeight="1">
      <c r="A658" s="56" t="s">
        <v>2896</v>
      </c>
      <c r="B658" s="57" t="s">
        <v>169</v>
      </c>
      <c r="C658" s="56" t="s">
        <v>874</v>
      </c>
      <c r="D658" s="57" t="s">
        <v>875</v>
      </c>
      <c r="E658" s="56">
        <v>116</v>
      </c>
      <c r="F658" s="56">
        <v>98</v>
      </c>
      <c r="G658" s="56">
        <v>110.5</v>
      </c>
      <c r="H658" s="56">
        <v>63</v>
      </c>
      <c r="I658" s="56">
        <v>83</v>
      </c>
      <c r="J658" s="56">
        <v>68</v>
      </c>
      <c r="K658" s="52">
        <f t="shared" si="33"/>
        <v>538.5</v>
      </c>
      <c r="L658" s="27">
        <f t="shared" si="31"/>
        <v>24</v>
      </c>
      <c r="M658" s="62">
        <f t="shared" si="32"/>
        <v>388</v>
      </c>
      <c r="N658" s="63" t="s">
        <v>17</v>
      </c>
      <c r="O658" s="26" t="s">
        <v>2243</v>
      </c>
    </row>
    <row r="659" spans="1:15" ht="16.5" customHeight="1">
      <c r="A659" s="56" t="s">
        <v>2897</v>
      </c>
      <c r="B659" s="57" t="s">
        <v>169</v>
      </c>
      <c r="C659" s="56" t="s">
        <v>856</v>
      </c>
      <c r="D659" s="57" t="s">
        <v>857</v>
      </c>
      <c r="E659" s="56">
        <v>111</v>
      </c>
      <c r="F659" s="56">
        <v>108</v>
      </c>
      <c r="G659" s="56">
        <v>111</v>
      </c>
      <c r="H659" s="56">
        <v>55</v>
      </c>
      <c r="I659" s="56">
        <v>84</v>
      </c>
      <c r="J659" s="56">
        <v>71</v>
      </c>
      <c r="K659" s="52">
        <f t="shared" si="33"/>
        <v>540</v>
      </c>
      <c r="L659" s="27">
        <f t="shared" si="31"/>
        <v>23</v>
      </c>
      <c r="M659" s="62">
        <f t="shared" si="32"/>
        <v>382</v>
      </c>
      <c r="N659" s="63" t="s">
        <v>16</v>
      </c>
      <c r="O659" s="26" t="s">
        <v>42</v>
      </c>
    </row>
    <row r="660" spans="1:15" ht="16.5" customHeight="1">
      <c r="A660" s="56" t="s">
        <v>2898</v>
      </c>
      <c r="B660" s="57" t="s">
        <v>169</v>
      </c>
      <c r="C660" s="56" t="s">
        <v>1140</v>
      </c>
      <c r="D660" s="57" t="s">
        <v>1141</v>
      </c>
      <c r="E660" s="56">
        <v>103</v>
      </c>
      <c r="F660" s="56">
        <v>86</v>
      </c>
      <c r="G660" s="56">
        <v>108.5</v>
      </c>
      <c r="H660" s="56">
        <v>78</v>
      </c>
      <c r="I660" s="56">
        <v>80</v>
      </c>
      <c r="J660" s="56">
        <v>62</v>
      </c>
      <c r="K660" s="52">
        <f t="shared" si="33"/>
        <v>517.5</v>
      </c>
      <c r="L660" s="27">
        <f t="shared" si="31"/>
        <v>31</v>
      </c>
      <c r="M660" s="62">
        <f t="shared" si="32"/>
        <v>519</v>
      </c>
      <c r="N660" s="63" t="s">
        <v>17</v>
      </c>
      <c r="O660" s="26" t="s">
        <v>42</v>
      </c>
    </row>
    <row r="661" spans="1:15" ht="16.5" customHeight="1">
      <c r="A661" s="56" t="s">
        <v>2899</v>
      </c>
      <c r="B661" s="57" t="s">
        <v>169</v>
      </c>
      <c r="C661" s="56" t="s">
        <v>962</v>
      </c>
      <c r="D661" s="57" t="s">
        <v>963</v>
      </c>
      <c r="E661" s="56">
        <v>106</v>
      </c>
      <c r="F661" s="56">
        <v>99</v>
      </c>
      <c r="G661" s="56">
        <v>123.5</v>
      </c>
      <c r="H661" s="56">
        <v>58</v>
      </c>
      <c r="I661" s="56">
        <v>76</v>
      </c>
      <c r="J661" s="56">
        <v>67</v>
      </c>
      <c r="K661" s="52">
        <f t="shared" si="33"/>
        <v>529.5</v>
      </c>
      <c r="L661" s="27">
        <f t="shared" si="31"/>
        <v>26</v>
      </c>
      <c r="M661" s="62">
        <f t="shared" si="32"/>
        <v>435</v>
      </c>
      <c r="N661" s="63" t="s">
        <v>17</v>
      </c>
      <c r="O661" s="26" t="s">
        <v>2243</v>
      </c>
    </row>
    <row r="662" spans="1:15" ht="16.5" customHeight="1">
      <c r="A662" s="56" t="s">
        <v>2900</v>
      </c>
      <c r="B662" s="57" t="s">
        <v>169</v>
      </c>
      <c r="C662" s="56" t="s">
        <v>697</v>
      </c>
      <c r="D662" s="57" t="s">
        <v>698</v>
      </c>
      <c r="E662" s="56">
        <v>119</v>
      </c>
      <c r="F662" s="56">
        <v>114</v>
      </c>
      <c r="G662" s="56">
        <v>94</v>
      </c>
      <c r="H662" s="56">
        <v>79</v>
      </c>
      <c r="I662" s="56">
        <v>81</v>
      </c>
      <c r="J662" s="56">
        <v>68</v>
      </c>
      <c r="K662" s="52">
        <f t="shared" si="33"/>
        <v>555</v>
      </c>
      <c r="L662" s="27">
        <f t="shared" si="31"/>
        <v>17</v>
      </c>
      <c r="M662" s="62">
        <f t="shared" si="32"/>
        <v>301</v>
      </c>
      <c r="N662" s="63" t="s">
        <v>16</v>
      </c>
      <c r="O662" s="26" t="s">
        <v>2243</v>
      </c>
    </row>
    <row r="663" spans="1:15" ht="16.5" customHeight="1">
      <c r="A663" s="56" t="s">
        <v>2901</v>
      </c>
      <c r="B663" s="57" t="s">
        <v>169</v>
      </c>
      <c r="C663" s="56" t="s">
        <v>378</v>
      </c>
      <c r="D663" s="57" t="s">
        <v>379</v>
      </c>
      <c r="E663" s="56">
        <v>105</v>
      </c>
      <c r="F663" s="56">
        <v>114</v>
      </c>
      <c r="G663" s="56">
        <v>138.5</v>
      </c>
      <c r="H663" s="56">
        <v>80</v>
      </c>
      <c r="I663" s="56">
        <v>71</v>
      </c>
      <c r="J663" s="56">
        <v>81</v>
      </c>
      <c r="K663" s="52">
        <f t="shared" si="33"/>
        <v>589.5</v>
      </c>
      <c r="L663" s="27">
        <f t="shared" si="31"/>
        <v>7</v>
      </c>
      <c r="M663" s="62">
        <f t="shared" si="32"/>
        <v>140</v>
      </c>
      <c r="N663" s="63" t="s">
        <v>16</v>
      </c>
      <c r="O663" s="26" t="s">
        <v>2243</v>
      </c>
    </row>
    <row r="664" spans="1:15" ht="16.5" customHeight="1">
      <c r="A664" s="56" t="s">
        <v>2902</v>
      </c>
      <c r="B664" s="57" t="s">
        <v>169</v>
      </c>
      <c r="C664" s="56" t="s">
        <v>1158</v>
      </c>
      <c r="D664" s="57" t="s">
        <v>1159</v>
      </c>
      <c r="E664" s="56">
        <v>91</v>
      </c>
      <c r="F664" s="56">
        <v>113</v>
      </c>
      <c r="G664" s="56">
        <v>93</v>
      </c>
      <c r="H664" s="56">
        <v>78</v>
      </c>
      <c r="I664" s="56">
        <v>75</v>
      </c>
      <c r="J664" s="56">
        <v>66</v>
      </c>
      <c r="K664" s="52">
        <f t="shared" si="33"/>
        <v>516</v>
      </c>
      <c r="L664" s="27">
        <f t="shared" si="31"/>
        <v>32</v>
      </c>
      <c r="M664" s="62">
        <f t="shared" si="32"/>
        <v>533</v>
      </c>
      <c r="N664" s="63" t="s">
        <v>17</v>
      </c>
      <c r="O664" s="26" t="s">
        <v>2243</v>
      </c>
    </row>
    <row r="665" spans="1:15" ht="16.5" customHeight="1">
      <c r="A665" s="56" t="s">
        <v>2903</v>
      </c>
      <c r="B665" s="57" t="s">
        <v>169</v>
      </c>
      <c r="C665" s="56" t="s">
        <v>1602</v>
      </c>
      <c r="D665" s="57" t="s">
        <v>1603</v>
      </c>
      <c r="E665" s="56">
        <v>103</v>
      </c>
      <c r="F665" s="56">
        <v>93</v>
      </c>
      <c r="G665" s="56">
        <v>98.5</v>
      </c>
      <c r="H665" s="56">
        <v>64</v>
      </c>
      <c r="I665" s="56">
        <v>69</v>
      </c>
      <c r="J665" s="56">
        <v>48</v>
      </c>
      <c r="K665" s="52">
        <f t="shared" si="33"/>
        <v>475.5</v>
      </c>
      <c r="L665" s="27">
        <f t="shared" si="31"/>
        <v>41</v>
      </c>
      <c r="M665" s="62">
        <f t="shared" si="32"/>
        <v>754</v>
      </c>
      <c r="N665" s="63" t="s">
        <v>17</v>
      </c>
      <c r="O665" s="26" t="s">
        <v>2243</v>
      </c>
    </row>
    <row r="666" spans="1:15" ht="16.5" customHeight="1">
      <c r="A666" s="56" t="s">
        <v>2904</v>
      </c>
      <c r="B666" s="57" t="s">
        <v>169</v>
      </c>
      <c r="C666" s="56" t="s">
        <v>1268</v>
      </c>
      <c r="D666" s="57" t="s">
        <v>1269</v>
      </c>
      <c r="E666" s="56">
        <v>110</v>
      </c>
      <c r="F666" s="56">
        <v>76</v>
      </c>
      <c r="G666" s="56">
        <v>121</v>
      </c>
      <c r="H666" s="56">
        <v>65</v>
      </c>
      <c r="I666" s="56">
        <v>73</v>
      </c>
      <c r="J666" s="56">
        <v>63</v>
      </c>
      <c r="K666" s="52">
        <f t="shared" si="33"/>
        <v>508</v>
      </c>
      <c r="L666" s="27">
        <f t="shared" si="31"/>
        <v>35</v>
      </c>
      <c r="M666" s="62">
        <f t="shared" si="32"/>
        <v>588</v>
      </c>
      <c r="N666" s="63" t="s">
        <v>16</v>
      </c>
      <c r="O666" s="26" t="s">
        <v>2243</v>
      </c>
    </row>
    <row r="667" spans="1:15" ht="16.5" customHeight="1">
      <c r="A667" s="56" t="s">
        <v>2905</v>
      </c>
      <c r="B667" s="57" t="s">
        <v>169</v>
      </c>
      <c r="C667" s="56" t="s">
        <v>1404</v>
      </c>
      <c r="D667" s="57" t="s">
        <v>1405</v>
      </c>
      <c r="E667" s="56">
        <v>102</v>
      </c>
      <c r="F667" s="56">
        <v>73</v>
      </c>
      <c r="G667" s="56">
        <v>119</v>
      </c>
      <c r="H667" s="56">
        <v>62</v>
      </c>
      <c r="I667" s="56">
        <v>77</v>
      </c>
      <c r="J667" s="56">
        <v>64</v>
      </c>
      <c r="K667" s="52">
        <f t="shared" si="33"/>
        <v>497</v>
      </c>
      <c r="L667" s="27">
        <f t="shared" si="31"/>
        <v>38</v>
      </c>
      <c r="M667" s="62">
        <f t="shared" si="32"/>
        <v>656</v>
      </c>
      <c r="N667" s="63" t="s">
        <v>16</v>
      </c>
      <c r="O667" s="26" t="s">
        <v>44</v>
      </c>
    </row>
    <row r="668" spans="1:15" ht="16.5" customHeight="1">
      <c r="A668" s="56" t="s">
        <v>2906</v>
      </c>
      <c r="B668" s="57" t="s">
        <v>169</v>
      </c>
      <c r="C668" s="56" t="s">
        <v>356</v>
      </c>
      <c r="D668" s="57" t="s">
        <v>357</v>
      </c>
      <c r="E668" s="56">
        <v>119</v>
      </c>
      <c r="F668" s="56">
        <v>111</v>
      </c>
      <c r="G668" s="56">
        <v>120</v>
      </c>
      <c r="H668" s="56">
        <v>78</v>
      </c>
      <c r="I668" s="56">
        <v>89</v>
      </c>
      <c r="J668" s="56">
        <v>75</v>
      </c>
      <c r="K668" s="52">
        <f t="shared" si="33"/>
        <v>592</v>
      </c>
      <c r="L668" s="27">
        <f t="shared" si="31"/>
        <v>6</v>
      </c>
      <c r="M668" s="62">
        <f t="shared" si="32"/>
        <v>128</v>
      </c>
      <c r="N668" s="63" t="s">
        <v>16</v>
      </c>
      <c r="O668" s="26" t="s">
        <v>42</v>
      </c>
    </row>
    <row r="669" spans="1:15" ht="16.5" customHeight="1">
      <c r="A669" s="56" t="s">
        <v>2907</v>
      </c>
      <c r="B669" s="57" t="s">
        <v>169</v>
      </c>
      <c r="C669" s="56" t="s">
        <v>1082</v>
      </c>
      <c r="D669" s="57" t="s">
        <v>1083</v>
      </c>
      <c r="E669" s="56">
        <v>110</v>
      </c>
      <c r="F669" s="56">
        <v>75</v>
      </c>
      <c r="G669" s="56">
        <v>118.5</v>
      </c>
      <c r="H669" s="56">
        <v>63</v>
      </c>
      <c r="I669" s="56">
        <v>81</v>
      </c>
      <c r="J669" s="56">
        <v>74</v>
      </c>
      <c r="K669" s="52">
        <f t="shared" si="33"/>
        <v>521.5</v>
      </c>
      <c r="L669" s="27">
        <f t="shared" si="31"/>
        <v>29</v>
      </c>
      <c r="M669" s="62">
        <f t="shared" si="32"/>
        <v>495</v>
      </c>
      <c r="N669" s="63" t="s">
        <v>16</v>
      </c>
      <c r="O669" s="26" t="s">
        <v>42</v>
      </c>
    </row>
    <row r="670" spans="1:15" ht="16.5" customHeight="1">
      <c r="A670" s="56" t="s">
        <v>2908</v>
      </c>
      <c r="B670" s="57" t="s">
        <v>169</v>
      </c>
      <c r="C670" s="56" t="s">
        <v>480</v>
      </c>
      <c r="D670" s="57" t="s">
        <v>481</v>
      </c>
      <c r="E670" s="56">
        <v>117</v>
      </c>
      <c r="F670" s="56">
        <v>117</v>
      </c>
      <c r="G670" s="56">
        <v>122.5</v>
      </c>
      <c r="H670" s="56">
        <v>59</v>
      </c>
      <c r="I670" s="56">
        <v>90</v>
      </c>
      <c r="J670" s="56">
        <v>73</v>
      </c>
      <c r="K670" s="52">
        <f t="shared" si="33"/>
        <v>578.5</v>
      </c>
      <c r="L670" s="27">
        <f t="shared" si="31"/>
        <v>11</v>
      </c>
      <c r="M670" s="62">
        <f t="shared" si="32"/>
        <v>192</v>
      </c>
      <c r="N670" s="63" t="s">
        <v>16</v>
      </c>
      <c r="O670" s="26" t="s">
        <v>42</v>
      </c>
    </row>
    <row r="671" spans="1:15" ht="16.5" customHeight="1">
      <c r="A671" s="56" t="s">
        <v>2909</v>
      </c>
      <c r="B671" s="57" t="s">
        <v>169</v>
      </c>
      <c r="C671" s="56" t="s">
        <v>1800</v>
      </c>
      <c r="D671" s="57" t="s">
        <v>1801</v>
      </c>
      <c r="E671" s="56">
        <v>103</v>
      </c>
      <c r="F671" s="56">
        <v>77</v>
      </c>
      <c r="G671" s="56">
        <v>93.5</v>
      </c>
      <c r="H671" s="56">
        <v>50</v>
      </c>
      <c r="I671" s="56">
        <v>61</v>
      </c>
      <c r="J671" s="56">
        <v>60</v>
      </c>
      <c r="K671" s="52">
        <f t="shared" si="33"/>
        <v>444.5</v>
      </c>
      <c r="L671" s="27">
        <f t="shared" si="31"/>
        <v>49</v>
      </c>
      <c r="M671" s="62">
        <f t="shared" si="32"/>
        <v>853</v>
      </c>
      <c r="N671" s="63" t="s">
        <v>17</v>
      </c>
      <c r="O671" s="26" t="s">
        <v>42</v>
      </c>
    </row>
    <row r="672" spans="1:15" ht="16.5" customHeight="1">
      <c r="A672" s="56" t="s">
        <v>2910</v>
      </c>
      <c r="B672" s="57" t="s">
        <v>169</v>
      </c>
      <c r="C672" s="56" t="s">
        <v>1648</v>
      </c>
      <c r="D672" s="57" t="s">
        <v>1649</v>
      </c>
      <c r="E672" s="56">
        <v>105</v>
      </c>
      <c r="F672" s="56">
        <v>58</v>
      </c>
      <c r="G672" s="56">
        <v>90.5</v>
      </c>
      <c r="H672" s="56">
        <v>59</v>
      </c>
      <c r="I672" s="56">
        <v>83</v>
      </c>
      <c r="J672" s="56">
        <v>75</v>
      </c>
      <c r="K672" s="52">
        <f t="shared" si="33"/>
        <v>470.5</v>
      </c>
      <c r="L672" s="27">
        <f t="shared" si="31"/>
        <v>42</v>
      </c>
      <c r="M672" s="62">
        <f t="shared" si="32"/>
        <v>778</v>
      </c>
      <c r="N672" s="63" t="s">
        <v>17</v>
      </c>
      <c r="O672" s="26" t="s">
        <v>42</v>
      </c>
    </row>
    <row r="673" spans="1:15" ht="16.5" customHeight="1">
      <c r="A673" s="56" t="s">
        <v>2911</v>
      </c>
      <c r="B673" s="57" t="s">
        <v>111</v>
      </c>
      <c r="C673" s="56" t="s">
        <v>241</v>
      </c>
      <c r="D673" s="57" t="s">
        <v>242</v>
      </c>
      <c r="E673" s="56">
        <v>107</v>
      </c>
      <c r="F673" s="56">
        <v>104</v>
      </c>
      <c r="G673" s="56">
        <v>133</v>
      </c>
      <c r="H673" s="56">
        <v>90</v>
      </c>
      <c r="I673" s="56">
        <v>97</v>
      </c>
      <c r="J673" s="56">
        <v>79</v>
      </c>
      <c r="K673" s="52">
        <f t="shared" si="33"/>
        <v>610</v>
      </c>
      <c r="L673" s="27">
        <f>RANK(K673,$K$673:$K$728)</f>
        <v>3</v>
      </c>
      <c r="M673" s="62">
        <f t="shared" si="32"/>
        <v>73</v>
      </c>
      <c r="N673" s="63" t="s">
        <v>16</v>
      </c>
      <c r="O673" s="26" t="s">
        <v>44</v>
      </c>
    </row>
    <row r="674" spans="1:15" ht="16.5" customHeight="1">
      <c r="A674" s="56" t="s">
        <v>2912</v>
      </c>
      <c r="B674" s="57" t="s">
        <v>111</v>
      </c>
      <c r="C674" s="56" t="s">
        <v>689</v>
      </c>
      <c r="D674" s="57" t="s">
        <v>690</v>
      </c>
      <c r="E674" s="56">
        <v>116</v>
      </c>
      <c r="F674" s="56">
        <v>94</v>
      </c>
      <c r="G674" s="56">
        <v>119</v>
      </c>
      <c r="H674" s="56">
        <v>72</v>
      </c>
      <c r="I674" s="56">
        <v>82</v>
      </c>
      <c r="J674" s="56">
        <v>73</v>
      </c>
      <c r="K674" s="52">
        <f t="shared" si="33"/>
        <v>556</v>
      </c>
      <c r="L674" s="27">
        <f t="shared" ref="L674:L728" si="34">RANK(K674,$K$673:$K$728)</f>
        <v>14</v>
      </c>
      <c r="M674" s="62">
        <f t="shared" si="32"/>
        <v>298</v>
      </c>
      <c r="N674" s="63" t="s">
        <v>16</v>
      </c>
      <c r="O674" s="26" t="s">
        <v>2243</v>
      </c>
    </row>
    <row r="675" spans="1:15" ht="16.5" customHeight="1">
      <c r="A675" s="56" t="s">
        <v>2913</v>
      </c>
      <c r="B675" s="57" t="s">
        <v>111</v>
      </c>
      <c r="C675" s="56" t="s">
        <v>1484</v>
      </c>
      <c r="D675" s="57" t="s">
        <v>1485</v>
      </c>
      <c r="E675" s="56">
        <v>101</v>
      </c>
      <c r="F675" s="56">
        <v>70</v>
      </c>
      <c r="G675" s="56">
        <v>124.5</v>
      </c>
      <c r="H675" s="56">
        <v>53</v>
      </c>
      <c r="I675" s="56">
        <v>86</v>
      </c>
      <c r="J675" s="56">
        <v>55</v>
      </c>
      <c r="K675" s="52">
        <f t="shared" si="33"/>
        <v>489.5</v>
      </c>
      <c r="L675" s="27">
        <f t="shared" si="34"/>
        <v>35</v>
      </c>
      <c r="M675" s="62">
        <f t="shared" si="32"/>
        <v>693</v>
      </c>
      <c r="N675" s="63" t="s">
        <v>16</v>
      </c>
      <c r="O675" s="26" t="s">
        <v>2243</v>
      </c>
    </row>
    <row r="676" spans="1:15" ht="16.5" customHeight="1">
      <c r="A676" s="56" t="s">
        <v>2914</v>
      </c>
      <c r="B676" s="57" t="s">
        <v>111</v>
      </c>
      <c r="C676" s="56" t="s">
        <v>944</v>
      </c>
      <c r="D676" s="57" t="s">
        <v>945</v>
      </c>
      <c r="E676" s="56">
        <v>111</v>
      </c>
      <c r="F676" s="56">
        <v>95</v>
      </c>
      <c r="G676" s="56">
        <v>128.5</v>
      </c>
      <c r="H676" s="56">
        <v>57</v>
      </c>
      <c r="I676" s="56">
        <v>76</v>
      </c>
      <c r="J676" s="56">
        <v>64</v>
      </c>
      <c r="K676" s="52">
        <f t="shared" si="33"/>
        <v>531.5</v>
      </c>
      <c r="L676" s="27">
        <f t="shared" si="34"/>
        <v>20</v>
      </c>
      <c r="M676" s="62">
        <f t="shared" si="32"/>
        <v>426</v>
      </c>
      <c r="N676" s="63" t="s">
        <v>16</v>
      </c>
      <c r="O676" s="26" t="s">
        <v>2243</v>
      </c>
    </row>
    <row r="677" spans="1:15" ht="16.5" customHeight="1">
      <c r="A677" s="56" t="s">
        <v>2915</v>
      </c>
      <c r="B677" s="57" t="s">
        <v>111</v>
      </c>
      <c r="C677" s="56" t="s">
        <v>1920</v>
      </c>
      <c r="D677" s="57" t="s">
        <v>1921</v>
      </c>
      <c r="E677" s="56">
        <v>94</v>
      </c>
      <c r="F677" s="56">
        <v>65</v>
      </c>
      <c r="G677" s="56">
        <v>99.5</v>
      </c>
      <c r="H677" s="56">
        <v>46</v>
      </c>
      <c r="I677" s="56">
        <v>65</v>
      </c>
      <c r="J677" s="56">
        <v>49</v>
      </c>
      <c r="K677" s="52">
        <f t="shared" si="33"/>
        <v>418.5</v>
      </c>
      <c r="L677" s="27">
        <f t="shared" si="34"/>
        <v>53</v>
      </c>
      <c r="M677" s="62">
        <f t="shared" si="32"/>
        <v>914</v>
      </c>
      <c r="N677" s="63" t="s">
        <v>17</v>
      </c>
      <c r="O677" s="26" t="s">
        <v>2243</v>
      </c>
    </row>
    <row r="678" spans="1:15" ht="16.5" customHeight="1">
      <c r="A678" s="56" t="s">
        <v>2916</v>
      </c>
      <c r="B678" s="57" t="s">
        <v>111</v>
      </c>
      <c r="C678" s="56" t="s">
        <v>1600</v>
      </c>
      <c r="D678" s="57" t="s">
        <v>1601</v>
      </c>
      <c r="E678" s="56">
        <v>86</v>
      </c>
      <c r="F678" s="56">
        <v>90</v>
      </c>
      <c r="G678" s="56">
        <v>72.5</v>
      </c>
      <c r="H678" s="56">
        <v>85</v>
      </c>
      <c r="I678" s="56">
        <v>78</v>
      </c>
      <c r="J678" s="56">
        <v>64</v>
      </c>
      <c r="K678" s="52">
        <f t="shared" si="33"/>
        <v>475.5</v>
      </c>
      <c r="L678" s="27">
        <f t="shared" si="34"/>
        <v>40</v>
      </c>
      <c r="M678" s="62">
        <f t="shared" si="32"/>
        <v>754</v>
      </c>
      <c r="N678" s="63" t="s">
        <v>17</v>
      </c>
      <c r="O678" s="26" t="s">
        <v>2243</v>
      </c>
    </row>
    <row r="679" spans="1:15" ht="16.5" customHeight="1">
      <c r="A679" s="56" t="s">
        <v>2917</v>
      </c>
      <c r="B679" s="57" t="s">
        <v>111</v>
      </c>
      <c r="C679" s="56" t="s">
        <v>1038</v>
      </c>
      <c r="D679" s="57" t="s">
        <v>1039</v>
      </c>
      <c r="E679" s="56">
        <v>98</v>
      </c>
      <c r="F679" s="56">
        <v>112</v>
      </c>
      <c r="G679" s="56">
        <v>103.5</v>
      </c>
      <c r="H679" s="56">
        <v>59</v>
      </c>
      <c r="I679" s="56">
        <v>89</v>
      </c>
      <c r="J679" s="56">
        <v>63</v>
      </c>
      <c r="K679" s="52">
        <f t="shared" si="33"/>
        <v>524.5</v>
      </c>
      <c r="L679" s="27">
        <f t="shared" si="34"/>
        <v>21</v>
      </c>
      <c r="M679" s="62">
        <f t="shared" si="32"/>
        <v>470</v>
      </c>
      <c r="N679" s="63" t="s">
        <v>16</v>
      </c>
      <c r="O679" s="26" t="s">
        <v>44</v>
      </c>
    </row>
    <row r="680" spans="1:15" ht="16.5" customHeight="1">
      <c r="A680" s="56" t="s">
        <v>2918</v>
      </c>
      <c r="B680" s="57" t="s">
        <v>111</v>
      </c>
      <c r="C680" s="56" t="s">
        <v>1528</v>
      </c>
      <c r="D680" s="57" t="s">
        <v>1529</v>
      </c>
      <c r="E680" s="56">
        <v>99</v>
      </c>
      <c r="F680" s="56">
        <v>77</v>
      </c>
      <c r="G680" s="56">
        <v>98</v>
      </c>
      <c r="H680" s="56">
        <v>66</v>
      </c>
      <c r="I680" s="56">
        <v>81</v>
      </c>
      <c r="J680" s="56">
        <v>63</v>
      </c>
      <c r="K680" s="52">
        <f t="shared" si="33"/>
        <v>484</v>
      </c>
      <c r="L680" s="27">
        <f t="shared" si="34"/>
        <v>36</v>
      </c>
      <c r="M680" s="62">
        <f t="shared" si="32"/>
        <v>718</v>
      </c>
      <c r="N680" s="63" t="s">
        <v>17</v>
      </c>
      <c r="O680" s="26" t="s">
        <v>2243</v>
      </c>
    </row>
    <row r="681" spans="1:15" ht="16.5" customHeight="1">
      <c r="A681" s="56" t="s">
        <v>2919</v>
      </c>
      <c r="B681" s="57" t="s">
        <v>111</v>
      </c>
      <c r="C681" s="56" t="s">
        <v>1340</v>
      </c>
      <c r="D681" s="57" t="s">
        <v>1341</v>
      </c>
      <c r="E681" s="56">
        <v>108</v>
      </c>
      <c r="F681" s="56">
        <v>117</v>
      </c>
      <c r="G681" s="56">
        <v>75</v>
      </c>
      <c r="H681" s="56">
        <v>55</v>
      </c>
      <c r="I681" s="56">
        <v>77</v>
      </c>
      <c r="J681" s="56">
        <v>70</v>
      </c>
      <c r="K681" s="52">
        <f t="shared" si="33"/>
        <v>502</v>
      </c>
      <c r="L681" s="27">
        <f t="shared" si="34"/>
        <v>33</v>
      </c>
      <c r="M681" s="62">
        <f t="shared" si="32"/>
        <v>624</v>
      </c>
      <c r="N681" s="63" t="s">
        <v>17</v>
      </c>
      <c r="O681" s="26" t="s">
        <v>42</v>
      </c>
    </row>
    <row r="682" spans="1:15" ht="16.5" customHeight="1">
      <c r="A682" s="56" t="s">
        <v>2920</v>
      </c>
      <c r="B682" s="57" t="s">
        <v>111</v>
      </c>
      <c r="C682" s="56" t="s">
        <v>1252</v>
      </c>
      <c r="D682" s="57" t="s">
        <v>1253</v>
      </c>
      <c r="E682" s="56">
        <v>110</v>
      </c>
      <c r="F682" s="56">
        <v>107</v>
      </c>
      <c r="G682" s="56">
        <v>98</v>
      </c>
      <c r="H682" s="56">
        <v>61</v>
      </c>
      <c r="I682" s="56">
        <v>72</v>
      </c>
      <c r="J682" s="56">
        <v>62</v>
      </c>
      <c r="K682" s="52">
        <f t="shared" si="33"/>
        <v>510</v>
      </c>
      <c r="L682" s="27">
        <f t="shared" si="34"/>
        <v>28</v>
      </c>
      <c r="M682" s="62">
        <f t="shared" si="32"/>
        <v>577</v>
      </c>
      <c r="N682" s="63" t="s">
        <v>17</v>
      </c>
      <c r="O682" s="26" t="s">
        <v>2243</v>
      </c>
    </row>
    <row r="683" spans="1:15" ht="16.5" customHeight="1">
      <c r="A683" s="56" t="s">
        <v>2921</v>
      </c>
      <c r="B683" s="57" t="s">
        <v>111</v>
      </c>
      <c r="C683" s="56" t="s">
        <v>292</v>
      </c>
      <c r="D683" s="57" t="s">
        <v>293</v>
      </c>
      <c r="E683" s="56">
        <v>117</v>
      </c>
      <c r="F683" s="56">
        <v>121</v>
      </c>
      <c r="G683" s="56">
        <v>120</v>
      </c>
      <c r="H683" s="56">
        <v>76</v>
      </c>
      <c r="I683" s="56">
        <v>92</v>
      </c>
      <c r="J683" s="56">
        <v>76</v>
      </c>
      <c r="K683" s="52">
        <f t="shared" si="33"/>
        <v>602</v>
      </c>
      <c r="L683" s="27">
        <f t="shared" si="34"/>
        <v>4</v>
      </c>
      <c r="M683" s="62">
        <f t="shared" si="32"/>
        <v>97</v>
      </c>
      <c r="N683" s="63" t="s">
        <v>16</v>
      </c>
      <c r="O683" s="26" t="s">
        <v>44</v>
      </c>
    </row>
    <row r="684" spans="1:15" ht="16.5" customHeight="1">
      <c r="A684" s="56" t="s">
        <v>2922</v>
      </c>
      <c r="B684" s="57" t="s">
        <v>111</v>
      </c>
      <c r="C684" s="56" t="s">
        <v>1626</v>
      </c>
      <c r="D684" s="57" t="s">
        <v>1627</v>
      </c>
      <c r="E684" s="56">
        <v>93</v>
      </c>
      <c r="F684" s="56">
        <v>88</v>
      </c>
      <c r="G684" s="56">
        <v>83.5</v>
      </c>
      <c r="H684" s="56">
        <v>59</v>
      </c>
      <c r="I684" s="56">
        <v>84</v>
      </c>
      <c r="J684" s="56">
        <v>66</v>
      </c>
      <c r="K684" s="52">
        <f t="shared" si="33"/>
        <v>473.5</v>
      </c>
      <c r="L684" s="27">
        <f t="shared" si="34"/>
        <v>41</v>
      </c>
      <c r="M684" s="62">
        <f t="shared" si="32"/>
        <v>767</v>
      </c>
      <c r="N684" s="63" t="s">
        <v>17</v>
      </c>
      <c r="O684" s="26" t="s">
        <v>42</v>
      </c>
    </row>
    <row r="685" spans="1:15" ht="16.5" customHeight="1">
      <c r="A685" s="56" t="s">
        <v>2923</v>
      </c>
      <c r="B685" s="57" t="s">
        <v>111</v>
      </c>
      <c r="C685" s="56" t="s">
        <v>321</v>
      </c>
      <c r="D685" s="57" t="s">
        <v>322</v>
      </c>
      <c r="E685" s="56">
        <v>106</v>
      </c>
      <c r="F685" s="56">
        <v>129</v>
      </c>
      <c r="G685" s="56">
        <v>108.5</v>
      </c>
      <c r="H685" s="56">
        <v>83</v>
      </c>
      <c r="I685" s="56">
        <v>93</v>
      </c>
      <c r="J685" s="56">
        <v>78</v>
      </c>
      <c r="K685" s="52">
        <f t="shared" si="33"/>
        <v>597.5</v>
      </c>
      <c r="L685" s="27">
        <f t="shared" si="34"/>
        <v>5</v>
      </c>
      <c r="M685" s="62">
        <f t="shared" si="32"/>
        <v>111</v>
      </c>
      <c r="N685" s="63" t="s">
        <v>16</v>
      </c>
      <c r="O685" s="26" t="s">
        <v>42</v>
      </c>
    </row>
    <row r="686" spans="1:15" ht="16.5" customHeight="1">
      <c r="A686" s="56" t="s">
        <v>2924</v>
      </c>
      <c r="B686" s="57" t="s">
        <v>111</v>
      </c>
      <c r="C686" s="56" t="s">
        <v>1154</v>
      </c>
      <c r="D686" s="57" t="s">
        <v>1155</v>
      </c>
      <c r="E686" s="56">
        <v>109</v>
      </c>
      <c r="F686" s="56">
        <v>101</v>
      </c>
      <c r="G686" s="56">
        <v>111.5</v>
      </c>
      <c r="H686" s="56">
        <v>57</v>
      </c>
      <c r="I686" s="56">
        <v>75</v>
      </c>
      <c r="J686" s="56">
        <v>63</v>
      </c>
      <c r="K686" s="52">
        <f t="shared" si="33"/>
        <v>516.5</v>
      </c>
      <c r="L686" s="27">
        <f t="shared" si="34"/>
        <v>24</v>
      </c>
      <c r="M686" s="62">
        <f t="shared" si="32"/>
        <v>529</v>
      </c>
      <c r="N686" s="63" t="s">
        <v>16</v>
      </c>
      <c r="O686" s="26" t="s">
        <v>44</v>
      </c>
    </row>
    <row r="687" spans="1:15" ht="16.5" customHeight="1">
      <c r="A687" s="56" t="s">
        <v>2925</v>
      </c>
      <c r="B687" s="57" t="s">
        <v>111</v>
      </c>
      <c r="C687" s="56" t="s">
        <v>1554</v>
      </c>
      <c r="D687" s="57" t="s">
        <v>1555</v>
      </c>
      <c r="E687" s="56">
        <v>110</v>
      </c>
      <c r="F687" s="56">
        <v>74</v>
      </c>
      <c r="G687" s="56">
        <v>77</v>
      </c>
      <c r="H687" s="56">
        <v>83</v>
      </c>
      <c r="I687" s="56">
        <v>77</v>
      </c>
      <c r="J687" s="56">
        <v>61</v>
      </c>
      <c r="K687" s="52">
        <f t="shared" si="33"/>
        <v>482</v>
      </c>
      <c r="L687" s="27">
        <f t="shared" si="34"/>
        <v>38</v>
      </c>
      <c r="M687" s="62">
        <f t="shared" si="32"/>
        <v>729</v>
      </c>
      <c r="N687" s="63" t="s">
        <v>16</v>
      </c>
      <c r="O687" s="26" t="s">
        <v>2243</v>
      </c>
    </row>
    <row r="688" spans="1:15" ht="16.5" customHeight="1">
      <c r="A688" s="56" t="s">
        <v>2926</v>
      </c>
      <c r="B688" s="57" t="s">
        <v>111</v>
      </c>
      <c r="C688" s="56" t="s">
        <v>1764</v>
      </c>
      <c r="D688" s="57" t="s">
        <v>1765</v>
      </c>
      <c r="E688" s="56">
        <v>96</v>
      </c>
      <c r="F688" s="56">
        <v>70</v>
      </c>
      <c r="G688" s="56">
        <v>100</v>
      </c>
      <c r="H688" s="56">
        <v>57</v>
      </c>
      <c r="I688" s="56">
        <v>68</v>
      </c>
      <c r="J688" s="56">
        <v>62</v>
      </c>
      <c r="K688" s="52">
        <f t="shared" si="33"/>
        <v>453</v>
      </c>
      <c r="L688" s="27">
        <f t="shared" si="34"/>
        <v>45</v>
      </c>
      <c r="M688" s="62">
        <f t="shared" si="32"/>
        <v>835</v>
      </c>
      <c r="N688" s="63" t="s">
        <v>17</v>
      </c>
      <c r="O688" s="26" t="s">
        <v>2243</v>
      </c>
    </row>
    <row r="689" spans="1:15" ht="16.5" customHeight="1">
      <c r="A689" s="56" t="s">
        <v>2927</v>
      </c>
      <c r="B689" s="57" t="s">
        <v>111</v>
      </c>
      <c r="C689" s="56" t="s">
        <v>1900</v>
      </c>
      <c r="D689" s="57" t="s">
        <v>1901</v>
      </c>
      <c r="E689" s="56">
        <v>101</v>
      </c>
      <c r="F689" s="56">
        <v>58</v>
      </c>
      <c r="G689" s="56">
        <v>90.5</v>
      </c>
      <c r="H689" s="56">
        <v>63</v>
      </c>
      <c r="I689" s="56">
        <v>54</v>
      </c>
      <c r="J689" s="56">
        <v>58</v>
      </c>
      <c r="K689" s="52">
        <f t="shared" si="33"/>
        <v>424.5</v>
      </c>
      <c r="L689" s="27">
        <f t="shared" si="34"/>
        <v>52</v>
      </c>
      <c r="M689" s="62">
        <f t="shared" si="32"/>
        <v>904</v>
      </c>
      <c r="N689" s="63" t="s">
        <v>16</v>
      </c>
      <c r="O689" s="26" t="s">
        <v>44</v>
      </c>
    </row>
    <row r="690" spans="1:15" ht="16.5" customHeight="1">
      <c r="A690" s="56" t="s">
        <v>2928</v>
      </c>
      <c r="B690" s="57" t="s">
        <v>111</v>
      </c>
      <c r="C690" s="56" t="s">
        <v>1802</v>
      </c>
      <c r="D690" s="57" t="s">
        <v>1803</v>
      </c>
      <c r="E690" s="56">
        <v>102</v>
      </c>
      <c r="F690" s="56">
        <v>61</v>
      </c>
      <c r="G690" s="56">
        <v>109.5</v>
      </c>
      <c r="H690" s="56">
        <v>60</v>
      </c>
      <c r="I690" s="56">
        <v>71</v>
      </c>
      <c r="J690" s="56">
        <v>40</v>
      </c>
      <c r="K690" s="52">
        <f t="shared" si="33"/>
        <v>443.5</v>
      </c>
      <c r="L690" s="27">
        <f t="shared" si="34"/>
        <v>46</v>
      </c>
      <c r="M690" s="62">
        <f t="shared" si="32"/>
        <v>854</v>
      </c>
      <c r="N690" s="63" t="s">
        <v>17</v>
      </c>
      <c r="O690" s="26" t="s">
        <v>2243</v>
      </c>
    </row>
    <row r="691" spans="1:15" ht="16.5" customHeight="1">
      <c r="A691" s="56" t="s">
        <v>2929</v>
      </c>
      <c r="B691" s="57" t="s">
        <v>111</v>
      </c>
      <c r="C691" s="56" t="s">
        <v>876</v>
      </c>
      <c r="D691" s="57" t="s">
        <v>877</v>
      </c>
      <c r="E691" s="56">
        <v>107</v>
      </c>
      <c r="F691" s="56">
        <v>105</v>
      </c>
      <c r="G691" s="56">
        <v>93.5</v>
      </c>
      <c r="H691" s="56">
        <v>83</v>
      </c>
      <c r="I691" s="56">
        <v>79</v>
      </c>
      <c r="J691" s="56">
        <v>71</v>
      </c>
      <c r="K691" s="52">
        <f t="shared" si="33"/>
        <v>538.5</v>
      </c>
      <c r="L691" s="27">
        <f t="shared" si="34"/>
        <v>17</v>
      </c>
      <c r="M691" s="62">
        <f t="shared" si="32"/>
        <v>388</v>
      </c>
      <c r="N691" s="63" t="s">
        <v>16</v>
      </c>
      <c r="O691" s="26" t="s">
        <v>2243</v>
      </c>
    </row>
    <row r="692" spans="1:15" ht="16.5" customHeight="1">
      <c r="A692" s="56" t="s">
        <v>2930</v>
      </c>
      <c r="B692" s="57" t="s">
        <v>111</v>
      </c>
      <c r="C692" s="56" t="s">
        <v>199</v>
      </c>
      <c r="D692" s="57" t="s">
        <v>200</v>
      </c>
      <c r="E692" s="56">
        <v>114</v>
      </c>
      <c r="F692" s="56">
        <v>127</v>
      </c>
      <c r="G692" s="56">
        <v>128.5</v>
      </c>
      <c r="H692" s="56">
        <v>81</v>
      </c>
      <c r="I692" s="56">
        <v>97</v>
      </c>
      <c r="J692" s="56">
        <v>72</v>
      </c>
      <c r="K692" s="52">
        <f t="shared" si="33"/>
        <v>619.5</v>
      </c>
      <c r="L692" s="27">
        <f t="shared" si="34"/>
        <v>2</v>
      </c>
      <c r="M692" s="62">
        <f t="shared" si="32"/>
        <v>53</v>
      </c>
      <c r="N692" s="63" t="s">
        <v>16</v>
      </c>
      <c r="O692" s="26" t="s">
        <v>42</v>
      </c>
    </row>
    <row r="693" spans="1:15" ht="16.5" customHeight="1">
      <c r="A693" s="56" t="s">
        <v>2931</v>
      </c>
      <c r="B693" s="57" t="s">
        <v>111</v>
      </c>
      <c r="C693" s="56" t="s">
        <v>1142</v>
      </c>
      <c r="D693" s="57" t="s">
        <v>1143</v>
      </c>
      <c r="E693" s="56">
        <v>114</v>
      </c>
      <c r="F693" s="56">
        <v>99</v>
      </c>
      <c r="G693" s="56">
        <v>106</v>
      </c>
      <c r="H693" s="56">
        <v>68</v>
      </c>
      <c r="I693" s="56">
        <v>70</v>
      </c>
      <c r="J693" s="56">
        <v>60</v>
      </c>
      <c r="K693" s="52">
        <f t="shared" si="33"/>
        <v>517</v>
      </c>
      <c r="L693" s="27">
        <f t="shared" si="34"/>
        <v>23</v>
      </c>
      <c r="M693" s="62">
        <f t="shared" si="32"/>
        <v>525</v>
      </c>
      <c r="N693" s="63" t="s">
        <v>16</v>
      </c>
      <c r="O693" s="26" t="s">
        <v>2243</v>
      </c>
    </row>
    <row r="694" spans="1:15" ht="16.5" customHeight="1">
      <c r="A694" s="56">
        <v>20183003</v>
      </c>
      <c r="B694" s="57" t="s">
        <v>111</v>
      </c>
      <c r="C694" s="56" t="s">
        <v>1992</v>
      </c>
      <c r="D694" s="57" t="s">
        <v>1993</v>
      </c>
      <c r="E694" s="56">
        <v>60</v>
      </c>
      <c r="F694" s="56">
        <v>40</v>
      </c>
      <c r="G694" s="56">
        <v>65</v>
      </c>
      <c r="H694" s="56">
        <v>18</v>
      </c>
      <c r="I694" s="56">
        <v>66</v>
      </c>
      <c r="J694" s="56">
        <v>57</v>
      </c>
      <c r="K694" s="52">
        <f t="shared" si="33"/>
        <v>306</v>
      </c>
      <c r="L694" s="27">
        <f t="shared" si="34"/>
        <v>56</v>
      </c>
      <c r="M694" s="62">
        <f t="shared" si="32"/>
        <v>950</v>
      </c>
      <c r="N694" s="63"/>
      <c r="O694" s="26" t="s">
        <v>1</v>
      </c>
    </row>
    <row r="695" spans="1:15" ht="16.5" customHeight="1">
      <c r="A695" s="56" t="s">
        <v>2932</v>
      </c>
      <c r="B695" s="57" t="s">
        <v>111</v>
      </c>
      <c r="C695" s="56" t="s">
        <v>331</v>
      </c>
      <c r="D695" s="57" t="s">
        <v>332</v>
      </c>
      <c r="E695" s="56">
        <v>121</v>
      </c>
      <c r="F695" s="56">
        <v>108</v>
      </c>
      <c r="G695" s="56">
        <v>118</v>
      </c>
      <c r="H695" s="56">
        <v>70</v>
      </c>
      <c r="I695" s="56">
        <v>92</v>
      </c>
      <c r="J695" s="56">
        <v>87</v>
      </c>
      <c r="K695" s="52">
        <f t="shared" si="33"/>
        <v>596</v>
      </c>
      <c r="L695" s="27">
        <f t="shared" si="34"/>
        <v>6</v>
      </c>
      <c r="M695" s="62">
        <f t="shared" si="32"/>
        <v>117</v>
      </c>
      <c r="N695" s="63" t="s">
        <v>16</v>
      </c>
      <c r="O695" s="26" t="s">
        <v>44</v>
      </c>
    </row>
    <row r="696" spans="1:15" ht="16.5" customHeight="1">
      <c r="A696" s="56" t="s">
        <v>2933</v>
      </c>
      <c r="B696" s="57" t="s">
        <v>111</v>
      </c>
      <c r="C696" s="56" t="s">
        <v>1332</v>
      </c>
      <c r="D696" s="57" t="s">
        <v>1333</v>
      </c>
      <c r="E696" s="56">
        <v>102</v>
      </c>
      <c r="F696" s="56">
        <v>70</v>
      </c>
      <c r="G696" s="56">
        <v>113</v>
      </c>
      <c r="H696" s="56">
        <v>74</v>
      </c>
      <c r="I696" s="56">
        <v>72</v>
      </c>
      <c r="J696" s="56">
        <v>72</v>
      </c>
      <c r="K696" s="52">
        <f t="shared" si="33"/>
        <v>503</v>
      </c>
      <c r="L696" s="27">
        <f t="shared" si="34"/>
        <v>32</v>
      </c>
      <c r="M696" s="62">
        <f t="shared" si="32"/>
        <v>619</v>
      </c>
      <c r="N696" s="63" t="s">
        <v>17</v>
      </c>
      <c r="O696" s="26" t="s">
        <v>42</v>
      </c>
    </row>
    <row r="697" spans="1:15" ht="16.5" customHeight="1">
      <c r="A697" s="56" t="s">
        <v>2934</v>
      </c>
      <c r="B697" s="57" t="s">
        <v>111</v>
      </c>
      <c r="C697" s="56" t="s">
        <v>1424</v>
      </c>
      <c r="D697" s="57" t="s">
        <v>1425</v>
      </c>
      <c r="E697" s="56">
        <v>107</v>
      </c>
      <c r="F697" s="56">
        <v>68</v>
      </c>
      <c r="G697" s="56">
        <v>108.5</v>
      </c>
      <c r="H697" s="56">
        <v>60</v>
      </c>
      <c r="I697" s="56">
        <v>77</v>
      </c>
      <c r="J697" s="56">
        <v>75</v>
      </c>
      <c r="K697" s="52">
        <f t="shared" si="33"/>
        <v>495.5</v>
      </c>
      <c r="L697" s="27">
        <f t="shared" si="34"/>
        <v>34</v>
      </c>
      <c r="M697" s="62">
        <f t="shared" si="32"/>
        <v>665</v>
      </c>
      <c r="N697" s="63" t="s">
        <v>16</v>
      </c>
      <c r="O697" s="26" t="s">
        <v>44</v>
      </c>
    </row>
    <row r="698" spans="1:15" ht="16.5" customHeight="1">
      <c r="A698" s="56" t="s">
        <v>2935</v>
      </c>
      <c r="B698" s="57" t="s">
        <v>111</v>
      </c>
      <c r="C698" s="56" t="s">
        <v>1266</v>
      </c>
      <c r="D698" s="57" t="s">
        <v>1267</v>
      </c>
      <c r="E698" s="56">
        <v>97</v>
      </c>
      <c r="F698" s="56">
        <v>77</v>
      </c>
      <c r="G698" s="56">
        <v>102.5</v>
      </c>
      <c r="H698" s="56">
        <v>77</v>
      </c>
      <c r="I698" s="56">
        <v>81</v>
      </c>
      <c r="J698" s="56">
        <v>74</v>
      </c>
      <c r="K698" s="52">
        <f t="shared" si="33"/>
        <v>508.5</v>
      </c>
      <c r="L698" s="27">
        <f t="shared" si="34"/>
        <v>30</v>
      </c>
      <c r="M698" s="62">
        <f t="shared" si="32"/>
        <v>584</v>
      </c>
      <c r="N698" s="63" t="s">
        <v>16</v>
      </c>
      <c r="O698" s="26" t="s">
        <v>42</v>
      </c>
    </row>
    <row r="699" spans="1:15" ht="16.5" customHeight="1">
      <c r="A699" s="56" t="s">
        <v>2936</v>
      </c>
      <c r="B699" s="57" t="s">
        <v>111</v>
      </c>
      <c r="C699" s="56" t="s">
        <v>1849</v>
      </c>
      <c r="D699" s="57" t="s">
        <v>1850</v>
      </c>
      <c r="E699" s="56">
        <v>97</v>
      </c>
      <c r="F699" s="56">
        <v>53</v>
      </c>
      <c r="G699" s="56">
        <v>99.5</v>
      </c>
      <c r="H699" s="56">
        <v>64</v>
      </c>
      <c r="I699" s="56">
        <v>75</v>
      </c>
      <c r="J699" s="56">
        <v>46</v>
      </c>
      <c r="K699" s="52">
        <f t="shared" si="33"/>
        <v>434.5</v>
      </c>
      <c r="L699" s="27">
        <f t="shared" si="34"/>
        <v>49</v>
      </c>
      <c r="M699" s="62">
        <f t="shared" si="32"/>
        <v>878</v>
      </c>
      <c r="N699" s="63" t="s">
        <v>17</v>
      </c>
      <c r="O699" s="26" t="s">
        <v>42</v>
      </c>
    </row>
    <row r="700" spans="1:15" ht="16.5" customHeight="1">
      <c r="A700" s="56" t="s">
        <v>2937</v>
      </c>
      <c r="B700" s="57" t="s">
        <v>111</v>
      </c>
      <c r="C700" s="56" t="s">
        <v>1556</v>
      </c>
      <c r="D700" s="57" t="s">
        <v>1557</v>
      </c>
      <c r="E700" s="56">
        <v>107</v>
      </c>
      <c r="F700" s="56">
        <v>80</v>
      </c>
      <c r="G700" s="56">
        <v>113.5</v>
      </c>
      <c r="H700" s="56">
        <v>52</v>
      </c>
      <c r="I700" s="56">
        <v>65</v>
      </c>
      <c r="J700" s="56">
        <v>64</v>
      </c>
      <c r="K700" s="52">
        <f t="shared" si="33"/>
        <v>481.5</v>
      </c>
      <c r="L700" s="27">
        <f t="shared" si="34"/>
        <v>39</v>
      </c>
      <c r="M700" s="62">
        <f t="shared" si="32"/>
        <v>732</v>
      </c>
      <c r="N700" s="63" t="s">
        <v>17</v>
      </c>
      <c r="O700" s="26" t="s">
        <v>42</v>
      </c>
    </row>
    <row r="701" spans="1:15" ht="16.5" customHeight="1">
      <c r="A701" s="56" t="s">
        <v>2938</v>
      </c>
      <c r="B701" s="57" t="s">
        <v>111</v>
      </c>
      <c r="C701" s="56" t="s">
        <v>633</v>
      </c>
      <c r="D701" s="57" t="s">
        <v>634</v>
      </c>
      <c r="E701" s="56">
        <v>102</v>
      </c>
      <c r="F701" s="56">
        <v>104</v>
      </c>
      <c r="G701" s="56">
        <v>101</v>
      </c>
      <c r="H701" s="56">
        <v>86</v>
      </c>
      <c r="I701" s="56">
        <v>92</v>
      </c>
      <c r="J701" s="56">
        <v>78</v>
      </c>
      <c r="K701" s="52">
        <f t="shared" si="33"/>
        <v>563</v>
      </c>
      <c r="L701" s="27">
        <f t="shared" si="34"/>
        <v>12</v>
      </c>
      <c r="M701" s="62">
        <f t="shared" si="32"/>
        <v>270</v>
      </c>
      <c r="N701" s="63" t="s">
        <v>17</v>
      </c>
      <c r="O701" s="26" t="s">
        <v>2243</v>
      </c>
    </row>
    <row r="702" spans="1:15" ht="16.5" customHeight="1">
      <c r="A702" s="56" t="s">
        <v>2939</v>
      </c>
      <c r="B702" s="57" t="s">
        <v>111</v>
      </c>
      <c r="C702" s="56" t="s">
        <v>631</v>
      </c>
      <c r="D702" s="57" t="s">
        <v>632</v>
      </c>
      <c r="E702" s="56">
        <v>113</v>
      </c>
      <c r="F702" s="56">
        <v>98</v>
      </c>
      <c r="G702" s="56">
        <v>124.5</v>
      </c>
      <c r="H702" s="56">
        <v>76</v>
      </c>
      <c r="I702" s="56">
        <v>82</v>
      </c>
      <c r="J702" s="56">
        <v>70</v>
      </c>
      <c r="K702" s="52">
        <f t="shared" si="33"/>
        <v>563.5</v>
      </c>
      <c r="L702" s="27">
        <f t="shared" si="34"/>
        <v>11</v>
      </c>
      <c r="M702" s="62">
        <f t="shared" si="32"/>
        <v>263</v>
      </c>
      <c r="N702" s="63" t="s">
        <v>16</v>
      </c>
      <c r="O702" s="26" t="s">
        <v>42</v>
      </c>
    </row>
    <row r="703" spans="1:15" ht="16.5" customHeight="1">
      <c r="A703" s="56" t="s">
        <v>2940</v>
      </c>
      <c r="B703" s="57" t="s">
        <v>111</v>
      </c>
      <c r="C703" s="56" t="s">
        <v>888</v>
      </c>
      <c r="D703" s="57" t="s">
        <v>889</v>
      </c>
      <c r="E703" s="56">
        <v>115</v>
      </c>
      <c r="F703" s="56">
        <v>79</v>
      </c>
      <c r="G703" s="56">
        <v>134.5</v>
      </c>
      <c r="H703" s="56">
        <v>63</v>
      </c>
      <c r="I703" s="56">
        <v>82</v>
      </c>
      <c r="J703" s="56">
        <v>64</v>
      </c>
      <c r="K703" s="52">
        <f t="shared" si="33"/>
        <v>537.5</v>
      </c>
      <c r="L703" s="27">
        <f t="shared" si="34"/>
        <v>18</v>
      </c>
      <c r="M703" s="62">
        <f t="shared" si="32"/>
        <v>396</v>
      </c>
      <c r="N703" s="63" t="s">
        <v>16</v>
      </c>
      <c r="O703" s="26" t="s">
        <v>2243</v>
      </c>
    </row>
    <row r="704" spans="1:15" ht="16.5" customHeight="1">
      <c r="A704" s="56" t="s">
        <v>2941</v>
      </c>
      <c r="B704" s="57" t="s">
        <v>111</v>
      </c>
      <c r="C704" s="56" t="s">
        <v>1894</v>
      </c>
      <c r="D704" s="57" t="s">
        <v>1895</v>
      </c>
      <c r="E704" s="56">
        <v>96</v>
      </c>
      <c r="F704" s="56">
        <v>89</v>
      </c>
      <c r="G704" s="56">
        <v>95.5</v>
      </c>
      <c r="H704" s="56">
        <v>42</v>
      </c>
      <c r="I704" s="56">
        <v>52</v>
      </c>
      <c r="J704" s="56">
        <v>52</v>
      </c>
      <c r="K704" s="52">
        <f t="shared" si="33"/>
        <v>426.5</v>
      </c>
      <c r="L704" s="27">
        <f t="shared" si="34"/>
        <v>51</v>
      </c>
      <c r="M704" s="62">
        <f t="shared" si="32"/>
        <v>901</v>
      </c>
      <c r="N704" s="63" t="s">
        <v>17</v>
      </c>
      <c r="O704" s="26" t="s">
        <v>2243</v>
      </c>
    </row>
    <row r="705" spans="1:15">
      <c r="A705" s="56" t="s">
        <v>2942</v>
      </c>
      <c r="B705" s="57" t="s">
        <v>111</v>
      </c>
      <c r="C705" s="56" t="s">
        <v>930</v>
      </c>
      <c r="D705" s="57" t="s">
        <v>931</v>
      </c>
      <c r="E705" s="56">
        <v>113</v>
      </c>
      <c r="F705" s="56">
        <v>100</v>
      </c>
      <c r="G705" s="56">
        <v>116.5</v>
      </c>
      <c r="H705" s="56">
        <v>52</v>
      </c>
      <c r="I705" s="56">
        <v>84</v>
      </c>
      <c r="J705" s="56">
        <v>67</v>
      </c>
      <c r="K705" s="52">
        <f t="shared" si="33"/>
        <v>532.5</v>
      </c>
      <c r="L705" s="27">
        <f t="shared" si="34"/>
        <v>19</v>
      </c>
      <c r="M705" s="62">
        <f t="shared" si="32"/>
        <v>418</v>
      </c>
      <c r="N705" s="63" t="s">
        <v>17</v>
      </c>
      <c r="O705" s="26" t="s">
        <v>2243</v>
      </c>
    </row>
    <row r="706" spans="1:15">
      <c r="A706" s="56" t="s">
        <v>2943</v>
      </c>
      <c r="B706" s="57" t="s">
        <v>111</v>
      </c>
      <c r="C706" s="56" t="s">
        <v>1236</v>
      </c>
      <c r="D706" s="57" t="s">
        <v>1237</v>
      </c>
      <c r="E706" s="56">
        <v>91</v>
      </c>
      <c r="F706" s="56">
        <v>87</v>
      </c>
      <c r="G706" s="56">
        <v>112</v>
      </c>
      <c r="H706" s="56">
        <v>56</v>
      </c>
      <c r="I706" s="56">
        <v>87</v>
      </c>
      <c r="J706" s="56">
        <v>78</v>
      </c>
      <c r="K706" s="52">
        <f t="shared" si="33"/>
        <v>511</v>
      </c>
      <c r="L706" s="27">
        <f t="shared" si="34"/>
        <v>27</v>
      </c>
      <c r="M706" s="62">
        <f t="shared" si="32"/>
        <v>572</v>
      </c>
      <c r="N706" s="63" t="s">
        <v>17</v>
      </c>
      <c r="O706" s="26" t="s">
        <v>2243</v>
      </c>
    </row>
    <row r="707" spans="1:15">
      <c r="A707" s="56" t="s">
        <v>2944</v>
      </c>
      <c r="B707" s="57" t="s">
        <v>111</v>
      </c>
      <c r="C707" s="56" t="s">
        <v>486</v>
      </c>
      <c r="D707" s="57" t="s">
        <v>487</v>
      </c>
      <c r="E707" s="56">
        <v>118</v>
      </c>
      <c r="F707" s="56">
        <v>118</v>
      </c>
      <c r="G707" s="56">
        <v>103.5</v>
      </c>
      <c r="H707" s="56">
        <v>83</v>
      </c>
      <c r="I707" s="56">
        <v>85</v>
      </c>
      <c r="J707" s="56">
        <v>70</v>
      </c>
      <c r="K707" s="52">
        <f t="shared" si="33"/>
        <v>577.5</v>
      </c>
      <c r="L707" s="27">
        <f t="shared" si="34"/>
        <v>7</v>
      </c>
      <c r="M707" s="62">
        <f t="shared" ref="M707:M770" si="35">RANK(K707,$K$3:$K$953)</f>
        <v>195</v>
      </c>
      <c r="N707" s="63" t="s">
        <v>16</v>
      </c>
      <c r="O707" s="26" t="s">
        <v>2243</v>
      </c>
    </row>
    <row r="708" spans="1:15">
      <c r="A708" s="56" t="s">
        <v>2945</v>
      </c>
      <c r="B708" s="57" t="s">
        <v>111</v>
      </c>
      <c r="C708" s="56" t="s">
        <v>1696</v>
      </c>
      <c r="D708" s="57" t="s">
        <v>1697</v>
      </c>
      <c r="E708" s="56">
        <v>102</v>
      </c>
      <c r="F708" s="56">
        <v>73</v>
      </c>
      <c r="G708" s="56">
        <v>131</v>
      </c>
      <c r="H708" s="56">
        <v>41</v>
      </c>
      <c r="I708" s="56">
        <v>69</v>
      </c>
      <c r="J708" s="56">
        <v>48</v>
      </c>
      <c r="K708" s="52">
        <f t="shared" ref="K708:K771" si="36">SUM(E708:J708)</f>
        <v>464</v>
      </c>
      <c r="L708" s="27">
        <f t="shared" si="34"/>
        <v>44</v>
      </c>
      <c r="M708" s="62">
        <f t="shared" si="35"/>
        <v>802</v>
      </c>
      <c r="N708" s="63" t="s">
        <v>17</v>
      </c>
      <c r="O708" s="26" t="s">
        <v>2243</v>
      </c>
    </row>
    <row r="709" spans="1:15">
      <c r="A709" s="56" t="s">
        <v>2946</v>
      </c>
      <c r="B709" s="57" t="s">
        <v>111</v>
      </c>
      <c r="C709" s="56" t="s">
        <v>681</v>
      </c>
      <c r="D709" s="57" t="s">
        <v>682</v>
      </c>
      <c r="E709" s="56">
        <v>103</v>
      </c>
      <c r="F709" s="56">
        <v>109</v>
      </c>
      <c r="G709" s="56">
        <v>104</v>
      </c>
      <c r="H709" s="56">
        <v>71</v>
      </c>
      <c r="I709" s="56">
        <v>100</v>
      </c>
      <c r="J709" s="56">
        <v>70</v>
      </c>
      <c r="K709" s="52">
        <f t="shared" si="36"/>
        <v>557</v>
      </c>
      <c r="L709" s="27">
        <f t="shared" si="34"/>
        <v>13</v>
      </c>
      <c r="M709" s="62">
        <f t="shared" si="35"/>
        <v>291</v>
      </c>
      <c r="N709" s="63" t="s">
        <v>16</v>
      </c>
      <c r="O709" s="26" t="s">
        <v>2243</v>
      </c>
    </row>
    <row r="710" spans="1:15">
      <c r="A710" s="56" t="s">
        <v>2947</v>
      </c>
      <c r="B710" s="57" t="s">
        <v>111</v>
      </c>
      <c r="C710" s="56" t="s">
        <v>1628</v>
      </c>
      <c r="D710" s="57" t="s">
        <v>1629</v>
      </c>
      <c r="E710" s="56">
        <v>108</v>
      </c>
      <c r="F710" s="56">
        <v>82</v>
      </c>
      <c r="G710" s="56">
        <v>96.5</v>
      </c>
      <c r="H710" s="56">
        <v>60</v>
      </c>
      <c r="I710" s="56">
        <v>65</v>
      </c>
      <c r="J710" s="56">
        <v>62</v>
      </c>
      <c r="K710" s="52">
        <f t="shared" si="36"/>
        <v>473.5</v>
      </c>
      <c r="L710" s="27">
        <f t="shared" si="34"/>
        <v>41</v>
      </c>
      <c r="M710" s="62">
        <f t="shared" si="35"/>
        <v>767</v>
      </c>
      <c r="N710" s="63" t="s">
        <v>17</v>
      </c>
      <c r="O710" s="26" t="s">
        <v>42</v>
      </c>
    </row>
    <row r="711" spans="1:15">
      <c r="A711" s="56" t="s">
        <v>2948</v>
      </c>
      <c r="B711" s="57" t="s">
        <v>111</v>
      </c>
      <c r="C711" s="56" t="s">
        <v>535</v>
      </c>
      <c r="D711" s="57" t="s">
        <v>536</v>
      </c>
      <c r="E711" s="56">
        <v>99</v>
      </c>
      <c r="F711" s="56">
        <v>129</v>
      </c>
      <c r="G711" s="56">
        <v>104</v>
      </c>
      <c r="H711" s="56">
        <v>90</v>
      </c>
      <c r="I711" s="56">
        <v>83</v>
      </c>
      <c r="J711" s="56">
        <v>69</v>
      </c>
      <c r="K711" s="52">
        <f t="shared" si="36"/>
        <v>574</v>
      </c>
      <c r="L711" s="27">
        <f t="shared" si="34"/>
        <v>8</v>
      </c>
      <c r="M711" s="62">
        <f t="shared" si="35"/>
        <v>215</v>
      </c>
      <c r="N711" s="63"/>
      <c r="O711" s="26" t="s">
        <v>44</v>
      </c>
    </row>
    <row r="712" spans="1:15">
      <c r="A712" s="56" t="s">
        <v>2949</v>
      </c>
      <c r="B712" s="57" t="s">
        <v>111</v>
      </c>
      <c r="C712" s="56" t="s">
        <v>1966</v>
      </c>
      <c r="D712" s="57" t="s">
        <v>1967</v>
      </c>
      <c r="E712" s="56">
        <v>109</v>
      </c>
      <c r="F712" s="56">
        <v>67</v>
      </c>
      <c r="G712" s="56">
        <v>76.5</v>
      </c>
      <c r="H712" s="56">
        <v>29</v>
      </c>
      <c r="I712" s="56">
        <v>58</v>
      </c>
      <c r="J712" s="56">
        <v>46</v>
      </c>
      <c r="K712" s="52">
        <f t="shared" si="36"/>
        <v>385.5</v>
      </c>
      <c r="L712" s="27">
        <f t="shared" si="34"/>
        <v>54</v>
      </c>
      <c r="M712" s="62">
        <f t="shared" si="35"/>
        <v>937</v>
      </c>
      <c r="N712" s="63" t="s">
        <v>17</v>
      </c>
      <c r="O712" s="26" t="s">
        <v>2243</v>
      </c>
    </row>
    <row r="713" spans="1:15">
      <c r="A713" s="56" t="s">
        <v>2950</v>
      </c>
      <c r="B713" s="57" t="s">
        <v>111</v>
      </c>
      <c r="C713" s="56" t="s">
        <v>1644</v>
      </c>
      <c r="D713" s="57" t="s">
        <v>1645</v>
      </c>
      <c r="E713" s="56">
        <v>94</v>
      </c>
      <c r="F713" s="56">
        <v>82</v>
      </c>
      <c r="G713" s="56">
        <v>113.5</v>
      </c>
      <c r="H713" s="56">
        <v>43</v>
      </c>
      <c r="I713" s="56">
        <v>84</v>
      </c>
      <c r="J713" s="56">
        <v>55</v>
      </c>
      <c r="K713" s="52">
        <f t="shared" si="36"/>
        <v>471.5</v>
      </c>
      <c r="L713" s="27">
        <f t="shared" si="34"/>
        <v>43</v>
      </c>
      <c r="M713" s="62">
        <f t="shared" si="35"/>
        <v>774</v>
      </c>
      <c r="N713" s="63" t="s">
        <v>16</v>
      </c>
      <c r="O713" s="26" t="s">
        <v>44</v>
      </c>
    </row>
    <row r="714" spans="1:15">
      <c r="A714" s="56" t="s">
        <v>2951</v>
      </c>
      <c r="B714" s="57" t="s">
        <v>111</v>
      </c>
      <c r="C714" s="56" t="s">
        <v>1282</v>
      </c>
      <c r="D714" s="57" t="s">
        <v>1283</v>
      </c>
      <c r="E714" s="56">
        <v>103</v>
      </c>
      <c r="F714" s="56">
        <v>73</v>
      </c>
      <c r="G714" s="56">
        <v>101</v>
      </c>
      <c r="H714" s="56">
        <v>79</v>
      </c>
      <c r="I714" s="56">
        <v>77</v>
      </c>
      <c r="J714" s="56">
        <v>74</v>
      </c>
      <c r="K714" s="52">
        <f t="shared" si="36"/>
        <v>507</v>
      </c>
      <c r="L714" s="27">
        <f t="shared" si="34"/>
        <v>31</v>
      </c>
      <c r="M714" s="62">
        <f t="shared" si="35"/>
        <v>595</v>
      </c>
      <c r="N714" s="63" t="s">
        <v>16</v>
      </c>
      <c r="O714" s="26" t="s">
        <v>2243</v>
      </c>
    </row>
    <row r="715" spans="1:15">
      <c r="A715" s="56" t="s">
        <v>2952</v>
      </c>
      <c r="B715" s="57" t="s">
        <v>111</v>
      </c>
      <c r="C715" s="56" t="s">
        <v>1839</v>
      </c>
      <c r="D715" s="57" t="s">
        <v>1840</v>
      </c>
      <c r="E715" s="56">
        <v>102</v>
      </c>
      <c r="F715" s="56">
        <v>63</v>
      </c>
      <c r="G715" s="56">
        <v>90</v>
      </c>
      <c r="H715" s="56">
        <v>53</v>
      </c>
      <c r="I715" s="56">
        <v>70</v>
      </c>
      <c r="J715" s="56">
        <v>59</v>
      </c>
      <c r="K715" s="52">
        <f t="shared" si="36"/>
        <v>437</v>
      </c>
      <c r="L715" s="27">
        <f t="shared" si="34"/>
        <v>48</v>
      </c>
      <c r="M715" s="62">
        <f t="shared" si="35"/>
        <v>873</v>
      </c>
      <c r="N715" s="63" t="s">
        <v>17</v>
      </c>
      <c r="O715" s="26" t="s">
        <v>42</v>
      </c>
    </row>
    <row r="716" spans="1:15">
      <c r="A716" s="56" t="s">
        <v>2953</v>
      </c>
      <c r="B716" s="57" t="s">
        <v>111</v>
      </c>
      <c r="C716" s="56" t="s">
        <v>1172</v>
      </c>
      <c r="D716" s="57" t="s">
        <v>1173</v>
      </c>
      <c r="E716" s="56">
        <v>117</v>
      </c>
      <c r="F716" s="56">
        <v>90</v>
      </c>
      <c r="G716" s="56">
        <v>114.5</v>
      </c>
      <c r="H716" s="56">
        <v>62</v>
      </c>
      <c r="I716" s="56">
        <v>73</v>
      </c>
      <c r="J716" s="56">
        <v>59</v>
      </c>
      <c r="K716" s="52">
        <f t="shared" si="36"/>
        <v>515.5</v>
      </c>
      <c r="L716" s="27">
        <f t="shared" si="34"/>
        <v>25</v>
      </c>
      <c r="M716" s="62">
        <f t="shared" si="35"/>
        <v>537</v>
      </c>
      <c r="N716" s="63" t="s">
        <v>16</v>
      </c>
      <c r="O716" s="26" t="s">
        <v>2243</v>
      </c>
    </row>
    <row r="717" spans="1:15">
      <c r="A717" s="56" t="s">
        <v>2954</v>
      </c>
      <c r="B717" s="57" t="s">
        <v>111</v>
      </c>
      <c r="C717" s="56" t="s">
        <v>1862</v>
      </c>
      <c r="D717" s="57" t="s">
        <v>1863</v>
      </c>
      <c r="E717" s="56">
        <v>102</v>
      </c>
      <c r="F717" s="56">
        <v>78</v>
      </c>
      <c r="G717" s="56">
        <v>123</v>
      </c>
      <c r="H717" s="56">
        <v>35</v>
      </c>
      <c r="I717" s="56">
        <v>54</v>
      </c>
      <c r="J717" s="56">
        <v>39</v>
      </c>
      <c r="K717" s="52">
        <f t="shared" si="36"/>
        <v>431</v>
      </c>
      <c r="L717" s="27">
        <f t="shared" si="34"/>
        <v>50</v>
      </c>
      <c r="M717" s="62">
        <f t="shared" si="35"/>
        <v>884</v>
      </c>
      <c r="N717" s="63" t="s">
        <v>17</v>
      </c>
      <c r="O717" s="26" t="s">
        <v>2243</v>
      </c>
    </row>
    <row r="718" spans="1:15">
      <c r="A718" s="56" t="s">
        <v>2955</v>
      </c>
      <c r="B718" s="57" t="s">
        <v>111</v>
      </c>
      <c r="C718" s="56" t="s">
        <v>848</v>
      </c>
      <c r="D718" s="57" t="s">
        <v>849</v>
      </c>
      <c r="E718" s="56">
        <v>112</v>
      </c>
      <c r="F718" s="56">
        <v>91</v>
      </c>
      <c r="G718" s="56">
        <v>129</v>
      </c>
      <c r="H718" s="56">
        <v>68</v>
      </c>
      <c r="I718" s="56">
        <v>85</v>
      </c>
      <c r="J718" s="56">
        <v>56</v>
      </c>
      <c r="K718" s="52">
        <f t="shared" si="36"/>
        <v>541</v>
      </c>
      <c r="L718" s="27">
        <f t="shared" si="34"/>
        <v>16</v>
      </c>
      <c r="M718" s="62">
        <f t="shared" si="35"/>
        <v>376</v>
      </c>
      <c r="N718" s="63" t="s">
        <v>16</v>
      </c>
      <c r="O718" s="26" t="s">
        <v>2243</v>
      </c>
    </row>
    <row r="719" spans="1:15">
      <c r="A719" s="56" t="s">
        <v>2956</v>
      </c>
      <c r="B719" s="57" t="s">
        <v>111</v>
      </c>
      <c r="C719" s="56" t="s">
        <v>533</v>
      </c>
      <c r="D719" s="57" t="s">
        <v>534</v>
      </c>
      <c r="E719" s="56">
        <v>104</v>
      </c>
      <c r="F719" s="56">
        <v>108</v>
      </c>
      <c r="G719" s="56">
        <v>122</v>
      </c>
      <c r="H719" s="56">
        <v>79</v>
      </c>
      <c r="I719" s="56">
        <v>91</v>
      </c>
      <c r="J719" s="56">
        <v>70</v>
      </c>
      <c r="K719" s="52">
        <f t="shared" si="36"/>
        <v>574</v>
      </c>
      <c r="L719" s="27">
        <f t="shared" si="34"/>
        <v>8</v>
      </c>
      <c r="M719" s="62">
        <f t="shared" si="35"/>
        <v>215</v>
      </c>
      <c r="N719" s="63" t="s">
        <v>16</v>
      </c>
      <c r="O719" s="26" t="s">
        <v>44</v>
      </c>
    </row>
    <row r="720" spans="1:15">
      <c r="A720" s="56" t="s">
        <v>2957</v>
      </c>
      <c r="B720" s="57" t="s">
        <v>111</v>
      </c>
      <c r="C720" s="56" t="s">
        <v>109</v>
      </c>
      <c r="D720" s="57" t="s">
        <v>110</v>
      </c>
      <c r="E720" s="56">
        <v>112</v>
      </c>
      <c r="F720" s="56">
        <v>144</v>
      </c>
      <c r="G720" s="56">
        <v>126</v>
      </c>
      <c r="H720" s="56">
        <v>93</v>
      </c>
      <c r="I720" s="56">
        <v>92</v>
      </c>
      <c r="J720" s="56">
        <v>83</v>
      </c>
      <c r="K720" s="52">
        <f t="shared" si="36"/>
        <v>650</v>
      </c>
      <c r="L720" s="27">
        <f t="shared" si="34"/>
        <v>1</v>
      </c>
      <c r="M720" s="62">
        <f t="shared" si="35"/>
        <v>13</v>
      </c>
      <c r="N720" s="63" t="s">
        <v>16</v>
      </c>
      <c r="O720" s="26" t="s">
        <v>44</v>
      </c>
    </row>
    <row r="721" spans="1:15">
      <c r="A721" s="56" t="s">
        <v>2958</v>
      </c>
      <c r="B721" s="57" t="s">
        <v>111</v>
      </c>
      <c r="C721" s="56" t="s">
        <v>531</v>
      </c>
      <c r="D721" s="57" t="s">
        <v>532</v>
      </c>
      <c r="E721" s="56">
        <v>103</v>
      </c>
      <c r="F721" s="56">
        <v>114</v>
      </c>
      <c r="G721" s="56">
        <v>121</v>
      </c>
      <c r="H721" s="56">
        <v>83</v>
      </c>
      <c r="I721" s="56">
        <v>88</v>
      </c>
      <c r="J721" s="56">
        <v>65</v>
      </c>
      <c r="K721" s="52">
        <f t="shared" si="36"/>
        <v>574</v>
      </c>
      <c r="L721" s="27">
        <f t="shared" si="34"/>
        <v>8</v>
      </c>
      <c r="M721" s="62">
        <f t="shared" si="35"/>
        <v>215</v>
      </c>
      <c r="N721" s="63" t="s">
        <v>16</v>
      </c>
      <c r="O721" s="26" t="s">
        <v>42</v>
      </c>
    </row>
    <row r="722" spans="1:15">
      <c r="A722" s="56" t="s">
        <v>2959</v>
      </c>
      <c r="B722" s="57" t="s">
        <v>111</v>
      </c>
      <c r="C722" s="56" t="s">
        <v>1056</v>
      </c>
      <c r="D722" s="57" t="s">
        <v>1057</v>
      </c>
      <c r="E722" s="56">
        <v>113</v>
      </c>
      <c r="F722" s="56">
        <v>92</v>
      </c>
      <c r="G722" s="56">
        <v>118</v>
      </c>
      <c r="H722" s="56">
        <v>79</v>
      </c>
      <c r="I722" s="56">
        <v>71</v>
      </c>
      <c r="J722" s="56">
        <v>50</v>
      </c>
      <c r="K722" s="52">
        <f t="shared" si="36"/>
        <v>523</v>
      </c>
      <c r="L722" s="27">
        <f t="shared" si="34"/>
        <v>22</v>
      </c>
      <c r="M722" s="62">
        <f t="shared" si="35"/>
        <v>481</v>
      </c>
      <c r="N722" s="63" t="s">
        <v>16</v>
      </c>
      <c r="O722" s="26" t="s">
        <v>2243</v>
      </c>
    </row>
    <row r="723" spans="1:15">
      <c r="A723" s="56" t="s">
        <v>2960</v>
      </c>
      <c r="B723" s="57" t="s">
        <v>111</v>
      </c>
      <c r="C723" s="56" t="s">
        <v>758</v>
      </c>
      <c r="D723" s="57" t="s">
        <v>759</v>
      </c>
      <c r="E723" s="56">
        <v>105</v>
      </c>
      <c r="F723" s="56">
        <v>116</v>
      </c>
      <c r="G723" s="56">
        <v>114</v>
      </c>
      <c r="H723" s="56">
        <v>65</v>
      </c>
      <c r="I723" s="56">
        <v>86</v>
      </c>
      <c r="J723" s="56">
        <v>64</v>
      </c>
      <c r="K723" s="52">
        <f t="shared" si="36"/>
        <v>550</v>
      </c>
      <c r="L723" s="27">
        <f t="shared" si="34"/>
        <v>15</v>
      </c>
      <c r="M723" s="62">
        <f t="shared" si="35"/>
        <v>331</v>
      </c>
      <c r="N723" s="63" t="s">
        <v>16</v>
      </c>
      <c r="O723" s="26" t="s">
        <v>42</v>
      </c>
    </row>
    <row r="724" spans="1:15">
      <c r="A724" s="56" t="s">
        <v>2961</v>
      </c>
      <c r="B724" s="57" t="s">
        <v>111</v>
      </c>
      <c r="C724" s="56" t="s">
        <v>1988</v>
      </c>
      <c r="D724" s="57" t="s">
        <v>1989</v>
      </c>
      <c r="E724" s="56">
        <v>74</v>
      </c>
      <c r="F724" s="56">
        <v>35</v>
      </c>
      <c r="G724" s="56">
        <v>109.5</v>
      </c>
      <c r="H724" s="56">
        <v>37</v>
      </c>
      <c r="I724" s="56">
        <v>63</v>
      </c>
      <c r="J724" s="56">
        <v>39</v>
      </c>
      <c r="K724" s="52">
        <f t="shared" si="36"/>
        <v>357.5</v>
      </c>
      <c r="L724" s="27">
        <f t="shared" si="34"/>
        <v>55</v>
      </c>
      <c r="M724" s="62">
        <f t="shared" si="35"/>
        <v>948</v>
      </c>
      <c r="N724" s="63" t="s">
        <v>17</v>
      </c>
      <c r="O724" s="26" t="s">
        <v>2243</v>
      </c>
    </row>
    <row r="725" spans="1:15">
      <c r="A725" s="56" t="s">
        <v>2962</v>
      </c>
      <c r="B725" s="57" t="s">
        <v>111</v>
      </c>
      <c r="C725" s="56" t="s">
        <v>1817</v>
      </c>
      <c r="D725" s="57" t="s">
        <v>1818</v>
      </c>
      <c r="E725" s="56">
        <v>102</v>
      </c>
      <c r="F725" s="56">
        <v>55</v>
      </c>
      <c r="G725" s="56">
        <v>111</v>
      </c>
      <c r="H725" s="56">
        <v>65</v>
      </c>
      <c r="I725" s="56">
        <v>68</v>
      </c>
      <c r="J725" s="56">
        <v>40</v>
      </c>
      <c r="K725" s="52">
        <f t="shared" si="36"/>
        <v>441</v>
      </c>
      <c r="L725" s="27">
        <f t="shared" si="34"/>
        <v>47</v>
      </c>
      <c r="M725" s="62">
        <f t="shared" si="35"/>
        <v>862</v>
      </c>
      <c r="N725" s="63" t="s">
        <v>17</v>
      </c>
      <c r="O725" s="26" t="s">
        <v>2243</v>
      </c>
    </row>
    <row r="726" spans="1:15">
      <c r="A726" s="56" t="s">
        <v>2963</v>
      </c>
      <c r="B726" s="57" t="s">
        <v>111</v>
      </c>
      <c r="C726" s="56" t="s">
        <v>1254</v>
      </c>
      <c r="D726" s="57" t="s">
        <v>1255</v>
      </c>
      <c r="E726" s="56">
        <v>117</v>
      </c>
      <c r="F726" s="56">
        <v>69</v>
      </c>
      <c r="G726" s="56">
        <v>120.5</v>
      </c>
      <c r="H726" s="56">
        <v>70</v>
      </c>
      <c r="I726" s="56">
        <v>80</v>
      </c>
      <c r="J726" s="56">
        <v>53</v>
      </c>
      <c r="K726" s="52">
        <f t="shared" si="36"/>
        <v>509.5</v>
      </c>
      <c r="L726" s="27">
        <f t="shared" si="34"/>
        <v>29</v>
      </c>
      <c r="M726" s="62">
        <f t="shared" si="35"/>
        <v>581</v>
      </c>
      <c r="N726" s="63" t="s">
        <v>17</v>
      </c>
      <c r="O726" s="26" t="s">
        <v>2243</v>
      </c>
    </row>
    <row r="727" spans="1:15">
      <c r="A727" s="56" t="s">
        <v>2964</v>
      </c>
      <c r="B727" s="57" t="s">
        <v>111</v>
      </c>
      <c r="C727" s="56" t="s">
        <v>1202</v>
      </c>
      <c r="D727" s="57" t="s">
        <v>1203</v>
      </c>
      <c r="E727" s="56">
        <v>109</v>
      </c>
      <c r="F727" s="56">
        <v>94</v>
      </c>
      <c r="G727" s="56">
        <v>101.5</v>
      </c>
      <c r="H727" s="56">
        <v>51</v>
      </c>
      <c r="I727" s="56">
        <v>80</v>
      </c>
      <c r="J727" s="56">
        <v>77</v>
      </c>
      <c r="K727" s="52">
        <f t="shared" si="36"/>
        <v>512.5</v>
      </c>
      <c r="L727" s="27">
        <f t="shared" si="34"/>
        <v>26</v>
      </c>
      <c r="M727" s="62">
        <f t="shared" si="35"/>
        <v>555</v>
      </c>
      <c r="N727" s="63" t="s">
        <v>17</v>
      </c>
      <c r="O727" s="26" t="s">
        <v>2243</v>
      </c>
    </row>
    <row r="728" spans="1:15">
      <c r="A728" s="56" t="s">
        <v>2965</v>
      </c>
      <c r="B728" s="57" t="s">
        <v>111</v>
      </c>
      <c r="C728" s="56" t="s">
        <v>1542</v>
      </c>
      <c r="D728" s="57" t="s">
        <v>1543</v>
      </c>
      <c r="E728" s="56">
        <v>100</v>
      </c>
      <c r="F728" s="56">
        <v>74</v>
      </c>
      <c r="G728" s="56">
        <v>107.5</v>
      </c>
      <c r="H728" s="56">
        <v>62</v>
      </c>
      <c r="I728" s="56">
        <v>82</v>
      </c>
      <c r="J728" s="56">
        <v>57</v>
      </c>
      <c r="K728" s="52">
        <f t="shared" si="36"/>
        <v>482.5</v>
      </c>
      <c r="L728" s="27">
        <f t="shared" si="34"/>
        <v>37</v>
      </c>
      <c r="M728" s="62">
        <f t="shared" si="35"/>
        <v>725</v>
      </c>
      <c r="N728" s="63" t="s">
        <v>16</v>
      </c>
      <c r="O728" s="26" t="s">
        <v>44</v>
      </c>
    </row>
    <row r="729" spans="1:15">
      <c r="A729" s="56" t="s">
        <v>2966</v>
      </c>
      <c r="B729" s="57" t="s">
        <v>84</v>
      </c>
      <c r="C729" s="56" t="s">
        <v>744</v>
      </c>
      <c r="D729" s="57" t="s">
        <v>745</v>
      </c>
      <c r="E729" s="56">
        <v>112</v>
      </c>
      <c r="F729" s="56">
        <v>99</v>
      </c>
      <c r="G729" s="56">
        <v>130</v>
      </c>
      <c r="H729" s="56">
        <v>55</v>
      </c>
      <c r="I729" s="56">
        <v>94</v>
      </c>
      <c r="J729" s="56">
        <v>61</v>
      </c>
      <c r="K729" s="52">
        <f t="shared" si="36"/>
        <v>551</v>
      </c>
      <c r="L729" s="27">
        <f>RANK(K729,$K$729:$K$784)</f>
        <v>14</v>
      </c>
      <c r="M729" s="62">
        <f t="shared" si="35"/>
        <v>326</v>
      </c>
      <c r="N729" s="63" t="s">
        <v>16</v>
      </c>
      <c r="O729" s="26" t="s">
        <v>42</v>
      </c>
    </row>
    <row r="730" spans="1:15">
      <c r="A730" s="56" t="s">
        <v>2967</v>
      </c>
      <c r="B730" s="57" t="s">
        <v>84</v>
      </c>
      <c r="C730" s="56" t="s">
        <v>410</v>
      </c>
      <c r="D730" s="57" t="s">
        <v>411</v>
      </c>
      <c r="E730" s="56">
        <v>112</v>
      </c>
      <c r="F730" s="56">
        <v>122</v>
      </c>
      <c r="G730" s="56">
        <v>106</v>
      </c>
      <c r="H730" s="56">
        <v>84</v>
      </c>
      <c r="I730" s="56">
        <v>87</v>
      </c>
      <c r="J730" s="56">
        <v>76</v>
      </c>
      <c r="K730" s="52">
        <f t="shared" si="36"/>
        <v>587</v>
      </c>
      <c r="L730" s="27">
        <f t="shared" ref="L730:L784" si="37">RANK(K730,$K$729:$K$784)</f>
        <v>6</v>
      </c>
      <c r="M730" s="62">
        <f t="shared" si="35"/>
        <v>156</v>
      </c>
      <c r="N730" s="63" t="s">
        <v>17</v>
      </c>
      <c r="O730" s="26" t="s">
        <v>2243</v>
      </c>
    </row>
    <row r="731" spans="1:15">
      <c r="A731" s="56" t="s">
        <v>2968</v>
      </c>
      <c r="B731" s="57" t="s">
        <v>84</v>
      </c>
      <c r="C731" s="56" t="s">
        <v>1020</v>
      </c>
      <c r="D731" s="57" t="s">
        <v>1021</v>
      </c>
      <c r="E731" s="56">
        <v>107</v>
      </c>
      <c r="F731" s="56">
        <v>101</v>
      </c>
      <c r="G731" s="56">
        <v>100</v>
      </c>
      <c r="H731" s="56">
        <v>79</v>
      </c>
      <c r="I731" s="56">
        <v>78</v>
      </c>
      <c r="J731" s="56">
        <v>61</v>
      </c>
      <c r="K731" s="52">
        <f t="shared" si="36"/>
        <v>526</v>
      </c>
      <c r="L731" s="27">
        <f t="shared" si="37"/>
        <v>23</v>
      </c>
      <c r="M731" s="62">
        <f t="shared" si="35"/>
        <v>462</v>
      </c>
      <c r="N731" s="63" t="s">
        <v>17</v>
      </c>
      <c r="O731" s="26" t="s">
        <v>44</v>
      </c>
    </row>
    <row r="732" spans="1:15">
      <c r="A732" s="56" t="s">
        <v>2969</v>
      </c>
      <c r="B732" s="57" t="s">
        <v>84</v>
      </c>
      <c r="C732" s="56" t="s">
        <v>1784</v>
      </c>
      <c r="D732" s="57" t="s">
        <v>1785</v>
      </c>
      <c r="E732" s="56">
        <v>101</v>
      </c>
      <c r="F732" s="56">
        <v>74</v>
      </c>
      <c r="G732" s="56">
        <v>82.5</v>
      </c>
      <c r="H732" s="56">
        <v>65</v>
      </c>
      <c r="I732" s="56">
        <v>65</v>
      </c>
      <c r="J732" s="56">
        <v>61</v>
      </c>
      <c r="K732" s="52">
        <f t="shared" si="36"/>
        <v>448.5</v>
      </c>
      <c r="L732" s="27">
        <f t="shared" si="37"/>
        <v>51</v>
      </c>
      <c r="M732" s="62">
        <f t="shared" si="35"/>
        <v>844</v>
      </c>
      <c r="N732" s="63" t="s">
        <v>17</v>
      </c>
      <c r="O732" s="26" t="s">
        <v>2243</v>
      </c>
    </row>
    <row r="733" spans="1:15">
      <c r="A733" s="56" t="s">
        <v>2970</v>
      </c>
      <c r="B733" s="57" t="s">
        <v>84</v>
      </c>
      <c r="C733" s="56" t="s">
        <v>549</v>
      </c>
      <c r="D733" s="57" t="s">
        <v>550</v>
      </c>
      <c r="E733" s="56">
        <v>106</v>
      </c>
      <c r="F733" s="56">
        <v>124</v>
      </c>
      <c r="G733" s="56">
        <v>107</v>
      </c>
      <c r="H733" s="56">
        <v>74</v>
      </c>
      <c r="I733" s="56">
        <v>83</v>
      </c>
      <c r="J733" s="56">
        <v>78</v>
      </c>
      <c r="K733" s="52">
        <f t="shared" si="36"/>
        <v>572</v>
      </c>
      <c r="L733" s="27">
        <f t="shared" si="37"/>
        <v>11</v>
      </c>
      <c r="M733" s="62">
        <f t="shared" si="35"/>
        <v>228</v>
      </c>
      <c r="N733" s="63" t="s">
        <v>16</v>
      </c>
      <c r="O733" s="26" t="s">
        <v>2243</v>
      </c>
    </row>
    <row r="734" spans="1:15">
      <c r="A734" s="56" t="s">
        <v>2971</v>
      </c>
      <c r="B734" s="57" t="s">
        <v>84</v>
      </c>
      <c r="C734" s="56" t="s">
        <v>1796</v>
      </c>
      <c r="D734" s="57" t="s">
        <v>1797</v>
      </c>
      <c r="E734" s="56">
        <v>92</v>
      </c>
      <c r="F734" s="56">
        <v>83</v>
      </c>
      <c r="G734" s="56">
        <v>89</v>
      </c>
      <c r="H734" s="56">
        <v>55</v>
      </c>
      <c r="I734" s="56">
        <v>53</v>
      </c>
      <c r="J734" s="56">
        <v>75</v>
      </c>
      <c r="K734" s="52">
        <f t="shared" si="36"/>
        <v>447</v>
      </c>
      <c r="L734" s="27">
        <f t="shared" si="37"/>
        <v>53</v>
      </c>
      <c r="M734" s="62">
        <f t="shared" si="35"/>
        <v>851</v>
      </c>
      <c r="N734" s="63" t="s">
        <v>17</v>
      </c>
      <c r="O734" s="26" t="s">
        <v>42</v>
      </c>
    </row>
    <row r="735" spans="1:15">
      <c r="A735" s="56" t="s">
        <v>2972</v>
      </c>
      <c r="B735" s="57" t="s">
        <v>84</v>
      </c>
      <c r="C735" s="56" t="s">
        <v>1310</v>
      </c>
      <c r="D735" s="57" t="s">
        <v>1311</v>
      </c>
      <c r="E735" s="56">
        <v>108</v>
      </c>
      <c r="F735" s="56">
        <v>73</v>
      </c>
      <c r="G735" s="56">
        <v>111</v>
      </c>
      <c r="H735" s="56">
        <v>64</v>
      </c>
      <c r="I735" s="56">
        <v>78</v>
      </c>
      <c r="J735" s="56">
        <v>71</v>
      </c>
      <c r="K735" s="52">
        <f t="shared" si="36"/>
        <v>505</v>
      </c>
      <c r="L735" s="27">
        <f t="shared" si="37"/>
        <v>35</v>
      </c>
      <c r="M735" s="62">
        <f t="shared" si="35"/>
        <v>606</v>
      </c>
      <c r="N735" s="63" t="s">
        <v>17</v>
      </c>
      <c r="O735" s="26" t="s">
        <v>2243</v>
      </c>
    </row>
    <row r="736" spans="1:15">
      <c r="A736" s="56" t="s">
        <v>2973</v>
      </c>
      <c r="B736" s="57" t="s">
        <v>84</v>
      </c>
      <c r="C736" s="56" t="s">
        <v>756</v>
      </c>
      <c r="D736" s="57" t="s">
        <v>757</v>
      </c>
      <c r="E736" s="56">
        <v>116</v>
      </c>
      <c r="F736" s="56">
        <v>112</v>
      </c>
      <c r="G736" s="56">
        <v>116</v>
      </c>
      <c r="H736" s="56">
        <v>71</v>
      </c>
      <c r="I736" s="56">
        <v>66</v>
      </c>
      <c r="J736" s="56">
        <v>69</v>
      </c>
      <c r="K736" s="52">
        <f t="shared" si="36"/>
        <v>550</v>
      </c>
      <c r="L736" s="27">
        <f t="shared" si="37"/>
        <v>17</v>
      </c>
      <c r="M736" s="62">
        <f t="shared" si="35"/>
        <v>331</v>
      </c>
      <c r="N736" s="63" t="s">
        <v>16</v>
      </c>
      <c r="O736" s="26" t="s">
        <v>42</v>
      </c>
    </row>
    <row r="737" spans="1:15">
      <c r="A737" s="56" t="s">
        <v>2974</v>
      </c>
      <c r="B737" s="57" t="s">
        <v>84</v>
      </c>
      <c r="C737" s="56" t="s">
        <v>1462</v>
      </c>
      <c r="D737" s="57" t="s">
        <v>1463</v>
      </c>
      <c r="E737" s="56">
        <v>96</v>
      </c>
      <c r="F737" s="56">
        <v>110</v>
      </c>
      <c r="G737" s="56">
        <v>85</v>
      </c>
      <c r="H737" s="56">
        <v>64</v>
      </c>
      <c r="I737" s="56">
        <v>83</v>
      </c>
      <c r="J737" s="56">
        <v>54</v>
      </c>
      <c r="K737" s="52">
        <f t="shared" si="36"/>
        <v>492</v>
      </c>
      <c r="L737" s="27">
        <f t="shared" si="37"/>
        <v>44</v>
      </c>
      <c r="M737" s="62">
        <f t="shared" si="35"/>
        <v>684</v>
      </c>
      <c r="N737" s="63" t="s">
        <v>17</v>
      </c>
      <c r="O737" s="26" t="s">
        <v>42</v>
      </c>
    </row>
    <row r="738" spans="1:15">
      <c r="A738" s="56" t="s">
        <v>2975</v>
      </c>
      <c r="B738" s="57" t="s">
        <v>84</v>
      </c>
      <c r="C738" s="56" t="s">
        <v>1712</v>
      </c>
      <c r="D738" s="57" t="s">
        <v>1713</v>
      </c>
      <c r="E738" s="56">
        <v>100</v>
      </c>
      <c r="F738" s="56">
        <v>86</v>
      </c>
      <c r="G738" s="56">
        <v>117.5</v>
      </c>
      <c r="H738" s="56">
        <v>45</v>
      </c>
      <c r="I738" s="56">
        <v>67</v>
      </c>
      <c r="J738" s="56">
        <v>47</v>
      </c>
      <c r="K738" s="52">
        <f t="shared" si="36"/>
        <v>462.5</v>
      </c>
      <c r="L738" s="27">
        <f t="shared" si="37"/>
        <v>48</v>
      </c>
      <c r="M738" s="62">
        <f t="shared" si="35"/>
        <v>810</v>
      </c>
      <c r="N738" s="63" t="s">
        <v>17</v>
      </c>
      <c r="O738" s="26" t="s">
        <v>2243</v>
      </c>
    </row>
    <row r="739" spans="1:15">
      <c r="A739" s="56" t="s">
        <v>2976</v>
      </c>
      <c r="B739" s="57" t="s">
        <v>84</v>
      </c>
      <c r="C739" s="56" t="s">
        <v>746</v>
      </c>
      <c r="D739" s="57" t="s">
        <v>747</v>
      </c>
      <c r="E739" s="56">
        <v>91</v>
      </c>
      <c r="F739" s="56">
        <v>112</v>
      </c>
      <c r="G739" s="56">
        <v>102.5</v>
      </c>
      <c r="H739" s="56">
        <v>90</v>
      </c>
      <c r="I739" s="56">
        <v>90</v>
      </c>
      <c r="J739" s="56">
        <v>65</v>
      </c>
      <c r="K739" s="52">
        <f t="shared" si="36"/>
        <v>550.5</v>
      </c>
      <c r="L739" s="27">
        <f t="shared" si="37"/>
        <v>15</v>
      </c>
      <c r="M739" s="62">
        <f t="shared" si="35"/>
        <v>327</v>
      </c>
      <c r="N739" s="63" t="s">
        <v>17</v>
      </c>
      <c r="O739" s="26" t="s">
        <v>2243</v>
      </c>
    </row>
    <row r="740" spans="1:15">
      <c r="A740" s="56" t="s">
        <v>2977</v>
      </c>
      <c r="B740" s="57" t="s">
        <v>84</v>
      </c>
      <c r="C740" s="56" t="s">
        <v>1106</v>
      </c>
      <c r="D740" s="57" t="s">
        <v>1107</v>
      </c>
      <c r="E740" s="56">
        <v>104</v>
      </c>
      <c r="F740" s="56">
        <v>121</v>
      </c>
      <c r="G740" s="56">
        <v>118.5</v>
      </c>
      <c r="H740" s="56">
        <v>51</v>
      </c>
      <c r="I740" s="56">
        <v>67</v>
      </c>
      <c r="J740" s="56">
        <v>58</v>
      </c>
      <c r="K740" s="52">
        <f t="shared" si="36"/>
        <v>519.5</v>
      </c>
      <c r="L740" s="27">
        <f t="shared" si="37"/>
        <v>27</v>
      </c>
      <c r="M740" s="62">
        <f t="shared" si="35"/>
        <v>507</v>
      </c>
      <c r="N740" s="63" t="s">
        <v>17</v>
      </c>
      <c r="O740" s="26" t="s">
        <v>2243</v>
      </c>
    </row>
    <row r="741" spans="1:15">
      <c r="A741" s="56" t="s">
        <v>2978</v>
      </c>
      <c r="B741" s="57" t="s">
        <v>84</v>
      </c>
      <c r="C741" s="56" t="s">
        <v>82</v>
      </c>
      <c r="D741" s="57" t="s">
        <v>83</v>
      </c>
      <c r="E741" s="56">
        <v>128</v>
      </c>
      <c r="F741" s="56">
        <v>142</v>
      </c>
      <c r="G741" s="56">
        <v>133.5</v>
      </c>
      <c r="H741" s="56">
        <v>93</v>
      </c>
      <c r="I741" s="56">
        <v>92</v>
      </c>
      <c r="J741" s="56">
        <v>83</v>
      </c>
      <c r="K741" s="52">
        <f t="shared" si="36"/>
        <v>671.5</v>
      </c>
      <c r="L741" s="27">
        <f t="shared" si="37"/>
        <v>1</v>
      </c>
      <c r="M741" s="62">
        <f t="shared" si="35"/>
        <v>1</v>
      </c>
      <c r="N741" s="63" t="s">
        <v>16</v>
      </c>
      <c r="O741" s="26" t="s">
        <v>42</v>
      </c>
    </row>
    <row r="742" spans="1:15">
      <c r="A742" s="56" t="s">
        <v>2979</v>
      </c>
      <c r="B742" s="57" t="s">
        <v>84</v>
      </c>
      <c r="C742" s="56" t="s">
        <v>165</v>
      </c>
      <c r="D742" s="57" t="s">
        <v>166</v>
      </c>
      <c r="E742" s="56">
        <v>127</v>
      </c>
      <c r="F742" s="56">
        <v>128</v>
      </c>
      <c r="G742" s="56">
        <v>119</v>
      </c>
      <c r="H742" s="56">
        <v>76</v>
      </c>
      <c r="I742" s="56">
        <v>95</v>
      </c>
      <c r="J742" s="56">
        <v>82</v>
      </c>
      <c r="K742" s="52">
        <f t="shared" si="36"/>
        <v>627</v>
      </c>
      <c r="L742" s="27">
        <f t="shared" si="37"/>
        <v>3</v>
      </c>
      <c r="M742" s="62">
        <f t="shared" si="35"/>
        <v>38</v>
      </c>
      <c r="N742" s="63" t="s">
        <v>16</v>
      </c>
      <c r="O742" s="26" t="s">
        <v>42</v>
      </c>
    </row>
    <row r="743" spans="1:15">
      <c r="A743" s="56" t="s">
        <v>2980</v>
      </c>
      <c r="B743" s="57" t="s">
        <v>84</v>
      </c>
      <c r="C743" s="56" t="s">
        <v>822</v>
      </c>
      <c r="D743" s="57" t="s">
        <v>823</v>
      </c>
      <c r="E743" s="56">
        <v>100</v>
      </c>
      <c r="F743" s="56">
        <v>88</v>
      </c>
      <c r="G743" s="56">
        <v>118.5</v>
      </c>
      <c r="H743" s="56">
        <v>74</v>
      </c>
      <c r="I743" s="56">
        <v>81</v>
      </c>
      <c r="J743" s="56">
        <v>81</v>
      </c>
      <c r="K743" s="52">
        <f t="shared" si="36"/>
        <v>542.5</v>
      </c>
      <c r="L743" s="27">
        <f t="shared" si="37"/>
        <v>18</v>
      </c>
      <c r="M743" s="62">
        <f t="shared" si="35"/>
        <v>365</v>
      </c>
      <c r="N743" s="63" t="s">
        <v>16</v>
      </c>
      <c r="O743" s="26" t="s">
        <v>2243</v>
      </c>
    </row>
    <row r="744" spans="1:15">
      <c r="A744" s="56" t="s">
        <v>2981</v>
      </c>
      <c r="B744" s="57" t="s">
        <v>84</v>
      </c>
      <c r="C744" s="56" t="s">
        <v>1482</v>
      </c>
      <c r="D744" s="57" t="s">
        <v>1483</v>
      </c>
      <c r="E744" s="56">
        <v>108</v>
      </c>
      <c r="F744" s="56">
        <v>98</v>
      </c>
      <c r="G744" s="56">
        <v>41.5</v>
      </c>
      <c r="H744" s="56">
        <v>74</v>
      </c>
      <c r="I744" s="56">
        <v>91</v>
      </c>
      <c r="J744" s="56">
        <v>77</v>
      </c>
      <c r="K744" s="52">
        <f t="shared" si="36"/>
        <v>489.5</v>
      </c>
      <c r="L744" s="27">
        <f t="shared" si="37"/>
        <v>45</v>
      </c>
      <c r="M744" s="62">
        <f t="shared" si="35"/>
        <v>693</v>
      </c>
      <c r="N744" s="63" t="s">
        <v>17</v>
      </c>
      <c r="O744" s="26" t="s">
        <v>42</v>
      </c>
    </row>
    <row r="745" spans="1:15">
      <c r="A745" s="56" t="s">
        <v>2982</v>
      </c>
      <c r="B745" s="57" t="s">
        <v>84</v>
      </c>
      <c r="C745" s="56" t="s">
        <v>1851</v>
      </c>
      <c r="D745" s="57" t="s">
        <v>1852</v>
      </c>
      <c r="E745" s="56">
        <v>109</v>
      </c>
      <c r="F745" s="56">
        <v>54</v>
      </c>
      <c r="G745" s="56">
        <v>108.5</v>
      </c>
      <c r="H745" s="56">
        <v>45</v>
      </c>
      <c r="I745" s="56">
        <v>59</v>
      </c>
      <c r="J745" s="56">
        <v>59</v>
      </c>
      <c r="K745" s="52">
        <f t="shared" si="36"/>
        <v>434.5</v>
      </c>
      <c r="L745" s="27">
        <f t="shared" si="37"/>
        <v>55</v>
      </c>
      <c r="M745" s="62">
        <f t="shared" si="35"/>
        <v>878</v>
      </c>
      <c r="N745" s="63" t="s">
        <v>17</v>
      </c>
      <c r="O745" s="26" t="s">
        <v>42</v>
      </c>
    </row>
    <row r="746" spans="1:15">
      <c r="A746" s="56" t="s">
        <v>2983</v>
      </c>
      <c r="B746" s="57" t="s">
        <v>84</v>
      </c>
      <c r="C746" s="56" t="s">
        <v>1450</v>
      </c>
      <c r="D746" s="57" t="s">
        <v>1451</v>
      </c>
      <c r="E746" s="56">
        <v>66</v>
      </c>
      <c r="F746" s="56">
        <v>99</v>
      </c>
      <c r="G746" s="56">
        <v>116</v>
      </c>
      <c r="H746" s="56">
        <v>89</v>
      </c>
      <c r="I746" s="56">
        <v>74</v>
      </c>
      <c r="J746" s="56">
        <v>49</v>
      </c>
      <c r="K746" s="52">
        <f t="shared" si="36"/>
        <v>493</v>
      </c>
      <c r="L746" s="27">
        <f t="shared" si="37"/>
        <v>42</v>
      </c>
      <c r="M746" s="62">
        <f t="shared" si="35"/>
        <v>677</v>
      </c>
      <c r="N746" s="63" t="s">
        <v>16</v>
      </c>
      <c r="O746" s="26" t="s">
        <v>2243</v>
      </c>
    </row>
    <row r="747" spans="1:15">
      <c r="A747" s="56" t="s">
        <v>2984</v>
      </c>
      <c r="B747" s="57" t="s">
        <v>84</v>
      </c>
      <c r="C747" s="56" t="s">
        <v>918</v>
      </c>
      <c r="D747" s="57" t="s">
        <v>919</v>
      </c>
      <c r="E747" s="56">
        <v>105</v>
      </c>
      <c r="F747" s="56">
        <v>92</v>
      </c>
      <c r="G747" s="56">
        <v>98.5</v>
      </c>
      <c r="H747" s="56">
        <v>84</v>
      </c>
      <c r="I747" s="56">
        <v>91</v>
      </c>
      <c r="J747" s="56">
        <v>63</v>
      </c>
      <c r="K747" s="52">
        <f t="shared" si="36"/>
        <v>533.5</v>
      </c>
      <c r="L747" s="27">
        <f t="shared" si="37"/>
        <v>20</v>
      </c>
      <c r="M747" s="62">
        <f t="shared" si="35"/>
        <v>413</v>
      </c>
      <c r="N747" s="63" t="s">
        <v>16</v>
      </c>
      <c r="O747" s="26" t="s">
        <v>44</v>
      </c>
    </row>
    <row r="748" spans="1:15">
      <c r="A748" s="56" t="s">
        <v>2985</v>
      </c>
      <c r="B748" s="57" t="s">
        <v>84</v>
      </c>
      <c r="C748" s="56" t="s">
        <v>488</v>
      </c>
      <c r="D748" s="57" t="s">
        <v>489</v>
      </c>
      <c r="E748" s="56">
        <v>111</v>
      </c>
      <c r="F748" s="56">
        <v>88</v>
      </c>
      <c r="G748" s="56">
        <v>133.5</v>
      </c>
      <c r="H748" s="56">
        <v>87</v>
      </c>
      <c r="I748" s="56">
        <v>88</v>
      </c>
      <c r="J748" s="56">
        <v>70</v>
      </c>
      <c r="K748" s="52">
        <f t="shared" si="36"/>
        <v>577.5</v>
      </c>
      <c r="L748" s="27">
        <f t="shared" si="37"/>
        <v>9</v>
      </c>
      <c r="M748" s="62">
        <f t="shared" si="35"/>
        <v>195</v>
      </c>
      <c r="N748" s="63" t="s">
        <v>16</v>
      </c>
      <c r="O748" s="26" t="s">
        <v>42</v>
      </c>
    </row>
    <row r="749" spans="1:15">
      <c r="A749" s="56" t="s">
        <v>2986</v>
      </c>
      <c r="B749" s="57" t="s">
        <v>84</v>
      </c>
      <c r="C749" s="56" t="s">
        <v>711</v>
      </c>
      <c r="D749" s="57" t="s">
        <v>712</v>
      </c>
      <c r="E749" s="56">
        <v>121</v>
      </c>
      <c r="F749" s="56">
        <v>101</v>
      </c>
      <c r="G749" s="56">
        <v>111.5</v>
      </c>
      <c r="H749" s="56">
        <v>70</v>
      </c>
      <c r="I749" s="56">
        <v>85</v>
      </c>
      <c r="J749" s="56">
        <v>66</v>
      </c>
      <c r="K749" s="52">
        <f t="shared" si="36"/>
        <v>554.5</v>
      </c>
      <c r="L749" s="27">
        <f t="shared" si="37"/>
        <v>12</v>
      </c>
      <c r="M749" s="62">
        <f t="shared" si="35"/>
        <v>304</v>
      </c>
      <c r="N749" s="63" t="s">
        <v>16</v>
      </c>
      <c r="O749" s="26" t="s">
        <v>44</v>
      </c>
    </row>
    <row r="750" spans="1:15">
      <c r="A750" s="56" t="s">
        <v>2987</v>
      </c>
      <c r="B750" s="57" t="s">
        <v>84</v>
      </c>
      <c r="C750" s="56" t="s">
        <v>432</v>
      </c>
      <c r="D750" s="57" t="s">
        <v>433</v>
      </c>
      <c r="E750" s="56">
        <v>111</v>
      </c>
      <c r="F750" s="56">
        <v>111</v>
      </c>
      <c r="G750" s="56">
        <v>121.5</v>
      </c>
      <c r="H750" s="56">
        <v>89</v>
      </c>
      <c r="I750" s="56">
        <v>86</v>
      </c>
      <c r="J750" s="56">
        <v>65</v>
      </c>
      <c r="K750" s="52">
        <f t="shared" si="36"/>
        <v>583.5</v>
      </c>
      <c r="L750" s="27">
        <f t="shared" si="37"/>
        <v>7</v>
      </c>
      <c r="M750" s="62">
        <f t="shared" si="35"/>
        <v>167</v>
      </c>
      <c r="N750" s="63" t="s">
        <v>16</v>
      </c>
      <c r="O750" s="26" t="s">
        <v>44</v>
      </c>
    </row>
    <row r="751" spans="1:15" ht="13.5" customHeight="1">
      <c r="A751" s="56" t="s">
        <v>2988</v>
      </c>
      <c r="B751" s="57" t="s">
        <v>84</v>
      </c>
      <c r="C751" s="56" t="s">
        <v>1374</v>
      </c>
      <c r="D751" s="57" t="s">
        <v>1375</v>
      </c>
      <c r="E751" s="56">
        <v>108</v>
      </c>
      <c r="F751" s="56">
        <v>77</v>
      </c>
      <c r="G751" s="56">
        <v>108.5</v>
      </c>
      <c r="H751" s="56">
        <v>59</v>
      </c>
      <c r="I751" s="56">
        <v>82</v>
      </c>
      <c r="J751" s="56">
        <v>65</v>
      </c>
      <c r="K751" s="52">
        <f t="shared" si="36"/>
        <v>499.5</v>
      </c>
      <c r="L751" s="27">
        <f t="shared" si="37"/>
        <v>40</v>
      </c>
      <c r="M751" s="62">
        <f t="shared" si="35"/>
        <v>641</v>
      </c>
      <c r="N751" s="63" t="s">
        <v>16</v>
      </c>
      <c r="O751" s="26" t="s">
        <v>44</v>
      </c>
    </row>
    <row r="752" spans="1:15">
      <c r="A752" s="56" t="s">
        <v>2989</v>
      </c>
      <c r="B752" s="57" t="s">
        <v>84</v>
      </c>
      <c r="C752" s="56" t="s">
        <v>1280</v>
      </c>
      <c r="D752" s="57" t="s">
        <v>1281</v>
      </c>
      <c r="E752" s="56">
        <v>110</v>
      </c>
      <c r="F752" s="56">
        <v>80</v>
      </c>
      <c r="G752" s="56">
        <v>109.5</v>
      </c>
      <c r="H752" s="56">
        <v>62</v>
      </c>
      <c r="I752" s="56">
        <v>75</v>
      </c>
      <c r="J752" s="56">
        <v>71</v>
      </c>
      <c r="K752" s="52">
        <f t="shared" si="36"/>
        <v>507.5</v>
      </c>
      <c r="L752" s="27">
        <f t="shared" si="37"/>
        <v>34</v>
      </c>
      <c r="M752" s="62">
        <f t="shared" si="35"/>
        <v>592</v>
      </c>
      <c r="N752" s="63" t="s">
        <v>16</v>
      </c>
      <c r="O752" s="26" t="s">
        <v>44</v>
      </c>
    </row>
    <row r="753" spans="1:15">
      <c r="A753" s="56" t="s">
        <v>2990</v>
      </c>
      <c r="B753" s="57" t="s">
        <v>84</v>
      </c>
      <c r="C753" s="56" t="s">
        <v>151</v>
      </c>
      <c r="D753" s="57" t="s">
        <v>152</v>
      </c>
      <c r="E753" s="56">
        <v>112</v>
      </c>
      <c r="F753" s="56">
        <v>141</v>
      </c>
      <c r="G753" s="60">
        <v>111.5</v>
      </c>
      <c r="H753" s="56">
        <v>86</v>
      </c>
      <c r="I753" s="56">
        <v>94</v>
      </c>
      <c r="J753" s="56">
        <v>88</v>
      </c>
      <c r="K753" s="52">
        <f t="shared" si="36"/>
        <v>632.5</v>
      </c>
      <c r="L753" s="27">
        <f t="shared" si="37"/>
        <v>2</v>
      </c>
      <c r="M753" s="62">
        <f t="shared" si="35"/>
        <v>31</v>
      </c>
      <c r="N753" s="63" t="s">
        <v>17</v>
      </c>
      <c r="O753" s="26" t="s">
        <v>2243</v>
      </c>
    </row>
    <row r="754" spans="1:15">
      <c r="A754" s="56" t="s">
        <v>2991</v>
      </c>
      <c r="B754" s="57" t="s">
        <v>84</v>
      </c>
      <c r="C754" s="56" t="s">
        <v>1831</v>
      </c>
      <c r="D754" s="57" t="s">
        <v>1832</v>
      </c>
      <c r="E754" s="56">
        <v>102</v>
      </c>
      <c r="F754" s="56">
        <v>48</v>
      </c>
      <c r="G754" s="56">
        <v>116.5</v>
      </c>
      <c r="H754" s="56">
        <v>37</v>
      </c>
      <c r="I754" s="56">
        <v>79</v>
      </c>
      <c r="J754" s="56">
        <v>57</v>
      </c>
      <c r="K754" s="52">
        <f t="shared" si="36"/>
        <v>439.5</v>
      </c>
      <c r="L754" s="27">
        <f t="shared" si="37"/>
        <v>54</v>
      </c>
      <c r="M754" s="62">
        <f t="shared" si="35"/>
        <v>866</v>
      </c>
      <c r="N754" s="63" t="s">
        <v>17</v>
      </c>
      <c r="O754" s="26" t="s">
        <v>2243</v>
      </c>
    </row>
    <row r="755" spans="1:15">
      <c r="A755" s="56" t="s">
        <v>2992</v>
      </c>
      <c r="B755" s="57" t="s">
        <v>84</v>
      </c>
      <c r="C755" s="56" t="s">
        <v>1122</v>
      </c>
      <c r="D755" s="57" t="s">
        <v>1123</v>
      </c>
      <c r="E755" s="56">
        <v>112</v>
      </c>
      <c r="F755" s="56">
        <v>93</v>
      </c>
      <c r="G755" s="56">
        <v>96.5</v>
      </c>
      <c r="H755" s="56">
        <v>73</v>
      </c>
      <c r="I755" s="56">
        <v>83</v>
      </c>
      <c r="J755" s="56">
        <v>61</v>
      </c>
      <c r="K755" s="52">
        <f t="shared" si="36"/>
        <v>518.5</v>
      </c>
      <c r="L755" s="27">
        <f t="shared" si="37"/>
        <v>29</v>
      </c>
      <c r="M755" s="62">
        <f t="shared" si="35"/>
        <v>514</v>
      </c>
      <c r="N755" s="63" t="s">
        <v>17</v>
      </c>
      <c r="O755" s="26" t="s">
        <v>42</v>
      </c>
    </row>
    <row r="756" spans="1:15">
      <c r="A756" s="56" t="s">
        <v>2993</v>
      </c>
      <c r="B756" s="57" t="s">
        <v>84</v>
      </c>
      <c r="C756" s="56" t="s">
        <v>1512</v>
      </c>
      <c r="D756" s="57" t="s">
        <v>1513</v>
      </c>
      <c r="E756" s="56">
        <v>87</v>
      </c>
      <c r="F756" s="56">
        <v>96</v>
      </c>
      <c r="G756" s="56">
        <v>74.5</v>
      </c>
      <c r="H756" s="56">
        <v>67</v>
      </c>
      <c r="I756" s="56">
        <v>85</v>
      </c>
      <c r="J756" s="56">
        <v>76</v>
      </c>
      <c r="K756" s="52">
        <f t="shared" si="36"/>
        <v>485.5</v>
      </c>
      <c r="L756" s="27">
        <f t="shared" si="37"/>
        <v>46</v>
      </c>
      <c r="M756" s="62">
        <f t="shared" si="35"/>
        <v>710</v>
      </c>
      <c r="N756" s="63" t="s">
        <v>17</v>
      </c>
      <c r="O756" s="26" t="s">
        <v>42</v>
      </c>
    </row>
    <row r="757" spans="1:15">
      <c r="A757" s="56" t="s">
        <v>2994</v>
      </c>
      <c r="B757" s="57" t="s">
        <v>84</v>
      </c>
      <c r="C757" s="56" t="s">
        <v>476</v>
      </c>
      <c r="D757" s="57" t="s">
        <v>477</v>
      </c>
      <c r="E757" s="56">
        <v>106</v>
      </c>
      <c r="F757" s="56">
        <v>129</v>
      </c>
      <c r="G757" s="56">
        <v>107</v>
      </c>
      <c r="H757" s="56">
        <v>77</v>
      </c>
      <c r="I757" s="56">
        <v>83</v>
      </c>
      <c r="J757" s="56">
        <v>77</v>
      </c>
      <c r="K757" s="52">
        <f t="shared" si="36"/>
        <v>579</v>
      </c>
      <c r="L757" s="27">
        <f t="shared" si="37"/>
        <v>8</v>
      </c>
      <c r="M757" s="62">
        <f t="shared" si="35"/>
        <v>188</v>
      </c>
      <c r="N757" s="63" t="s">
        <v>16</v>
      </c>
      <c r="O757" s="26" t="s">
        <v>42</v>
      </c>
    </row>
    <row r="758" spans="1:15">
      <c r="A758" s="56" t="s">
        <v>2995</v>
      </c>
      <c r="B758" s="57" t="s">
        <v>84</v>
      </c>
      <c r="C758" s="56" t="s">
        <v>518</v>
      </c>
      <c r="D758" s="57" t="s">
        <v>41</v>
      </c>
      <c r="E758" s="56">
        <v>115</v>
      </c>
      <c r="F758" s="56">
        <v>119</v>
      </c>
      <c r="G758" s="56">
        <v>128</v>
      </c>
      <c r="H758" s="56">
        <v>65</v>
      </c>
      <c r="I758" s="56">
        <v>76</v>
      </c>
      <c r="J758" s="56">
        <v>72</v>
      </c>
      <c r="K758" s="52">
        <f t="shared" si="36"/>
        <v>575</v>
      </c>
      <c r="L758" s="27">
        <f t="shared" si="37"/>
        <v>10</v>
      </c>
      <c r="M758" s="62">
        <f t="shared" si="35"/>
        <v>207</v>
      </c>
      <c r="N758" s="63" t="s">
        <v>16</v>
      </c>
      <c r="O758" s="26" t="s">
        <v>2243</v>
      </c>
    </row>
    <row r="759" spans="1:15">
      <c r="A759" s="56" t="s">
        <v>2996</v>
      </c>
      <c r="B759" s="57" t="s">
        <v>84</v>
      </c>
      <c r="C759" s="56" t="s">
        <v>1454</v>
      </c>
      <c r="D759" s="57" t="s">
        <v>1455</v>
      </c>
      <c r="E759" s="56">
        <v>96</v>
      </c>
      <c r="F759" s="56">
        <v>68</v>
      </c>
      <c r="G759" s="56">
        <v>114.5</v>
      </c>
      <c r="H759" s="56">
        <v>56</v>
      </c>
      <c r="I759" s="56">
        <v>88</v>
      </c>
      <c r="J759" s="56">
        <v>70</v>
      </c>
      <c r="K759" s="52">
        <f t="shared" si="36"/>
        <v>492.5</v>
      </c>
      <c r="L759" s="27">
        <f t="shared" si="37"/>
        <v>43</v>
      </c>
      <c r="M759" s="62">
        <f t="shared" si="35"/>
        <v>681</v>
      </c>
      <c r="N759" s="63" t="s">
        <v>17</v>
      </c>
      <c r="O759" s="26" t="s">
        <v>2243</v>
      </c>
    </row>
    <row r="760" spans="1:15">
      <c r="A760" s="56" t="s">
        <v>2997</v>
      </c>
      <c r="B760" s="57" t="s">
        <v>84</v>
      </c>
      <c r="C760" s="56" t="s">
        <v>1094</v>
      </c>
      <c r="D760" s="57" t="s">
        <v>1095</v>
      </c>
      <c r="E760" s="56">
        <v>101</v>
      </c>
      <c r="F760" s="56">
        <v>86</v>
      </c>
      <c r="G760" s="56">
        <v>112</v>
      </c>
      <c r="H760" s="56">
        <v>75</v>
      </c>
      <c r="I760" s="56">
        <v>78</v>
      </c>
      <c r="J760" s="56">
        <v>69</v>
      </c>
      <c r="K760" s="52">
        <f t="shared" si="36"/>
        <v>521</v>
      </c>
      <c r="L760" s="27">
        <f t="shared" si="37"/>
        <v>25</v>
      </c>
      <c r="M760" s="62">
        <f t="shared" si="35"/>
        <v>499</v>
      </c>
      <c r="N760" s="63" t="s">
        <v>17</v>
      </c>
      <c r="O760" s="26" t="s">
        <v>2243</v>
      </c>
    </row>
    <row r="761" spans="1:15">
      <c r="A761" s="56" t="s">
        <v>2998</v>
      </c>
      <c r="B761" s="57" t="s">
        <v>84</v>
      </c>
      <c r="C761" s="56" t="s">
        <v>1144</v>
      </c>
      <c r="D761" s="57" t="s">
        <v>1145</v>
      </c>
      <c r="E761" s="56">
        <v>102</v>
      </c>
      <c r="F761" s="56">
        <v>99</v>
      </c>
      <c r="G761" s="56">
        <v>99</v>
      </c>
      <c r="H761" s="56">
        <v>68</v>
      </c>
      <c r="I761" s="56">
        <v>80</v>
      </c>
      <c r="J761" s="56">
        <v>69</v>
      </c>
      <c r="K761" s="52">
        <f t="shared" si="36"/>
        <v>517</v>
      </c>
      <c r="L761" s="27">
        <f t="shared" si="37"/>
        <v>30</v>
      </c>
      <c r="M761" s="62">
        <f t="shared" si="35"/>
        <v>525</v>
      </c>
      <c r="N761" s="63" t="s">
        <v>16</v>
      </c>
      <c r="O761" s="26" t="s">
        <v>2243</v>
      </c>
    </row>
    <row r="762" spans="1:15">
      <c r="A762" s="56" t="s">
        <v>2999</v>
      </c>
      <c r="B762" s="57" t="s">
        <v>84</v>
      </c>
      <c r="C762" s="56" t="s">
        <v>1110</v>
      </c>
      <c r="D762" s="57" t="s">
        <v>1111</v>
      </c>
      <c r="E762" s="56">
        <v>104</v>
      </c>
      <c r="F762" s="56">
        <v>81</v>
      </c>
      <c r="G762" s="60">
        <v>105</v>
      </c>
      <c r="H762" s="56">
        <v>80</v>
      </c>
      <c r="I762" s="56">
        <v>79</v>
      </c>
      <c r="J762" s="56">
        <v>70</v>
      </c>
      <c r="K762" s="52">
        <f t="shared" si="36"/>
        <v>519</v>
      </c>
      <c r="L762" s="27">
        <f t="shared" si="37"/>
        <v>28</v>
      </c>
      <c r="M762" s="62">
        <f t="shared" si="35"/>
        <v>509</v>
      </c>
      <c r="N762" s="63" t="s">
        <v>16</v>
      </c>
      <c r="O762" s="26" t="s">
        <v>2243</v>
      </c>
    </row>
    <row r="763" spans="1:15">
      <c r="A763" s="56" t="s">
        <v>3000</v>
      </c>
      <c r="B763" s="57" t="s">
        <v>84</v>
      </c>
      <c r="C763" s="56" t="s">
        <v>1766</v>
      </c>
      <c r="D763" s="57" t="s">
        <v>1767</v>
      </c>
      <c r="E763" s="56">
        <v>84</v>
      </c>
      <c r="F763" s="56">
        <v>75</v>
      </c>
      <c r="G763" s="56">
        <v>102</v>
      </c>
      <c r="H763" s="56">
        <v>60</v>
      </c>
      <c r="I763" s="56">
        <v>64</v>
      </c>
      <c r="J763" s="56">
        <v>68</v>
      </c>
      <c r="K763" s="52">
        <f t="shared" si="36"/>
        <v>453</v>
      </c>
      <c r="L763" s="27">
        <f t="shared" si="37"/>
        <v>50</v>
      </c>
      <c r="M763" s="62">
        <f t="shared" si="35"/>
        <v>835</v>
      </c>
      <c r="N763" s="63" t="s">
        <v>17</v>
      </c>
      <c r="O763" s="26" t="s">
        <v>2243</v>
      </c>
    </row>
    <row r="764" spans="1:15">
      <c r="A764" s="56" t="s">
        <v>3001</v>
      </c>
      <c r="B764" s="57" t="s">
        <v>84</v>
      </c>
      <c r="C764" s="56" t="s">
        <v>1146</v>
      </c>
      <c r="D764" s="57" t="s">
        <v>1147</v>
      </c>
      <c r="E764" s="56">
        <v>114</v>
      </c>
      <c r="F764" s="56">
        <v>87</v>
      </c>
      <c r="G764" s="56">
        <v>112</v>
      </c>
      <c r="H764" s="56">
        <v>75</v>
      </c>
      <c r="I764" s="56">
        <v>70</v>
      </c>
      <c r="J764" s="56">
        <v>59</v>
      </c>
      <c r="K764" s="52">
        <f t="shared" si="36"/>
        <v>517</v>
      </c>
      <c r="L764" s="27">
        <f t="shared" si="37"/>
        <v>30</v>
      </c>
      <c r="M764" s="62">
        <f t="shared" si="35"/>
        <v>525</v>
      </c>
      <c r="N764" s="63" t="s">
        <v>17</v>
      </c>
      <c r="O764" s="26" t="s">
        <v>2243</v>
      </c>
    </row>
    <row r="765" spans="1:15">
      <c r="A765" s="56" t="s">
        <v>3002</v>
      </c>
      <c r="B765" s="57" t="s">
        <v>84</v>
      </c>
      <c r="C765" s="56" t="s">
        <v>1272</v>
      </c>
      <c r="D765" s="57" t="s">
        <v>1273</v>
      </c>
      <c r="E765" s="56">
        <v>106</v>
      </c>
      <c r="F765" s="56">
        <v>101</v>
      </c>
      <c r="G765" s="56">
        <v>111</v>
      </c>
      <c r="H765" s="56">
        <v>59</v>
      </c>
      <c r="I765" s="56">
        <v>77</v>
      </c>
      <c r="J765" s="56">
        <v>54</v>
      </c>
      <c r="K765" s="52">
        <f t="shared" si="36"/>
        <v>508</v>
      </c>
      <c r="L765" s="27">
        <f t="shared" si="37"/>
        <v>33</v>
      </c>
      <c r="M765" s="62">
        <f t="shared" si="35"/>
        <v>588</v>
      </c>
      <c r="N765" s="63" t="s">
        <v>16</v>
      </c>
      <c r="O765" s="26" t="s">
        <v>2243</v>
      </c>
    </row>
    <row r="766" spans="1:15">
      <c r="A766" s="56" t="s">
        <v>3003</v>
      </c>
      <c r="B766" s="57" t="s">
        <v>84</v>
      </c>
      <c r="C766" s="56" t="s">
        <v>396</v>
      </c>
      <c r="D766" s="57" t="s">
        <v>397</v>
      </c>
      <c r="E766" s="56">
        <v>104</v>
      </c>
      <c r="F766" s="56">
        <v>124</v>
      </c>
      <c r="G766" s="56">
        <v>110.5</v>
      </c>
      <c r="H766" s="56">
        <v>85</v>
      </c>
      <c r="I766" s="56">
        <v>85</v>
      </c>
      <c r="J766" s="56">
        <v>80</v>
      </c>
      <c r="K766" s="52">
        <f t="shared" si="36"/>
        <v>588.5</v>
      </c>
      <c r="L766" s="27">
        <f t="shared" si="37"/>
        <v>5</v>
      </c>
      <c r="M766" s="62">
        <f t="shared" si="35"/>
        <v>146</v>
      </c>
      <c r="N766" s="63" t="s">
        <v>16</v>
      </c>
      <c r="O766" s="26" t="s">
        <v>2243</v>
      </c>
    </row>
    <row r="767" spans="1:15">
      <c r="A767" s="56" t="s">
        <v>3004</v>
      </c>
      <c r="B767" s="57" t="s">
        <v>84</v>
      </c>
      <c r="C767" s="56" t="s">
        <v>1200</v>
      </c>
      <c r="D767" s="57" t="s">
        <v>1201</v>
      </c>
      <c r="E767" s="56">
        <v>105</v>
      </c>
      <c r="F767" s="56">
        <v>97</v>
      </c>
      <c r="G767" s="56">
        <v>124</v>
      </c>
      <c r="H767" s="56">
        <v>59</v>
      </c>
      <c r="I767" s="56">
        <v>65</v>
      </c>
      <c r="J767" s="56">
        <v>63</v>
      </c>
      <c r="K767" s="52">
        <f t="shared" si="36"/>
        <v>513</v>
      </c>
      <c r="L767" s="27">
        <f t="shared" si="37"/>
        <v>32</v>
      </c>
      <c r="M767" s="62">
        <f t="shared" si="35"/>
        <v>551</v>
      </c>
      <c r="N767" s="63" t="s">
        <v>17</v>
      </c>
      <c r="O767" s="26" t="s">
        <v>2243</v>
      </c>
    </row>
    <row r="768" spans="1:15">
      <c r="A768" s="56" t="s">
        <v>3005</v>
      </c>
      <c r="B768" s="57" t="s">
        <v>84</v>
      </c>
      <c r="C768" s="56" t="s">
        <v>1736</v>
      </c>
      <c r="D768" s="57" t="s">
        <v>1737</v>
      </c>
      <c r="E768" s="56">
        <v>97</v>
      </c>
      <c r="F768" s="56">
        <v>94</v>
      </c>
      <c r="G768" s="56">
        <v>103.5</v>
      </c>
      <c r="H768" s="56">
        <v>61</v>
      </c>
      <c r="I768" s="56">
        <v>61</v>
      </c>
      <c r="J768" s="56">
        <v>42</v>
      </c>
      <c r="K768" s="52">
        <f t="shared" si="36"/>
        <v>458.5</v>
      </c>
      <c r="L768" s="27">
        <f t="shared" si="37"/>
        <v>49</v>
      </c>
      <c r="M768" s="62">
        <f t="shared" si="35"/>
        <v>822</v>
      </c>
      <c r="N768" s="63"/>
      <c r="O768" s="26" t="s">
        <v>44</v>
      </c>
    </row>
    <row r="769" spans="1:15">
      <c r="A769" s="56" t="s">
        <v>3006</v>
      </c>
      <c r="B769" s="57" t="s">
        <v>84</v>
      </c>
      <c r="C769" s="56" t="s">
        <v>1864</v>
      </c>
      <c r="D769" s="57" t="s">
        <v>1865</v>
      </c>
      <c r="E769" s="56">
        <v>88</v>
      </c>
      <c r="F769" s="56">
        <v>49</v>
      </c>
      <c r="G769" s="56">
        <v>96</v>
      </c>
      <c r="H769" s="56">
        <v>39</v>
      </c>
      <c r="I769" s="56">
        <v>89</v>
      </c>
      <c r="J769" s="56">
        <v>69</v>
      </c>
      <c r="K769" s="52">
        <f t="shared" si="36"/>
        <v>430</v>
      </c>
      <c r="L769" s="27">
        <f t="shared" si="37"/>
        <v>56</v>
      </c>
      <c r="M769" s="62">
        <f t="shared" si="35"/>
        <v>886</v>
      </c>
      <c r="N769" s="63" t="s">
        <v>17</v>
      </c>
      <c r="O769" s="26" t="s">
        <v>2243</v>
      </c>
    </row>
    <row r="770" spans="1:15">
      <c r="A770" s="56" t="s">
        <v>3007</v>
      </c>
      <c r="B770" s="57" t="s">
        <v>84</v>
      </c>
      <c r="C770" s="56" t="s">
        <v>1018</v>
      </c>
      <c r="D770" s="57" t="s">
        <v>1019</v>
      </c>
      <c r="E770" s="56">
        <v>123</v>
      </c>
      <c r="F770" s="56">
        <v>76</v>
      </c>
      <c r="G770" s="56">
        <v>117</v>
      </c>
      <c r="H770" s="56">
        <v>68</v>
      </c>
      <c r="I770" s="56">
        <v>76</v>
      </c>
      <c r="J770" s="56">
        <v>66</v>
      </c>
      <c r="K770" s="52">
        <f t="shared" si="36"/>
        <v>526</v>
      </c>
      <c r="L770" s="27">
        <f t="shared" si="37"/>
        <v>23</v>
      </c>
      <c r="M770" s="62">
        <f t="shared" si="35"/>
        <v>462</v>
      </c>
      <c r="N770" s="63" t="s">
        <v>16</v>
      </c>
      <c r="O770" s="26" t="s">
        <v>42</v>
      </c>
    </row>
    <row r="771" spans="1:15">
      <c r="A771" s="56" t="s">
        <v>3008</v>
      </c>
      <c r="B771" s="57" t="s">
        <v>84</v>
      </c>
      <c r="C771" s="56" t="s">
        <v>1328</v>
      </c>
      <c r="D771" s="57" t="s">
        <v>1329</v>
      </c>
      <c r="E771" s="56">
        <v>88</v>
      </c>
      <c r="F771" s="56">
        <v>78</v>
      </c>
      <c r="G771" s="56">
        <v>123</v>
      </c>
      <c r="H771" s="56">
        <v>78</v>
      </c>
      <c r="I771" s="56">
        <v>66</v>
      </c>
      <c r="J771" s="56">
        <v>71</v>
      </c>
      <c r="K771" s="52">
        <f t="shared" si="36"/>
        <v>504</v>
      </c>
      <c r="L771" s="27">
        <f t="shared" si="37"/>
        <v>37</v>
      </c>
      <c r="M771" s="62">
        <f t="shared" ref="M771:M834" si="38">RANK(K771,$K$3:$K$953)</f>
        <v>616</v>
      </c>
      <c r="N771" s="63" t="s">
        <v>17</v>
      </c>
      <c r="O771" s="26" t="s">
        <v>2243</v>
      </c>
    </row>
    <row r="772" spans="1:15">
      <c r="A772" s="56" t="s">
        <v>3009</v>
      </c>
      <c r="B772" s="57" t="s">
        <v>84</v>
      </c>
      <c r="C772" s="56" t="s">
        <v>1312</v>
      </c>
      <c r="D772" s="57" t="s">
        <v>1313</v>
      </c>
      <c r="E772" s="56">
        <v>103</v>
      </c>
      <c r="F772" s="56">
        <v>67</v>
      </c>
      <c r="G772" s="56">
        <v>127</v>
      </c>
      <c r="H772" s="56">
        <v>62</v>
      </c>
      <c r="I772" s="56">
        <v>80</v>
      </c>
      <c r="J772" s="56">
        <v>66</v>
      </c>
      <c r="K772" s="52">
        <f t="shared" ref="K772:K835" si="39">SUM(E772:J772)</f>
        <v>505</v>
      </c>
      <c r="L772" s="27">
        <f t="shared" si="37"/>
        <v>35</v>
      </c>
      <c r="M772" s="62">
        <f t="shared" si="38"/>
        <v>606</v>
      </c>
      <c r="N772" s="63" t="s">
        <v>16</v>
      </c>
      <c r="O772" s="26" t="s">
        <v>42</v>
      </c>
    </row>
    <row r="773" spans="1:15">
      <c r="A773" s="56" t="s">
        <v>3010</v>
      </c>
      <c r="B773" s="57" t="s">
        <v>84</v>
      </c>
      <c r="C773" s="56" t="s">
        <v>748</v>
      </c>
      <c r="D773" s="57" t="s">
        <v>749</v>
      </c>
      <c r="E773" s="56">
        <v>107</v>
      </c>
      <c r="F773" s="56">
        <v>93</v>
      </c>
      <c r="G773" s="56">
        <v>120.5</v>
      </c>
      <c r="H773" s="56">
        <v>66</v>
      </c>
      <c r="I773" s="56">
        <v>88</v>
      </c>
      <c r="J773" s="56">
        <v>76</v>
      </c>
      <c r="K773" s="52">
        <f t="shared" si="39"/>
        <v>550.5</v>
      </c>
      <c r="L773" s="27">
        <f t="shared" si="37"/>
        <v>15</v>
      </c>
      <c r="M773" s="62">
        <f t="shared" si="38"/>
        <v>327</v>
      </c>
      <c r="N773" s="63" t="s">
        <v>16</v>
      </c>
      <c r="O773" s="26" t="s">
        <v>42</v>
      </c>
    </row>
    <row r="774" spans="1:15">
      <c r="A774" s="56" t="s">
        <v>3011</v>
      </c>
      <c r="B774" s="57" t="s">
        <v>84</v>
      </c>
      <c r="C774" s="56" t="s">
        <v>860</v>
      </c>
      <c r="D774" s="57" t="s">
        <v>861</v>
      </c>
      <c r="E774" s="56">
        <v>109</v>
      </c>
      <c r="F774" s="56">
        <v>93</v>
      </c>
      <c r="G774" s="60">
        <v>114.5</v>
      </c>
      <c r="H774" s="56">
        <v>76</v>
      </c>
      <c r="I774" s="56">
        <v>78</v>
      </c>
      <c r="J774" s="56">
        <v>69</v>
      </c>
      <c r="K774" s="52">
        <f t="shared" si="39"/>
        <v>539.5</v>
      </c>
      <c r="L774" s="27">
        <f t="shared" si="37"/>
        <v>19</v>
      </c>
      <c r="M774" s="62">
        <f t="shared" si="38"/>
        <v>383</v>
      </c>
      <c r="N774" s="63" t="s">
        <v>16</v>
      </c>
      <c r="O774" s="26" t="s">
        <v>44</v>
      </c>
    </row>
    <row r="775" spans="1:15">
      <c r="A775" s="56" t="s">
        <v>3012</v>
      </c>
      <c r="B775" s="57" t="s">
        <v>84</v>
      </c>
      <c r="C775" s="56" t="s">
        <v>380</v>
      </c>
      <c r="D775" s="57" t="s">
        <v>381</v>
      </c>
      <c r="E775" s="56">
        <v>115</v>
      </c>
      <c r="F775" s="56">
        <v>126</v>
      </c>
      <c r="G775" s="56">
        <v>111.5</v>
      </c>
      <c r="H775" s="56">
        <v>71</v>
      </c>
      <c r="I775" s="56">
        <v>89</v>
      </c>
      <c r="J775" s="56">
        <v>77</v>
      </c>
      <c r="K775" s="52">
        <f t="shared" si="39"/>
        <v>589.5</v>
      </c>
      <c r="L775" s="27">
        <f t="shared" si="37"/>
        <v>4</v>
      </c>
      <c r="M775" s="62">
        <f t="shared" si="38"/>
        <v>140</v>
      </c>
      <c r="N775" s="63" t="s">
        <v>16</v>
      </c>
      <c r="O775" s="26" t="s">
        <v>2243</v>
      </c>
    </row>
    <row r="776" spans="1:15">
      <c r="A776" s="56" t="s">
        <v>3013</v>
      </c>
      <c r="B776" s="57" t="s">
        <v>84</v>
      </c>
      <c r="C776" s="56" t="s">
        <v>1524</v>
      </c>
      <c r="D776" s="57" t="s">
        <v>1525</v>
      </c>
      <c r="E776" s="56">
        <v>114</v>
      </c>
      <c r="F776" s="56">
        <v>67</v>
      </c>
      <c r="G776" s="56">
        <v>112.5</v>
      </c>
      <c r="H776" s="56">
        <v>50</v>
      </c>
      <c r="I776" s="56">
        <v>76</v>
      </c>
      <c r="J776" s="56">
        <v>65</v>
      </c>
      <c r="K776" s="52">
        <f t="shared" si="39"/>
        <v>484.5</v>
      </c>
      <c r="L776" s="27">
        <f t="shared" si="37"/>
        <v>47</v>
      </c>
      <c r="M776" s="62">
        <f t="shared" si="38"/>
        <v>715</v>
      </c>
      <c r="N776" s="63" t="s">
        <v>17</v>
      </c>
      <c r="O776" s="26" t="s">
        <v>42</v>
      </c>
    </row>
    <row r="777" spans="1:15">
      <c r="A777" s="56" t="s">
        <v>3014</v>
      </c>
      <c r="B777" s="57" t="s">
        <v>84</v>
      </c>
      <c r="C777" s="56" t="s">
        <v>1782</v>
      </c>
      <c r="D777" s="57" t="s">
        <v>1783</v>
      </c>
      <c r="E777" s="56">
        <v>98</v>
      </c>
      <c r="F777" s="56">
        <v>74</v>
      </c>
      <c r="G777" s="56">
        <v>82.5</v>
      </c>
      <c r="H777" s="56">
        <v>57</v>
      </c>
      <c r="I777" s="56">
        <v>71</v>
      </c>
      <c r="J777" s="56">
        <v>66</v>
      </c>
      <c r="K777" s="52">
        <f t="shared" si="39"/>
        <v>448.5</v>
      </c>
      <c r="L777" s="27">
        <f t="shared" si="37"/>
        <v>51</v>
      </c>
      <c r="M777" s="62">
        <f t="shared" si="38"/>
        <v>844</v>
      </c>
      <c r="N777" s="63" t="s">
        <v>17</v>
      </c>
      <c r="O777" s="26" t="s">
        <v>42</v>
      </c>
    </row>
    <row r="778" spans="1:15">
      <c r="A778" s="56" t="s">
        <v>3015</v>
      </c>
      <c r="B778" s="57" t="s">
        <v>84</v>
      </c>
      <c r="C778" s="56" t="s">
        <v>713</v>
      </c>
      <c r="D778" s="57" t="s">
        <v>714</v>
      </c>
      <c r="E778" s="56">
        <v>95</v>
      </c>
      <c r="F778" s="56">
        <v>119</v>
      </c>
      <c r="G778" s="56">
        <v>100</v>
      </c>
      <c r="H778" s="56">
        <v>86</v>
      </c>
      <c r="I778" s="56">
        <v>83</v>
      </c>
      <c r="J778" s="56">
        <v>71</v>
      </c>
      <c r="K778" s="52">
        <f t="shared" si="39"/>
        <v>554</v>
      </c>
      <c r="L778" s="27">
        <f t="shared" si="37"/>
        <v>13</v>
      </c>
      <c r="M778" s="62">
        <f t="shared" si="38"/>
        <v>310</v>
      </c>
      <c r="N778" s="63" t="s">
        <v>16</v>
      </c>
      <c r="O778" s="26" t="s">
        <v>44</v>
      </c>
    </row>
    <row r="779" spans="1:15">
      <c r="A779" s="56">
        <v>20181078</v>
      </c>
      <c r="B779" s="57" t="s">
        <v>84</v>
      </c>
      <c r="C779" s="56" t="s">
        <v>1372</v>
      </c>
      <c r="D779" s="57" t="s">
        <v>1373</v>
      </c>
      <c r="E779" s="56">
        <v>111</v>
      </c>
      <c r="F779" s="56">
        <v>81</v>
      </c>
      <c r="G779" s="56">
        <v>132</v>
      </c>
      <c r="H779" s="56">
        <v>55</v>
      </c>
      <c r="I779" s="56">
        <v>70</v>
      </c>
      <c r="J779" s="56">
        <v>51</v>
      </c>
      <c r="K779" s="52">
        <f t="shared" si="39"/>
        <v>500</v>
      </c>
      <c r="L779" s="27">
        <f t="shared" si="37"/>
        <v>38</v>
      </c>
      <c r="M779" s="62">
        <f t="shared" si="38"/>
        <v>636</v>
      </c>
      <c r="N779" s="63"/>
      <c r="O779" s="26" t="s">
        <v>44</v>
      </c>
    </row>
    <row r="780" spans="1:15">
      <c r="A780" s="56" t="s">
        <v>3016</v>
      </c>
      <c r="B780" s="57" t="s">
        <v>84</v>
      </c>
      <c r="C780" s="56" t="s">
        <v>982</v>
      </c>
      <c r="D780" s="57" t="s">
        <v>983</v>
      </c>
      <c r="E780" s="56">
        <v>106</v>
      </c>
      <c r="F780" s="56">
        <v>111</v>
      </c>
      <c r="G780" s="56">
        <v>96.5</v>
      </c>
      <c r="H780" s="56">
        <v>69</v>
      </c>
      <c r="I780" s="56">
        <v>77</v>
      </c>
      <c r="J780" s="56">
        <v>69</v>
      </c>
      <c r="K780" s="52">
        <f t="shared" si="39"/>
        <v>528.5</v>
      </c>
      <c r="L780" s="27">
        <f t="shared" si="37"/>
        <v>22</v>
      </c>
      <c r="M780" s="62">
        <f t="shared" si="38"/>
        <v>445</v>
      </c>
      <c r="N780" s="63" t="s">
        <v>16</v>
      </c>
      <c r="O780" s="26" t="s">
        <v>44</v>
      </c>
    </row>
    <row r="781" spans="1:15">
      <c r="A781" s="56" t="s">
        <v>3017</v>
      </c>
      <c r="B781" s="57" t="s">
        <v>84</v>
      </c>
      <c r="C781" s="56" t="s">
        <v>1370</v>
      </c>
      <c r="D781" s="57" t="s">
        <v>1371</v>
      </c>
      <c r="E781" s="56">
        <v>100</v>
      </c>
      <c r="F781" s="56">
        <v>89</v>
      </c>
      <c r="G781" s="56">
        <v>109</v>
      </c>
      <c r="H781" s="56">
        <v>63</v>
      </c>
      <c r="I781" s="56">
        <v>75</v>
      </c>
      <c r="J781" s="56">
        <v>64</v>
      </c>
      <c r="K781" s="52">
        <f t="shared" si="39"/>
        <v>500</v>
      </c>
      <c r="L781" s="27">
        <f t="shared" si="37"/>
        <v>38</v>
      </c>
      <c r="M781" s="62">
        <f t="shared" si="38"/>
        <v>636</v>
      </c>
      <c r="N781" s="63" t="s">
        <v>17</v>
      </c>
      <c r="O781" s="26" t="s">
        <v>42</v>
      </c>
    </row>
    <row r="782" spans="1:15">
      <c r="A782" s="56" t="s">
        <v>3018</v>
      </c>
      <c r="B782" s="57" t="s">
        <v>84</v>
      </c>
      <c r="C782" s="56" t="s">
        <v>932</v>
      </c>
      <c r="D782" s="57" t="s">
        <v>933</v>
      </c>
      <c r="E782" s="56">
        <v>122</v>
      </c>
      <c r="F782" s="56">
        <v>60</v>
      </c>
      <c r="G782" s="56">
        <v>117.5</v>
      </c>
      <c r="H782" s="56">
        <v>76</v>
      </c>
      <c r="I782" s="56">
        <v>87</v>
      </c>
      <c r="J782" s="56">
        <v>70</v>
      </c>
      <c r="K782" s="52">
        <f t="shared" si="39"/>
        <v>532.5</v>
      </c>
      <c r="L782" s="27">
        <f t="shared" si="37"/>
        <v>21</v>
      </c>
      <c r="M782" s="62">
        <f t="shared" si="38"/>
        <v>418</v>
      </c>
      <c r="N782" s="63" t="s">
        <v>16</v>
      </c>
      <c r="O782" s="26" t="s">
        <v>44</v>
      </c>
    </row>
    <row r="783" spans="1:15">
      <c r="A783" s="56" t="s">
        <v>3019</v>
      </c>
      <c r="B783" s="57" t="s">
        <v>84</v>
      </c>
      <c r="C783" s="56" t="s">
        <v>1420</v>
      </c>
      <c r="D783" s="57" t="s">
        <v>1421</v>
      </c>
      <c r="E783" s="56">
        <v>96</v>
      </c>
      <c r="F783" s="56">
        <v>86</v>
      </c>
      <c r="G783" s="56">
        <v>130</v>
      </c>
      <c r="H783" s="56">
        <v>59</v>
      </c>
      <c r="I783" s="56">
        <v>73</v>
      </c>
      <c r="J783" s="56">
        <v>52</v>
      </c>
      <c r="K783" s="52">
        <f t="shared" si="39"/>
        <v>496</v>
      </c>
      <c r="L783" s="27">
        <f t="shared" si="37"/>
        <v>41</v>
      </c>
      <c r="M783" s="62">
        <f t="shared" si="38"/>
        <v>661</v>
      </c>
      <c r="N783" s="63" t="s">
        <v>16</v>
      </c>
      <c r="O783" s="26" t="s">
        <v>2243</v>
      </c>
    </row>
    <row r="784" spans="1:15">
      <c r="A784" s="56" t="s">
        <v>3020</v>
      </c>
      <c r="B784" s="57" t="s">
        <v>84</v>
      </c>
      <c r="C784" s="56" t="s">
        <v>1096</v>
      </c>
      <c r="D784" s="57" t="s">
        <v>1097</v>
      </c>
      <c r="E784" s="56">
        <v>100</v>
      </c>
      <c r="F784" s="56">
        <v>93</v>
      </c>
      <c r="G784" s="56">
        <v>105</v>
      </c>
      <c r="H784" s="56">
        <v>67</v>
      </c>
      <c r="I784" s="56">
        <v>89</v>
      </c>
      <c r="J784" s="56">
        <v>67</v>
      </c>
      <c r="K784" s="52">
        <f t="shared" si="39"/>
        <v>521</v>
      </c>
      <c r="L784" s="27">
        <f t="shared" si="37"/>
        <v>25</v>
      </c>
      <c r="M784" s="62">
        <f t="shared" si="38"/>
        <v>499</v>
      </c>
      <c r="N784" s="63" t="s">
        <v>16</v>
      </c>
      <c r="O784" s="26" t="s">
        <v>44</v>
      </c>
    </row>
    <row r="785" spans="1:15">
      <c r="A785" s="56" t="s">
        <v>3021</v>
      </c>
      <c r="B785" s="57" t="s">
        <v>210</v>
      </c>
      <c r="C785" s="56" t="s">
        <v>1514</v>
      </c>
      <c r="D785" s="57" t="s">
        <v>1515</v>
      </c>
      <c r="E785" s="56">
        <v>112</v>
      </c>
      <c r="F785" s="56">
        <v>81</v>
      </c>
      <c r="G785" s="56">
        <v>102</v>
      </c>
      <c r="H785" s="56">
        <v>65</v>
      </c>
      <c r="I785" s="56">
        <v>84</v>
      </c>
      <c r="J785" s="56">
        <v>41</v>
      </c>
      <c r="K785" s="52">
        <f t="shared" si="39"/>
        <v>485</v>
      </c>
      <c r="L785" s="27">
        <f>RANK(K785,$K$785:$K$840)</f>
        <v>47</v>
      </c>
      <c r="M785" s="62">
        <f t="shared" si="38"/>
        <v>711</v>
      </c>
      <c r="N785" s="63" t="s">
        <v>16</v>
      </c>
      <c r="O785" s="26" t="s">
        <v>44</v>
      </c>
    </row>
    <row r="786" spans="1:15">
      <c r="A786" s="56" t="s">
        <v>3022</v>
      </c>
      <c r="B786" s="57" t="s">
        <v>210</v>
      </c>
      <c r="C786" s="56" t="s">
        <v>1732</v>
      </c>
      <c r="D786" s="57" t="s">
        <v>1733</v>
      </c>
      <c r="E786" s="56">
        <v>95</v>
      </c>
      <c r="F786" s="56">
        <v>89</v>
      </c>
      <c r="G786" s="56">
        <v>95.5</v>
      </c>
      <c r="H786" s="56">
        <v>48</v>
      </c>
      <c r="I786" s="56">
        <v>76</v>
      </c>
      <c r="J786" s="56">
        <v>56</v>
      </c>
      <c r="K786" s="52">
        <f t="shared" si="39"/>
        <v>459.5</v>
      </c>
      <c r="L786" s="27">
        <f t="shared" ref="L786:L840" si="40">RANK(K786,$K$785:$K$840)</f>
        <v>52</v>
      </c>
      <c r="M786" s="62">
        <f t="shared" si="38"/>
        <v>819</v>
      </c>
      <c r="N786" s="63" t="s">
        <v>17</v>
      </c>
      <c r="O786" s="26" t="s">
        <v>2243</v>
      </c>
    </row>
    <row r="787" spans="1:15">
      <c r="A787" s="56" t="s">
        <v>3023</v>
      </c>
      <c r="B787" s="57" t="s">
        <v>210</v>
      </c>
      <c r="C787" s="56" t="s">
        <v>782</v>
      </c>
      <c r="D787" s="57" t="s">
        <v>783</v>
      </c>
      <c r="E787" s="56">
        <v>97</v>
      </c>
      <c r="F787" s="56">
        <v>113</v>
      </c>
      <c r="G787" s="56">
        <v>91</v>
      </c>
      <c r="H787" s="56">
        <v>78</v>
      </c>
      <c r="I787" s="56">
        <v>93</v>
      </c>
      <c r="J787" s="56">
        <v>75</v>
      </c>
      <c r="K787" s="52">
        <f t="shared" si="39"/>
        <v>547</v>
      </c>
      <c r="L787" s="27">
        <f t="shared" si="40"/>
        <v>19</v>
      </c>
      <c r="M787" s="62">
        <f t="shared" si="38"/>
        <v>344</v>
      </c>
      <c r="N787" s="63" t="s">
        <v>17</v>
      </c>
      <c r="O787" s="26" t="s">
        <v>42</v>
      </c>
    </row>
    <row r="788" spans="1:15">
      <c r="A788" s="56" t="s">
        <v>3024</v>
      </c>
      <c r="B788" s="57" t="s">
        <v>210</v>
      </c>
      <c r="C788" s="56" t="s">
        <v>551</v>
      </c>
      <c r="D788" s="57" t="s">
        <v>552</v>
      </c>
      <c r="E788" s="56">
        <v>97</v>
      </c>
      <c r="F788" s="56">
        <v>116</v>
      </c>
      <c r="G788" s="56">
        <v>96</v>
      </c>
      <c r="H788" s="56">
        <v>91</v>
      </c>
      <c r="I788" s="56">
        <v>90</v>
      </c>
      <c r="J788" s="56">
        <v>82</v>
      </c>
      <c r="K788" s="52">
        <f t="shared" si="39"/>
        <v>572</v>
      </c>
      <c r="L788" s="27">
        <f t="shared" si="40"/>
        <v>11</v>
      </c>
      <c r="M788" s="62">
        <f t="shared" si="38"/>
        <v>228</v>
      </c>
      <c r="N788" s="63" t="s">
        <v>16</v>
      </c>
      <c r="O788" s="26" t="s">
        <v>44</v>
      </c>
    </row>
    <row r="789" spans="1:15">
      <c r="A789" s="56" t="s">
        <v>3025</v>
      </c>
      <c r="B789" s="57" t="s">
        <v>210</v>
      </c>
      <c r="C789" s="56" t="s">
        <v>1508</v>
      </c>
      <c r="D789" s="57" t="s">
        <v>1509</v>
      </c>
      <c r="E789" s="56">
        <v>105</v>
      </c>
      <c r="F789" s="56">
        <v>63</v>
      </c>
      <c r="G789" s="56">
        <v>105</v>
      </c>
      <c r="H789" s="56">
        <v>61</v>
      </c>
      <c r="I789" s="56">
        <v>89</v>
      </c>
      <c r="J789" s="56">
        <v>63</v>
      </c>
      <c r="K789" s="52">
        <f t="shared" si="39"/>
        <v>486</v>
      </c>
      <c r="L789" s="27">
        <f t="shared" si="40"/>
        <v>46</v>
      </c>
      <c r="M789" s="62">
        <f t="shared" si="38"/>
        <v>708</v>
      </c>
      <c r="N789" s="63" t="s">
        <v>16</v>
      </c>
      <c r="O789" s="26" t="s">
        <v>44</v>
      </c>
    </row>
    <row r="790" spans="1:15">
      <c r="A790" s="56" t="s">
        <v>3026</v>
      </c>
      <c r="B790" s="57" t="s">
        <v>210</v>
      </c>
      <c r="C790" s="56" t="s">
        <v>1092</v>
      </c>
      <c r="D790" s="57" t="s">
        <v>1093</v>
      </c>
      <c r="E790" s="56">
        <v>120</v>
      </c>
      <c r="F790" s="56">
        <v>104</v>
      </c>
      <c r="G790" s="56">
        <v>96</v>
      </c>
      <c r="H790" s="56">
        <v>67</v>
      </c>
      <c r="I790" s="56">
        <v>72</v>
      </c>
      <c r="J790" s="56">
        <v>62</v>
      </c>
      <c r="K790" s="52">
        <f t="shared" si="39"/>
        <v>521</v>
      </c>
      <c r="L790" s="27">
        <f t="shared" si="40"/>
        <v>31</v>
      </c>
      <c r="M790" s="62">
        <f t="shared" si="38"/>
        <v>499</v>
      </c>
      <c r="N790" s="63" t="s">
        <v>16</v>
      </c>
      <c r="O790" s="26" t="s">
        <v>44</v>
      </c>
    </row>
    <row r="791" spans="1:15">
      <c r="A791" s="56" t="s">
        <v>3027</v>
      </c>
      <c r="B791" s="57" t="s">
        <v>210</v>
      </c>
      <c r="C791" s="56" t="s">
        <v>1516</v>
      </c>
      <c r="D791" s="57" t="s">
        <v>1517</v>
      </c>
      <c r="E791" s="56">
        <v>105</v>
      </c>
      <c r="F791" s="56">
        <v>107</v>
      </c>
      <c r="G791" s="56">
        <v>77</v>
      </c>
      <c r="H791" s="56">
        <v>67</v>
      </c>
      <c r="I791" s="56">
        <v>70</v>
      </c>
      <c r="J791" s="56">
        <v>59</v>
      </c>
      <c r="K791" s="52">
        <f t="shared" si="39"/>
        <v>485</v>
      </c>
      <c r="L791" s="27">
        <f t="shared" si="40"/>
        <v>47</v>
      </c>
      <c r="M791" s="62">
        <f t="shared" si="38"/>
        <v>711</v>
      </c>
      <c r="N791" s="63" t="s">
        <v>17</v>
      </c>
      <c r="O791" s="26" t="s">
        <v>2243</v>
      </c>
    </row>
    <row r="792" spans="1:15">
      <c r="A792" s="56" t="s">
        <v>3028</v>
      </c>
      <c r="B792" s="57" t="s">
        <v>210</v>
      </c>
      <c r="C792" s="56" t="s">
        <v>1108</v>
      </c>
      <c r="D792" s="57" t="s">
        <v>1109</v>
      </c>
      <c r="E792" s="56">
        <v>113</v>
      </c>
      <c r="F792" s="56">
        <v>88</v>
      </c>
      <c r="G792" s="56">
        <v>88.5</v>
      </c>
      <c r="H792" s="56">
        <v>77</v>
      </c>
      <c r="I792" s="56">
        <v>82</v>
      </c>
      <c r="J792" s="56">
        <v>71</v>
      </c>
      <c r="K792" s="52">
        <f t="shared" si="39"/>
        <v>519.5</v>
      </c>
      <c r="L792" s="27">
        <f t="shared" si="40"/>
        <v>32</v>
      </c>
      <c r="M792" s="62">
        <f t="shared" si="38"/>
        <v>507</v>
      </c>
      <c r="N792" s="63" t="s">
        <v>17</v>
      </c>
      <c r="O792" s="26" t="s">
        <v>2243</v>
      </c>
    </row>
    <row r="793" spans="1:15">
      <c r="A793" s="56" t="s">
        <v>3029</v>
      </c>
      <c r="B793" s="57" t="s">
        <v>210</v>
      </c>
      <c r="C793" s="56" t="s">
        <v>1204</v>
      </c>
      <c r="D793" s="57" t="s">
        <v>1205</v>
      </c>
      <c r="E793" s="56">
        <v>109</v>
      </c>
      <c r="F793" s="56">
        <v>113</v>
      </c>
      <c r="G793" s="56">
        <v>101.5</v>
      </c>
      <c r="H793" s="56">
        <v>52</v>
      </c>
      <c r="I793" s="56">
        <v>80</v>
      </c>
      <c r="J793" s="56">
        <v>57</v>
      </c>
      <c r="K793" s="52">
        <f t="shared" si="39"/>
        <v>512.5</v>
      </c>
      <c r="L793" s="27">
        <f t="shared" si="40"/>
        <v>35</v>
      </c>
      <c r="M793" s="62">
        <f t="shared" si="38"/>
        <v>555</v>
      </c>
      <c r="N793" s="63" t="s">
        <v>17</v>
      </c>
      <c r="O793" s="26" t="s">
        <v>2243</v>
      </c>
    </row>
    <row r="794" spans="1:15">
      <c r="A794" s="56" t="s">
        <v>3030</v>
      </c>
      <c r="B794" s="57" t="s">
        <v>210</v>
      </c>
      <c r="C794" s="56" t="s">
        <v>1084</v>
      </c>
      <c r="D794" s="57" t="s">
        <v>1085</v>
      </c>
      <c r="E794" s="56">
        <v>102</v>
      </c>
      <c r="F794" s="56">
        <v>108</v>
      </c>
      <c r="G794" s="56">
        <v>113.5</v>
      </c>
      <c r="H794" s="56">
        <v>66</v>
      </c>
      <c r="I794" s="56">
        <v>72</v>
      </c>
      <c r="J794" s="56">
        <v>60</v>
      </c>
      <c r="K794" s="52">
        <f t="shared" si="39"/>
        <v>521.5</v>
      </c>
      <c r="L794" s="27">
        <f t="shared" si="40"/>
        <v>30</v>
      </c>
      <c r="M794" s="62">
        <f t="shared" si="38"/>
        <v>495</v>
      </c>
      <c r="N794" s="63" t="s">
        <v>16</v>
      </c>
      <c r="O794" s="26" t="s">
        <v>44</v>
      </c>
    </row>
    <row r="795" spans="1:15">
      <c r="A795" s="56" t="s">
        <v>3031</v>
      </c>
      <c r="B795" s="57" t="s">
        <v>210</v>
      </c>
      <c r="C795" s="56" t="s">
        <v>1016</v>
      </c>
      <c r="D795" s="57" t="s">
        <v>1017</v>
      </c>
      <c r="E795" s="56">
        <v>99</v>
      </c>
      <c r="F795" s="56">
        <v>101</v>
      </c>
      <c r="G795" s="56">
        <v>86</v>
      </c>
      <c r="H795" s="56">
        <v>78</v>
      </c>
      <c r="I795" s="56">
        <v>84</v>
      </c>
      <c r="J795" s="56">
        <v>78</v>
      </c>
      <c r="K795" s="52">
        <f t="shared" si="39"/>
        <v>526</v>
      </c>
      <c r="L795" s="27">
        <f t="shared" si="40"/>
        <v>28</v>
      </c>
      <c r="M795" s="62">
        <f t="shared" si="38"/>
        <v>462</v>
      </c>
      <c r="N795" s="63" t="s">
        <v>17</v>
      </c>
      <c r="O795" s="26" t="s">
        <v>42</v>
      </c>
    </row>
    <row r="796" spans="1:15">
      <c r="A796" s="56" t="s">
        <v>3032</v>
      </c>
      <c r="B796" s="57" t="s">
        <v>210</v>
      </c>
      <c r="C796" s="56" t="s">
        <v>1396</v>
      </c>
      <c r="D796" s="57" t="s">
        <v>1397</v>
      </c>
      <c r="E796" s="56">
        <v>111</v>
      </c>
      <c r="F796" s="56">
        <v>75</v>
      </c>
      <c r="G796" s="56">
        <v>120</v>
      </c>
      <c r="H796" s="56">
        <v>56</v>
      </c>
      <c r="I796" s="56">
        <v>78</v>
      </c>
      <c r="J796" s="56">
        <v>58</v>
      </c>
      <c r="K796" s="52">
        <f t="shared" si="39"/>
        <v>498</v>
      </c>
      <c r="L796" s="27">
        <f t="shared" si="40"/>
        <v>41</v>
      </c>
      <c r="M796" s="62">
        <f t="shared" si="38"/>
        <v>651</v>
      </c>
      <c r="N796" s="63" t="s">
        <v>16</v>
      </c>
      <c r="O796" s="26" t="s">
        <v>44</v>
      </c>
    </row>
    <row r="797" spans="1:15">
      <c r="A797" s="56" t="s">
        <v>3033</v>
      </c>
      <c r="B797" s="57" t="s">
        <v>210</v>
      </c>
      <c r="C797" s="56" t="s">
        <v>978</v>
      </c>
      <c r="D797" s="57" t="s">
        <v>979</v>
      </c>
      <c r="E797" s="56">
        <v>108</v>
      </c>
      <c r="F797" s="56">
        <v>96</v>
      </c>
      <c r="G797" s="56">
        <v>108</v>
      </c>
      <c r="H797" s="56">
        <v>68</v>
      </c>
      <c r="I797" s="56">
        <v>77</v>
      </c>
      <c r="J797" s="56">
        <v>72</v>
      </c>
      <c r="K797" s="52">
        <f t="shared" si="39"/>
        <v>529</v>
      </c>
      <c r="L797" s="27">
        <f t="shared" si="40"/>
        <v>26</v>
      </c>
      <c r="M797" s="62">
        <f t="shared" si="38"/>
        <v>439</v>
      </c>
      <c r="N797" s="63" t="s">
        <v>16</v>
      </c>
      <c r="O797" s="26" t="s">
        <v>44</v>
      </c>
    </row>
    <row r="798" spans="1:15">
      <c r="A798" s="56" t="s">
        <v>3034</v>
      </c>
      <c r="B798" s="57" t="s">
        <v>210</v>
      </c>
      <c r="C798" s="56" t="s">
        <v>722</v>
      </c>
      <c r="D798" s="57" t="s">
        <v>723</v>
      </c>
      <c r="E798" s="56">
        <v>116</v>
      </c>
      <c r="F798" s="56">
        <v>93</v>
      </c>
      <c r="G798" s="56">
        <v>108</v>
      </c>
      <c r="H798" s="56">
        <v>79</v>
      </c>
      <c r="I798" s="56">
        <v>88</v>
      </c>
      <c r="J798" s="56">
        <v>69</v>
      </c>
      <c r="K798" s="52">
        <f t="shared" si="39"/>
        <v>553</v>
      </c>
      <c r="L798" s="27">
        <f t="shared" si="40"/>
        <v>17</v>
      </c>
      <c r="M798" s="62">
        <f t="shared" si="38"/>
        <v>315</v>
      </c>
      <c r="N798" s="63" t="s">
        <v>16</v>
      </c>
      <c r="O798" s="26" t="s">
        <v>44</v>
      </c>
    </row>
    <row r="799" spans="1:15">
      <c r="A799" s="56" t="s">
        <v>3035</v>
      </c>
      <c r="B799" s="57" t="s">
        <v>210</v>
      </c>
      <c r="C799" s="56" t="s">
        <v>1422</v>
      </c>
      <c r="D799" s="57" t="s">
        <v>1423</v>
      </c>
      <c r="E799" s="56">
        <v>106</v>
      </c>
      <c r="F799" s="56">
        <v>95</v>
      </c>
      <c r="G799" s="56">
        <v>118.5</v>
      </c>
      <c r="H799" s="56">
        <v>50</v>
      </c>
      <c r="I799" s="56">
        <v>86</v>
      </c>
      <c r="J799" s="56">
        <v>40</v>
      </c>
      <c r="K799" s="52">
        <f t="shared" si="39"/>
        <v>495.5</v>
      </c>
      <c r="L799" s="27">
        <f t="shared" si="40"/>
        <v>43</v>
      </c>
      <c r="M799" s="62">
        <f t="shared" si="38"/>
        <v>665</v>
      </c>
      <c r="N799" s="63" t="s">
        <v>16</v>
      </c>
      <c r="O799" s="26" t="s">
        <v>2243</v>
      </c>
    </row>
    <row r="800" spans="1:15">
      <c r="A800" s="56" t="s">
        <v>3036</v>
      </c>
      <c r="B800" s="57" t="s">
        <v>210</v>
      </c>
      <c r="C800" s="56" t="s">
        <v>1296</v>
      </c>
      <c r="D800" s="57" t="s">
        <v>1297</v>
      </c>
      <c r="E800" s="56">
        <v>101</v>
      </c>
      <c r="F800" s="56">
        <v>89</v>
      </c>
      <c r="G800" s="56">
        <v>118</v>
      </c>
      <c r="H800" s="56">
        <v>53</v>
      </c>
      <c r="I800" s="56">
        <v>86</v>
      </c>
      <c r="J800" s="56">
        <v>59</v>
      </c>
      <c r="K800" s="52">
        <f t="shared" si="39"/>
        <v>506</v>
      </c>
      <c r="L800" s="27">
        <f t="shared" si="40"/>
        <v>38</v>
      </c>
      <c r="M800" s="62">
        <f t="shared" si="38"/>
        <v>600</v>
      </c>
      <c r="N800" s="63" t="s">
        <v>17</v>
      </c>
      <c r="O800" s="26" t="s">
        <v>2243</v>
      </c>
    </row>
    <row r="801" spans="1:15">
      <c r="A801" s="56" t="s">
        <v>3037</v>
      </c>
      <c r="B801" s="57" t="s">
        <v>210</v>
      </c>
      <c r="C801" s="56" t="s">
        <v>1812</v>
      </c>
      <c r="D801" s="57" t="s">
        <v>1813</v>
      </c>
      <c r="E801" s="56">
        <v>100</v>
      </c>
      <c r="F801" s="56">
        <v>65</v>
      </c>
      <c r="G801" s="56">
        <v>114.5</v>
      </c>
      <c r="H801" s="56">
        <v>59</v>
      </c>
      <c r="I801" s="56">
        <v>47</v>
      </c>
      <c r="J801" s="56">
        <v>57</v>
      </c>
      <c r="K801" s="52">
        <f t="shared" si="39"/>
        <v>442.5</v>
      </c>
      <c r="L801" s="27">
        <f t="shared" si="40"/>
        <v>54</v>
      </c>
      <c r="M801" s="62">
        <f t="shared" si="38"/>
        <v>859</v>
      </c>
      <c r="N801" s="63" t="s">
        <v>17</v>
      </c>
      <c r="O801" s="26" t="s">
        <v>2243</v>
      </c>
    </row>
    <row r="802" spans="1:15">
      <c r="A802" s="56" t="s">
        <v>3038</v>
      </c>
      <c r="B802" s="57" t="s">
        <v>210</v>
      </c>
      <c r="C802" s="56" t="s">
        <v>910</v>
      </c>
      <c r="D802" s="57" t="s">
        <v>911</v>
      </c>
      <c r="E802" s="56">
        <v>115</v>
      </c>
      <c r="F802" s="56">
        <v>106</v>
      </c>
      <c r="G802" s="56">
        <v>101.5</v>
      </c>
      <c r="H802" s="56">
        <v>69</v>
      </c>
      <c r="I802" s="56">
        <v>76</v>
      </c>
      <c r="J802" s="56">
        <v>68</v>
      </c>
      <c r="K802" s="52">
        <f t="shared" si="39"/>
        <v>535.5</v>
      </c>
      <c r="L802" s="27">
        <f t="shared" si="40"/>
        <v>25</v>
      </c>
      <c r="M802" s="62">
        <f t="shared" si="38"/>
        <v>408</v>
      </c>
      <c r="N802" s="63" t="s">
        <v>17</v>
      </c>
      <c r="O802" s="26" t="s">
        <v>42</v>
      </c>
    </row>
    <row r="803" spans="1:15">
      <c r="A803" s="56" t="s">
        <v>3039</v>
      </c>
      <c r="B803" s="57" t="s">
        <v>210</v>
      </c>
      <c r="C803" s="56" t="s">
        <v>583</v>
      </c>
      <c r="D803" s="57" t="s">
        <v>584</v>
      </c>
      <c r="E803" s="56">
        <v>104</v>
      </c>
      <c r="F803" s="56">
        <v>119</v>
      </c>
      <c r="G803" s="56">
        <v>111</v>
      </c>
      <c r="H803" s="56">
        <v>65</v>
      </c>
      <c r="I803" s="56">
        <v>92</v>
      </c>
      <c r="J803" s="56">
        <v>77</v>
      </c>
      <c r="K803" s="52">
        <f t="shared" si="39"/>
        <v>568</v>
      </c>
      <c r="L803" s="27">
        <f t="shared" si="40"/>
        <v>12</v>
      </c>
      <c r="M803" s="62">
        <f t="shared" si="38"/>
        <v>245</v>
      </c>
      <c r="N803" s="63" t="s">
        <v>17</v>
      </c>
      <c r="O803" s="26" t="s">
        <v>2243</v>
      </c>
    </row>
    <row r="804" spans="1:15">
      <c r="A804" s="56" t="s">
        <v>3040</v>
      </c>
      <c r="B804" s="57" t="s">
        <v>210</v>
      </c>
      <c r="C804" s="56" t="s">
        <v>1338</v>
      </c>
      <c r="D804" s="57" t="s">
        <v>1339</v>
      </c>
      <c r="E804" s="56">
        <v>113</v>
      </c>
      <c r="F804" s="56">
        <v>69</v>
      </c>
      <c r="G804" s="56">
        <v>123.5</v>
      </c>
      <c r="H804" s="56">
        <v>56</v>
      </c>
      <c r="I804" s="56">
        <v>76</v>
      </c>
      <c r="J804" s="56">
        <v>65</v>
      </c>
      <c r="K804" s="52">
        <f t="shared" si="39"/>
        <v>502.5</v>
      </c>
      <c r="L804" s="27">
        <f t="shared" si="40"/>
        <v>39</v>
      </c>
      <c r="M804" s="62">
        <f t="shared" si="38"/>
        <v>622</v>
      </c>
      <c r="N804" s="63" t="s">
        <v>17</v>
      </c>
      <c r="O804" s="26" t="s">
        <v>42</v>
      </c>
    </row>
    <row r="805" spans="1:15">
      <c r="A805" s="56" t="s">
        <v>3041</v>
      </c>
      <c r="B805" s="57" t="s">
        <v>210</v>
      </c>
      <c r="C805" s="56" t="s">
        <v>545</v>
      </c>
      <c r="D805" s="57" t="s">
        <v>546</v>
      </c>
      <c r="E805" s="56">
        <v>107</v>
      </c>
      <c r="F805" s="56">
        <v>110</v>
      </c>
      <c r="G805" s="56">
        <v>118</v>
      </c>
      <c r="H805" s="56">
        <v>69</v>
      </c>
      <c r="I805" s="56">
        <v>87</v>
      </c>
      <c r="J805" s="56">
        <v>82</v>
      </c>
      <c r="K805" s="52">
        <f t="shared" si="39"/>
        <v>573</v>
      </c>
      <c r="L805" s="27">
        <f t="shared" si="40"/>
        <v>10</v>
      </c>
      <c r="M805" s="62">
        <f t="shared" si="38"/>
        <v>224</v>
      </c>
      <c r="N805" s="63" t="s">
        <v>16</v>
      </c>
      <c r="O805" s="26" t="s">
        <v>2243</v>
      </c>
    </row>
    <row r="806" spans="1:15">
      <c r="A806" s="56" t="s">
        <v>3042</v>
      </c>
      <c r="B806" s="57" t="s">
        <v>210</v>
      </c>
      <c r="C806" s="56" t="s">
        <v>850</v>
      </c>
      <c r="D806" s="57" t="s">
        <v>851</v>
      </c>
      <c r="E806" s="56">
        <v>105</v>
      </c>
      <c r="F806" s="56">
        <v>84</v>
      </c>
      <c r="G806" s="56">
        <v>114.5</v>
      </c>
      <c r="H806" s="56">
        <v>87</v>
      </c>
      <c r="I806" s="56">
        <v>75</v>
      </c>
      <c r="J806" s="56">
        <v>75</v>
      </c>
      <c r="K806" s="52">
        <f t="shared" si="39"/>
        <v>540.5</v>
      </c>
      <c r="L806" s="27">
        <f t="shared" si="40"/>
        <v>21</v>
      </c>
      <c r="M806" s="62">
        <f t="shared" si="38"/>
        <v>379</v>
      </c>
      <c r="N806" s="63" t="s">
        <v>16</v>
      </c>
      <c r="O806" s="26" t="s">
        <v>42</v>
      </c>
    </row>
    <row r="807" spans="1:15">
      <c r="A807" s="56" t="s">
        <v>3043</v>
      </c>
      <c r="B807" s="57" t="s">
        <v>210</v>
      </c>
      <c r="C807" s="56" t="s">
        <v>1694</v>
      </c>
      <c r="D807" s="57" t="s">
        <v>1695</v>
      </c>
      <c r="E807" s="56">
        <v>94</v>
      </c>
      <c r="F807" s="56">
        <v>63</v>
      </c>
      <c r="G807" s="56">
        <v>108.5</v>
      </c>
      <c r="H807" s="56">
        <v>69</v>
      </c>
      <c r="I807" s="56">
        <v>75</v>
      </c>
      <c r="J807" s="56">
        <v>55</v>
      </c>
      <c r="K807" s="52">
        <f t="shared" si="39"/>
        <v>464.5</v>
      </c>
      <c r="L807" s="27">
        <f t="shared" si="40"/>
        <v>51</v>
      </c>
      <c r="M807" s="62">
        <f t="shared" si="38"/>
        <v>800</v>
      </c>
      <c r="N807" s="63" t="s">
        <v>17</v>
      </c>
      <c r="O807" s="26" t="s">
        <v>2243</v>
      </c>
    </row>
    <row r="808" spans="1:15">
      <c r="A808" s="56" t="s">
        <v>3044</v>
      </c>
      <c r="B808" s="57" t="s">
        <v>210</v>
      </c>
      <c r="C808" s="56" t="s">
        <v>1558</v>
      </c>
      <c r="D808" s="57" t="s">
        <v>1559</v>
      </c>
      <c r="E808" s="56">
        <v>103</v>
      </c>
      <c r="F808" s="56">
        <v>69</v>
      </c>
      <c r="G808" s="56">
        <v>109.5</v>
      </c>
      <c r="H808" s="56">
        <v>70</v>
      </c>
      <c r="I808" s="56">
        <v>66</v>
      </c>
      <c r="J808" s="56">
        <v>64</v>
      </c>
      <c r="K808" s="52">
        <f t="shared" si="39"/>
        <v>481.5</v>
      </c>
      <c r="L808" s="27">
        <f t="shared" si="40"/>
        <v>49</v>
      </c>
      <c r="M808" s="62">
        <f t="shared" si="38"/>
        <v>732</v>
      </c>
      <c r="N808" s="63" t="s">
        <v>17</v>
      </c>
      <c r="O808" s="26" t="s">
        <v>2243</v>
      </c>
    </row>
    <row r="809" spans="1:15">
      <c r="A809" s="56" t="s">
        <v>3045</v>
      </c>
      <c r="B809" s="57" t="s">
        <v>210</v>
      </c>
      <c r="C809" s="56" t="s">
        <v>709</v>
      </c>
      <c r="D809" s="57" t="s">
        <v>710</v>
      </c>
      <c r="E809" s="56">
        <v>105</v>
      </c>
      <c r="F809" s="56">
        <v>93</v>
      </c>
      <c r="G809" s="56">
        <v>124.5</v>
      </c>
      <c r="H809" s="56">
        <v>75</v>
      </c>
      <c r="I809" s="56">
        <v>90</v>
      </c>
      <c r="J809" s="56">
        <v>67</v>
      </c>
      <c r="K809" s="52">
        <f t="shared" si="39"/>
        <v>554.5</v>
      </c>
      <c r="L809" s="27">
        <f t="shared" si="40"/>
        <v>16</v>
      </c>
      <c r="M809" s="62">
        <f t="shared" si="38"/>
        <v>304</v>
      </c>
      <c r="N809" s="63" t="s">
        <v>16</v>
      </c>
      <c r="O809" s="26" t="s">
        <v>2243</v>
      </c>
    </row>
    <row r="810" spans="1:15">
      <c r="A810" s="56" t="s">
        <v>3046</v>
      </c>
      <c r="B810" s="57" t="s">
        <v>210</v>
      </c>
      <c r="C810" s="56" t="s">
        <v>1136</v>
      </c>
      <c r="D810" s="59" t="s">
        <v>1137</v>
      </c>
      <c r="E810" s="56">
        <v>110</v>
      </c>
      <c r="F810" s="56">
        <v>105</v>
      </c>
      <c r="G810" s="56">
        <v>86.5</v>
      </c>
      <c r="H810" s="56">
        <v>68</v>
      </c>
      <c r="I810" s="56">
        <v>86</v>
      </c>
      <c r="J810" s="56">
        <v>62</v>
      </c>
      <c r="K810" s="52">
        <f t="shared" si="39"/>
        <v>517.5</v>
      </c>
      <c r="L810" s="27">
        <f t="shared" si="40"/>
        <v>33</v>
      </c>
      <c r="M810" s="62">
        <f t="shared" si="38"/>
        <v>519</v>
      </c>
      <c r="N810" s="63" t="s">
        <v>17</v>
      </c>
      <c r="O810" s="26" t="s">
        <v>42</v>
      </c>
    </row>
    <row r="811" spans="1:15">
      <c r="A811" s="56" t="s">
        <v>3047</v>
      </c>
      <c r="B811" s="57" t="s">
        <v>210</v>
      </c>
      <c r="C811" s="56" t="s">
        <v>1058</v>
      </c>
      <c r="D811" s="57" t="s">
        <v>1059</v>
      </c>
      <c r="E811" s="56">
        <v>107</v>
      </c>
      <c r="F811" s="56">
        <v>87</v>
      </c>
      <c r="G811" s="56">
        <v>120</v>
      </c>
      <c r="H811" s="56">
        <v>64</v>
      </c>
      <c r="I811" s="56">
        <v>72</v>
      </c>
      <c r="J811" s="56">
        <v>73</v>
      </c>
      <c r="K811" s="52">
        <f t="shared" si="39"/>
        <v>523</v>
      </c>
      <c r="L811" s="27">
        <f t="shared" si="40"/>
        <v>29</v>
      </c>
      <c r="M811" s="62">
        <f t="shared" si="38"/>
        <v>481</v>
      </c>
      <c r="N811" s="63" t="s">
        <v>17</v>
      </c>
      <c r="O811" s="26" t="s">
        <v>2243</v>
      </c>
    </row>
    <row r="812" spans="1:15">
      <c r="A812" s="56" t="s">
        <v>3048</v>
      </c>
      <c r="B812" s="57" t="s">
        <v>210</v>
      </c>
      <c r="C812" s="56" t="s">
        <v>468</v>
      </c>
      <c r="D812" s="57" t="s">
        <v>469</v>
      </c>
      <c r="E812" s="56">
        <v>112</v>
      </c>
      <c r="F812" s="56">
        <v>98</v>
      </c>
      <c r="G812" s="56">
        <v>125.5</v>
      </c>
      <c r="H812" s="56">
        <v>82</v>
      </c>
      <c r="I812" s="56">
        <v>91</v>
      </c>
      <c r="J812" s="56">
        <v>71</v>
      </c>
      <c r="K812" s="52">
        <f t="shared" si="39"/>
        <v>579.5</v>
      </c>
      <c r="L812" s="27">
        <f t="shared" si="40"/>
        <v>8</v>
      </c>
      <c r="M812" s="62">
        <f t="shared" si="38"/>
        <v>186</v>
      </c>
      <c r="N812" s="63" t="s">
        <v>17</v>
      </c>
      <c r="O812" s="26" t="s">
        <v>2243</v>
      </c>
    </row>
    <row r="813" spans="1:15">
      <c r="A813" s="56" t="s">
        <v>3049</v>
      </c>
      <c r="B813" s="57" t="s">
        <v>210</v>
      </c>
      <c r="C813" s="56" t="s">
        <v>1014</v>
      </c>
      <c r="D813" s="57" t="s">
        <v>1015</v>
      </c>
      <c r="E813" s="56">
        <v>117</v>
      </c>
      <c r="F813" s="56">
        <v>86</v>
      </c>
      <c r="G813" s="56">
        <v>118.5</v>
      </c>
      <c r="H813" s="56">
        <v>59</v>
      </c>
      <c r="I813" s="56">
        <v>85</v>
      </c>
      <c r="J813" s="56">
        <v>61</v>
      </c>
      <c r="K813" s="52">
        <f t="shared" si="39"/>
        <v>526.5</v>
      </c>
      <c r="L813" s="27">
        <f t="shared" si="40"/>
        <v>27</v>
      </c>
      <c r="M813" s="62">
        <f t="shared" si="38"/>
        <v>459</v>
      </c>
      <c r="N813" s="63" t="s">
        <v>16</v>
      </c>
      <c r="O813" s="26" t="s">
        <v>2243</v>
      </c>
    </row>
    <row r="814" spans="1:15">
      <c r="A814" s="56" t="s">
        <v>3050</v>
      </c>
      <c r="B814" s="57" t="s">
        <v>210</v>
      </c>
      <c r="C814" s="56" t="s">
        <v>1804</v>
      </c>
      <c r="D814" s="59" t="s">
        <v>1805</v>
      </c>
      <c r="E814" s="56">
        <v>74</v>
      </c>
      <c r="F814" s="56">
        <v>80</v>
      </c>
      <c r="G814" s="56">
        <v>59.5</v>
      </c>
      <c r="H814" s="56">
        <v>64</v>
      </c>
      <c r="I814" s="56">
        <v>91</v>
      </c>
      <c r="J814" s="56">
        <v>75</v>
      </c>
      <c r="K814" s="52">
        <f t="shared" si="39"/>
        <v>443.5</v>
      </c>
      <c r="L814" s="27">
        <f t="shared" si="40"/>
        <v>53</v>
      </c>
      <c r="M814" s="62">
        <f t="shared" si="38"/>
        <v>854</v>
      </c>
      <c r="N814" s="63" t="s">
        <v>17</v>
      </c>
      <c r="O814" s="26" t="s">
        <v>2243</v>
      </c>
    </row>
    <row r="815" spans="1:15">
      <c r="A815" s="56" t="s">
        <v>3051</v>
      </c>
      <c r="B815" s="57" t="s">
        <v>210</v>
      </c>
      <c r="C815" s="56" t="s">
        <v>1402</v>
      </c>
      <c r="D815" s="57" t="s">
        <v>1403</v>
      </c>
      <c r="E815" s="56">
        <v>103</v>
      </c>
      <c r="F815" s="56">
        <v>86</v>
      </c>
      <c r="G815" s="56">
        <v>115.5</v>
      </c>
      <c r="H815" s="56">
        <v>64</v>
      </c>
      <c r="I815" s="56">
        <v>74</v>
      </c>
      <c r="J815" s="56">
        <v>55</v>
      </c>
      <c r="K815" s="52">
        <f t="shared" si="39"/>
        <v>497.5</v>
      </c>
      <c r="L815" s="27">
        <f t="shared" si="40"/>
        <v>42</v>
      </c>
      <c r="M815" s="62">
        <f t="shared" si="38"/>
        <v>654</v>
      </c>
      <c r="N815" s="63" t="s">
        <v>17</v>
      </c>
      <c r="O815" s="26" t="s">
        <v>2243</v>
      </c>
    </row>
    <row r="816" spans="1:15">
      <c r="A816" s="56" t="s">
        <v>3052</v>
      </c>
      <c r="B816" s="57" t="s">
        <v>210</v>
      </c>
      <c r="C816" s="56" t="s">
        <v>878</v>
      </c>
      <c r="D816" s="57" t="s">
        <v>879</v>
      </c>
      <c r="E816" s="56">
        <v>106</v>
      </c>
      <c r="F816" s="56">
        <v>111</v>
      </c>
      <c r="G816" s="56">
        <v>92</v>
      </c>
      <c r="H816" s="56">
        <v>70</v>
      </c>
      <c r="I816" s="56">
        <v>92</v>
      </c>
      <c r="J816" s="56">
        <v>67</v>
      </c>
      <c r="K816" s="52">
        <f t="shared" si="39"/>
        <v>538</v>
      </c>
      <c r="L816" s="27">
        <f t="shared" si="40"/>
        <v>24</v>
      </c>
      <c r="M816" s="62">
        <f t="shared" si="38"/>
        <v>393</v>
      </c>
      <c r="N816" s="63" t="s">
        <v>16</v>
      </c>
      <c r="O816" s="26" t="s">
        <v>44</v>
      </c>
    </row>
    <row r="817" spans="1:15">
      <c r="A817" s="56" t="s">
        <v>3053</v>
      </c>
      <c r="B817" s="57" t="s">
        <v>210</v>
      </c>
      <c r="C817" s="56" t="s">
        <v>444</v>
      </c>
      <c r="D817" s="57" t="s">
        <v>445</v>
      </c>
      <c r="E817" s="56">
        <v>109</v>
      </c>
      <c r="F817" s="56">
        <v>115</v>
      </c>
      <c r="G817" s="56">
        <v>101.5</v>
      </c>
      <c r="H817" s="56">
        <v>88</v>
      </c>
      <c r="I817" s="56">
        <v>89</v>
      </c>
      <c r="J817" s="56">
        <v>79</v>
      </c>
      <c r="K817" s="52">
        <f t="shared" si="39"/>
        <v>581.5</v>
      </c>
      <c r="L817" s="27">
        <f t="shared" si="40"/>
        <v>5</v>
      </c>
      <c r="M817" s="62">
        <f t="shared" si="38"/>
        <v>173</v>
      </c>
      <c r="N817" s="63" t="s">
        <v>17</v>
      </c>
      <c r="O817" s="26" t="s">
        <v>2243</v>
      </c>
    </row>
    <row r="818" spans="1:15">
      <c r="A818" s="56" t="s">
        <v>3054</v>
      </c>
      <c r="B818" s="57" t="s">
        <v>210</v>
      </c>
      <c r="C818" s="56" t="s">
        <v>434</v>
      </c>
      <c r="D818" s="57" t="s">
        <v>435</v>
      </c>
      <c r="E818" s="56">
        <v>119</v>
      </c>
      <c r="F818" s="56">
        <v>109</v>
      </c>
      <c r="G818" s="56">
        <v>112</v>
      </c>
      <c r="H818" s="56">
        <v>68</v>
      </c>
      <c r="I818" s="56">
        <v>95</v>
      </c>
      <c r="J818" s="56">
        <v>80</v>
      </c>
      <c r="K818" s="52">
        <f t="shared" si="39"/>
        <v>583</v>
      </c>
      <c r="L818" s="27">
        <f t="shared" si="40"/>
        <v>4</v>
      </c>
      <c r="M818" s="62">
        <f t="shared" si="38"/>
        <v>169</v>
      </c>
      <c r="N818" s="63" t="s">
        <v>16</v>
      </c>
      <c r="O818" s="26" t="s">
        <v>2243</v>
      </c>
    </row>
    <row r="819" spans="1:15">
      <c r="A819" s="56" t="s">
        <v>3055</v>
      </c>
      <c r="B819" s="57" t="s">
        <v>210</v>
      </c>
      <c r="C819" s="56" t="s">
        <v>208</v>
      </c>
      <c r="D819" s="57" t="s">
        <v>209</v>
      </c>
      <c r="E819" s="56">
        <v>112</v>
      </c>
      <c r="F819" s="56">
        <v>141</v>
      </c>
      <c r="G819" s="56">
        <v>127.5</v>
      </c>
      <c r="H819" s="56">
        <v>76</v>
      </c>
      <c r="I819" s="56">
        <v>91</v>
      </c>
      <c r="J819" s="56">
        <v>70</v>
      </c>
      <c r="K819" s="52">
        <f t="shared" si="39"/>
        <v>617.5</v>
      </c>
      <c r="L819" s="27">
        <f t="shared" si="40"/>
        <v>1</v>
      </c>
      <c r="M819" s="62">
        <f t="shared" si="38"/>
        <v>57</v>
      </c>
      <c r="N819" s="63" t="s">
        <v>16</v>
      </c>
      <c r="O819" s="26" t="s">
        <v>2243</v>
      </c>
    </row>
    <row r="820" spans="1:15">
      <c r="A820" s="56" t="s">
        <v>3056</v>
      </c>
      <c r="B820" s="57" t="s">
        <v>210</v>
      </c>
      <c r="C820" s="56" t="s">
        <v>519</v>
      </c>
      <c r="D820" s="57" t="s">
        <v>520</v>
      </c>
      <c r="E820" s="56">
        <v>108</v>
      </c>
      <c r="F820" s="56">
        <v>116</v>
      </c>
      <c r="G820" s="56">
        <v>117</v>
      </c>
      <c r="H820" s="56">
        <v>78</v>
      </c>
      <c r="I820" s="56">
        <v>88</v>
      </c>
      <c r="J820" s="56">
        <v>68</v>
      </c>
      <c r="K820" s="52">
        <f t="shared" si="39"/>
        <v>575</v>
      </c>
      <c r="L820" s="27">
        <f t="shared" si="40"/>
        <v>9</v>
      </c>
      <c r="M820" s="62">
        <f t="shared" si="38"/>
        <v>207</v>
      </c>
      <c r="N820" s="63"/>
      <c r="O820" s="26" t="s">
        <v>44</v>
      </c>
    </row>
    <row r="821" spans="1:15">
      <c r="A821" s="56" t="s">
        <v>3057</v>
      </c>
      <c r="B821" s="57" t="s">
        <v>210</v>
      </c>
      <c r="C821" s="56" t="s">
        <v>651</v>
      </c>
      <c r="D821" s="57" t="s">
        <v>652</v>
      </c>
      <c r="E821" s="56">
        <v>119</v>
      </c>
      <c r="F821" s="56">
        <v>86</v>
      </c>
      <c r="G821" s="56">
        <v>124.5</v>
      </c>
      <c r="H821" s="56">
        <v>78</v>
      </c>
      <c r="I821" s="56">
        <v>87</v>
      </c>
      <c r="J821" s="56">
        <v>65</v>
      </c>
      <c r="K821" s="52">
        <f t="shared" si="39"/>
        <v>559.5</v>
      </c>
      <c r="L821" s="27">
        <f t="shared" si="40"/>
        <v>14</v>
      </c>
      <c r="M821" s="62">
        <f t="shared" si="38"/>
        <v>279</v>
      </c>
      <c r="N821" s="63" t="s">
        <v>16</v>
      </c>
      <c r="O821" s="26" t="s">
        <v>42</v>
      </c>
    </row>
    <row r="822" spans="1:15">
      <c r="A822" s="56" t="s">
        <v>3058</v>
      </c>
      <c r="B822" s="57" t="s">
        <v>210</v>
      </c>
      <c r="C822" s="56" t="s">
        <v>784</v>
      </c>
      <c r="D822" s="57" t="s">
        <v>785</v>
      </c>
      <c r="E822" s="56">
        <v>109</v>
      </c>
      <c r="F822" s="56">
        <v>110</v>
      </c>
      <c r="G822" s="56">
        <v>106</v>
      </c>
      <c r="H822" s="56">
        <v>67</v>
      </c>
      <c r="I822" s="56">
        <v>84</v>
      </c>
      <c r="J822" s="56">
        <v>71</v>
      </c>
      <c r="K822" s="52">
        <f t="shared" si="39"/>
        <v>547</v>
      </c>
      <c r="L822" s="27">
        <f t="shared" si="40"/>
        <v>19</v>
      </c>
      <c r="M822" s="62">
        <f t="shared" si="38"/>
        <v>344</v>
      </c>
      <c r="N822" s="63" t="s">
        <v>16</v>
      </c>
      <c r="O822" s="26" t="s">
        <v>2243</v>
      </c>
    </row>
    <row r="823" spans="1:15">
      <c r="A823" s="56" t="s">
        <v>3059</v>
      </c>
      <c r="B823" s="57" t="s">
        <v>210</v>
      </c>
      <c r="C823" s="56" t="s">
        <v>1228</v>
      </c>
      <c r="D823" s="59" t="s">
        <v>1229</v>
      </c>
      <c r="E823" s="56">
        <v>87</v>
      </c>
      <c r="F823" s="56">
        <v>95</v>
      </c>
      <c r="G823" s="56">
        <v>119.5</v>
      </c>
      <c r="H823" s="56">
        <v>62</v>
      </c>
      <c r="I823" s="56">
        <v>83</v>
      </c>
      <c r="J823" s="56">
        <v>65</v>
      </c>
      <c r="K823" s="52">
        <f t="shared" si="39"/>
        <v>511.5</v>
      </c>
      <c r="L823" s="27">
        <f t="shared" si="40"/>
        <v>36</v>
      </c>
      <c r="M823" s="62">
        <f t="shared" si="38"/>
        <v>565</v>
      </c>
      <c r="N823" s="63" t="s">
        <v>17</v>
      </c>
      <c r="O823" s="26" t="s">
        <v>2243</v>
      </c>
    </row>
    <row r="824" spans="1:15">
      <c r="A824" s="56" t="s">
        <v>3060</v>
      </c>
      <c r="B824" s="57" t="s">
        <v>210</v>
      </c>
      <c r="C824" s="56" t="s">
        <v>738</v>
      </c>
      <c r="D824" s="57" t="s">
        <v>739</v>
      </c>
      <c r="E824" s="56">
        <v>107</v>
      </c>
      <c r="F824" s="56">
        <v>94</v>
      </c>
      <c r="G824" s="56">
        <v>114.5</v>
      </c>
      <c r="H824" s="56">
        <v>67</v>
      </c>
      <c r="I824" s="56">
        <v>90</v>
      </c>
      <c r="J824" s="56">
        <v>79</v>
      </c>
      <c r="K824" s="52">
        <f t="shared" si="39"/>
        <v>551.5</v>
      </c>
      <c r="L824" s="27">
        <f t="shared" si="40"/>
        <v>18</v>
      </c>
      <c r="M824" s="62">
        <f t="shared" si="38"/>
        <v>323</v>
      </c>
      <c r="N824" s="63" t="s">
        <v>17</v>
      </c>
      <c r="O824" s="26" t="s">
        <v>2243</v>
      </c>
    </row>
    <row r="825" spans="1:15">
      <c r="A825" s="56" t="s">
        <v>3061</v>
      </c>
      <c r="B825" s="57" t="s">
        <v>210</v>
      </c>
      <c r="C825" s="56" t="s">
        <v>236</v>
      </c>
      <c r="D825" s="57" t="s">
        <v>237</v>
      </c>
      <c r="E825" s="56">
        <v>123</v>
      </c>
      <c r="F825" s="56">
        <v>115</v>
      </c>
      <c r="G825" s="56">
        <v>125</v>
      </c>
      <c r="H825" s="56">
        <v>86</v>
      </c>
      <c r="I825" s="56">
        <v>85</v>
      </c>
      <c r="J825" s="56">
        <v>78</v>
      </c>
      <c r="K825" s="52">
        <f t="shared" si="39"/>
        <v>612</v>
      </c>
      <c r="L825" s="27">
        <f t="shared" si="40"/>
        <v>2</v>
      </c>
      <c r="M825" s="62">
        <f t="shared" si="38"/>
        <v>70</v>
      </c>
      <c r="N825" s="63" t="s">
        <v>16</v>
      </c>
      <c r="O825" s="26" t="s">
        <v>2243</v>
      </c>
    </row>
    <row r="826" spans="1:15">
      <c r="A826" s="56" t="s">
        <v>3062</v>
      </c>
      <c r="B826" s="57" t="s">
        <v>210</v>
      </c>
      <c r="C826" s="56" t="s">
        <v>1240</v>
      </c>
      <c r="D826" s="57" t="s">
        <v>1241</v>
      </c>
      <c r="E826" s="56">
        <v>101</v>
      </c>
      <c r="F826" s="56">
        <v>122</v>
      </c>
      <c r="G826" s="56">
        <v>106.5</v>
      </c>
      <c r="H826" s="56">
        <v>57</v>
      </c>
      <c r="I826" s="56">
        <v>73</v>
      </c>
      <c r="J826" s="56">
        <v>51</v>
      </c>
      <c r="K826" s="52">
        <f t="shared" si="39"/>
        <v>510.5</v>
      </c>
      <c r="L826" s="27">
        <f t="shared" si="40"/>
        <v>37</v>
      </c>
      <c r="M826" s="62">
        <f t="shared" si="38"/>
        <v>573</v>
      </c>
      <c r="N826" s="63" t="s">
        <v>16</v>
      </c>
      <c r="O826" s="26" t="s">
        <v>44</v>
      </c>
    </row>
    <row r="827" spans="1:15">
      <c r="A827" s="56" t="s">
        <v>3063</v>
      </c>
      <c r="B827" s="57" t="s">
        <v>210</v>
      </c>
      <c r="C827" s="56" t="s">
        <v>1448</v>
      </c>
      <c r="D827" s="59" t="s">
        <v>1449</v>
      </c>
      <c r="E827" s="56">
        <v>103</v>
      </c>
      <c r="F827" s="56">
        <v>73</v>
      </c>
      <c r="G827" s="56">
        <v>120</v>
      </c>
      <c r="H827" s="56">
        <v>69</v>
      </c>
      <c r="I827" s="56">
        <v>80</v>
      </c>
      <c r="J827" s="56">
        <v>48</v>
      </c>
      <c r="K827" s="52">
        <f t="shared" si="39"/>
        <v>493</v>
      </c>
      <c r="L827" s="27">
        <f t="shared" si="40"/>
        <v>45</v>
      </c>
      <c r="M827" s="62">
        <f t="shared" si="38"/>
        <v>677</v>
      </c>
      <c r="N827" s="63" t="s">
        <v>16</v>
      </c>
      <c r="O827" s="26" t="s">
        <v>2243</v>
      </c>
    </row>
    <row r="828" spans="1:15">
      <c r="A828" s="56" t="s">
        <v>3064</v>
      </c>
      <c r="B828" s="57" t="s">
        <v>210</v>
      </c>
      <c r="C828" s="56" t="s">
        <v>665</v>
      </c>
      <c r="D828" s="57" t="s">
        <v>666</v>
      </c>
      <c r="E828" s="56">
        <v>107</v>
      </c>
      <c r="F828" s="56">
        <v>115</v>
      </c>
      <c r="G828" s="56">
        <v>119.5</v>
      </c>
      <c r="H828" s="56">
        <v>66</v>
      </c>
      <c r="I828" s="56">
        <v>83</v>
      </c>
      <c r="J828" s="56">
        <v>68</v>
      </c>
      <c r="K828" s="52">
        <f t="shared" si="39"/>
        <v>558.5</v>
      </c>
      <c r="L828" s="27">
        <f t="shared" si="40"/>
        <v>15</v>
      </c>
      <c r="M828" s="62">
        <f t="shared" si="38"/>
        <v>284</v>
      </c>
      <c r="N828" s="63" t="s">
        <v>16</v>
      </c>
      <c r="O828" s="26" t="s">
        <v>44</v>
      </c>
    </row>
    <row r="829" spans="1:15">
      <c r="A829" s="56" t="s">
        <v>3065</v>
      </c>
      <c r="B829" s="57" t="s">
        <v>210</v>
      </c>
      <c r="C829" s="56" t="s">
        <v>462</v>
      </c>
      <c r="D829" s="57" t="s">
        <v>463</v>
      </c>
      <c r="E829" s="56">
        <v>111</v>
      </c>
      <c r="F829" s="56">
        <v>109</v>
      </c>
      <c r="G829" s="56">
        <v>121</v>
      </c>
      <c r="H829" s="56">
        <v>76</v>
      </c>
      <c r="I829" s="56">
        <v>90</v>
      </c>
      <c r="J829" s="56">
        <v>73</v>
      </c>
      <c r="K829" s="52">
        <f t="shared" si="39"/>
        <v>580</v>
      </c>
      <c r="L829" s="27">
        <f t="shared" si="40"/>
        <v>7</v>
      </c>
      <c r="M829" s="62">
        <f t="shared" si="38"/>
        <v>180</v>
      </c>
      <c r="N829" s="63" t="s">
        <v>16</v>
      </c>
      <c r="O829" s="26" t="s">
        <v>42</v>
      </c>
    </row>
    <row r="830" spans="1:15">
      <c r="A830" s="56" t="s">
        <v>3066</v>
      </c>
      <c r="B830" s="57" t="s">
        <v>210</v>
      </c>
      <c r="C830" s="56" t="s">
        <v>587</v>
      </c>
      <c r="D830" s="57" t="s">
        <v>588</v>
      </c>
      <c r="E830" s="56">
        <v>111</v>
      </c>
      <c r="F830" s="56">
        <v>118</v>
      </c>
      <c r="G830" s="56">
        <v>99.5</v>
      </c>
      <c r="H830" s="56">
        <v>85</v>
      </c>
      <c r="I830" s="56">
        <v>85</v>
      </c>
      <c r="J830" s="56">
        <v>69</v>
      </c>
      <c r="K830" s="52">
        <f t="shared" si="39"/>
        <v>567.5</v>
      </c>
      <c r="L830" s="27">
        <f t="shared" si="40"/>
        <v>13</v>
      </c>
      <c r="M830" s="62">
        <f t="shared" si="38"/>
        <v>247</v>
      </c>
      <c r="N830" s="63" t="s">
        <v>16</v>
      </c>
      <c r="O830" s="26" t="s">
        <v>44</v>
      </c>
    </row>
    <row r="831" spans="1:15">
      <c r="A831" s="56" t="s">
        <v>3067</v>
      </c>
      <c r="B831" s="57" t="s">
        <v>210</v>
      </c>
      <c r="C831" s="56" t="s">
        <v>872</v>
      </c>
      <c r="D831" s="57" t="s">
        <v>873</v>
      </c>
      <c r="E831" s="56">
        <v>101</v>
      </c>
      <c r="F831" s="56">
        <v>90</v>
      </c>
      <c r="G831" s="56">
        <v>120.5</v>
      </c>
      <c r="H831" s="56">
        <v>71</v>
      </c>
      <c r="I831" s="56">
        <v>90</v>
      </c>
      <c r="J831" s="56">
        <v>66</v>
      </c>
      <c r="K831" s="52">
        <f t="shared" si="39"/>
        <v>538.5</v>
      </c>
      <c r="L831" s="27">
        <f t="shared" si="40"/>
        <v>23</v>
      </c>
      <c r="M831" s="62">
        <f t="shared" si="38"/>
        <v>388</v>
      </c>
      <c r="N831" s="63" t="s">
        <v>16</v>
      </c>
      <c r="O831" s="26" t="s">
        <v>42</v>
      </c>
    </row>
    <row r="832" spans="1:15">
      <c r="A832" s="56" t="s">
        <v>3068</v>
      </c>
      <c r="B832" s="57" t="s">
        <v>210</v>
      </c>
      <c r="C832" s="56" t="s">
        <v>1984</v>
      </c>
      <c r="D832" s="57" t="s">
        <v>1985</v>
      </c>
      <c r="E832" s="56">
        <v>93</v>
      </c>
      <c r="F832" s="56">
        <v>51</v>
      </c>
      <c r="G832" s="56">
        <v>99</v>
      </c>
      <c r="H832" s="56">
        <v>30</v>
      </c>
      <c r="I832" s="56">
        <v>56</v>
      </c>
      <c r="J832" s="56">
        <v>34</v>
      </c>
      <c r="K832" s="52">
        <f t="shared" si="39"/>
        <v>363</v>
      </c>
      <c r="L832" s="27">
        <f t="shared" si="40"/>
        <v>56</v>
      </c>
      <c r="M832" s="62">
        <f t="shared" si="38"/>
        <v>946</v>
      </c>
      <c r="N832" s="63" t="s">
        <v>17</v>
      </c>
      <c r="O832" s="26" t="s">
        <v>2243</v>
      </c>
    </row>
    <row r="833" spans="1:15">
      <c r="A833" s="56" t="s">
        <v>3069</v>
      </c>
      <c r="B833" s="57" t="s">
        <v>210</v>
      </c>
      <c r="C833" s="56" t="s">
        <v>1160</v>
      </c>
      <c r="D833" s="57" t="s">
        <v>1161</v>
      </c>
      <c r="E833" s="56">
        <v>98</v>
      </c>
      <c r="F833" s="56">
        <v>60</v>
      </c>
      <c r="G833" s="56">
        <v>135</v>
      </c>
      <c r="H833" s="56">
        <v>58</v>
      </c>
      <c r="I833" s="56">
        <v>88</v>
      </c>
      <c r="J833" s="56">
        <v>77</v>
      </c>
      <c r="K833" s="52">
        <f t="shared" si="39"/>
        <v>516</v>
      </c>
      <c r="L833" s="27">
        <f t="shared" si="40"/>
        <v>34</v>
      </c>
      <c r="M833" s="62">
        <f t="shared" si="38"/>
        <v>533</v>
      </c>
      <c r="N833" s="63" t="s">
        <v>16</v>
      </c>
      <c r="O833" s="26" t="s">
        <v>2243</v>
      </c>
    </row>
    <row r="834" spans="1:15">
      <c r="A834" s="56" t="s">
        <v>3070</v>
      </c>
      <c r="B834" s="57" t="s">
        <v>210</v>
      </c>
      <c r="C834" s="56" t="s">
        <v>1946</v>
      </c>
      <c r="D834" s="57" t="s">
        <v>1947</v>
      </c>
      <c r="E834" s="56">
        <v>104</v>
      </c>
      <c r="F834" s="56">
        <v>81</v>
      </c>
      <c r="G834" s="56">
        <v>77.5</v>
      </c>
      <c r="H834" s="56">
        <v>36</v>
      </c>
      <c r="I834" s="56">
        <v>65</v>
      </c>
      <c r="J834" s="56">
        <v>42</v>
      </c>
      <c r="K834" s="52">
        <f t="shared" si="39"/>
        <v>405.5</v>
      </c>
      <c r="L834" s="27">
        <f t="shared" si="40"/>
        <v>55</v>
      </c>
      <c r="M834" s="62">
        <f t="shared" si="38"/>
        <v>926</v>
      </c>
      <c r="N834" s="63" t="s">
        <v>17</v>
      </c>
      <c r="O834" s="26" t="s">
        <v>2243</v>
      </c>
    </row>
    <row r="835" spans="1:15">
      <c r="A835" s="56" t="s">
        <v>3071</v>
      </c>
      <c r="B835" s="57" t="s">
        <v>210</v>
      </c>
      <c r="C835" s="56" t="s">
        <v>1376</v>
      </c>
      <c r="D835" s="57" t="s">
        <v>1377</v>
      </c>
      <c r="E835" s="56">
        <v>111</v>
      </c>
      <c r="F835" s="56">
        <v>82</v>
      </c>
      <c r="G835" s="56">
        <v>120.5</v>
      </c>
      <c r="H835" s="56">
        <v>61</v>
      </c>
      <c r="I835" s="56">
        <v>73</v>
      </c>
      <c r="J835" s="56">
        <v>52</v>
      </c>
      <c r="K835" s="52">
        <f t="shared" si="39"/>
        <v>499.5</v>
      </c>
      <c r="L835" s="27">
        <f t="shared" si="40"/>
        <v>40</v>
      </c>
      <c r="M835" s="62">
        <f t="shared" ref="M835:M898" si="41">RANK(K835,$K$3:$K$953)</f>
        <v>641</v>
      </c>
      <c r="N835" s="63" t="s">
        <v>16</v>
      </c>
      <c r="O835" s="26" t="s">
        <v>2243</v>
      </c>
    </row>
    <row r="836" spans="1:15">
      <c r="A836" s="56" t="s">
        <v>3072</v>
      </c>
      <c r="B836" s="57" t="s">
        <v>210</v>
      </c>
      <c r="C836" s="56" t="s">
        <v>422</v>
      </c>
      <c r="D836" s="57" t="s">
        <v>423</v>
      </c>
      <c r="E836" s="56">
        <v>121</v>
      </c>
      <c r="F836" s="56">
        <v>128</v>
      </c>
      <c r="G836" s="56">
        <v>110.5</v>
      </c>
      <c r="H836" s="56">
        <v>72</v>
      </c>
      <c r="I836" s="56">
        <v>86</v>
      </c>
      <c r="J836" s="56">
        <v>67</v>
      </c>
      <c r="K836" s="52">
        <f t="shared" ref="K836:K899" si="42">SUM(E836:J836)</f>
        <v>584.5</v>
      </c>
      <c r="L836" s="27">
        <f t="shared" si="40"/>
        <v>3</v>
      </c>
      <c r="M836" s="62">
        <f t="shared" si="41"/>
        <v>162</v>
      </c>
      <c r="N836" s="63" t="s">
        <v>16</v>
      </c>
      <c r="O836" s="26" t="s">
        <v>2243</v>
      </c>
    </row>
    <row r="837" spans="1:15">
      <c r="A837" s="56" t="s">
        <v>3073</v>
      </c>
      <c r="B837" s="57" t="s">
        <v>210</v>
      </c>
      <c r="C837" s="56" t="s">
        <v>448</v>
      </c>
      <c r="D837" s="57" t="s">
        <v>449</v>
      </c>
      <c r="E837" s="56">
        <v>108</v>
      </c>
      <c r="F837" s="56">
        <v>134</v>
      </c>
      <c r="G837" s="56">
        <v>79.5</v>
      </c>
      <c r="H837" s="56">
        <v>90</v>
      </c>
      <c r="I837" s="56">
        <v>86</v>
      </c>
      <c r="J837" s="56">
        <v>83</v>
      </c>
      <c r="K837" s="52">
        <f t="shared" si="42"/>
        <v>580.5</v>
      </c>
      <c r="L837" s="27">
        <f t="shared" si="40"/>
        <v>6</v>
      </c>
      <c r="M837" s="62">
        <f t="shared" si="41"/>
        <v>176</v>
      </c>
      <c r="N837" s="63" t="s">
        <v>16</v>
      </c>
      <c r="O837" s="26" t="s">
        <v>42</v>
      </c>
    </row>
    <row r="838" spans="1:15">
      <c r="A838" s="56" t="s">
        <v>3074</v>
      </c>
      <c r="B838" s="57" t="s">
        <v>210</v>
      </c>
      <c r="C838" s="56" t="s">
        <v>858</v>
      </c>
      <c r="D838" s="57" t="s">
        <v>859</v>
      </c>
      <c r="E838" s="56">
        <v>113</v>
      </c>
      <c r="F838" s="56">
        <v>91</v>
      </c>
      <c r="G838" s="56">
        <v>98.5</v>
      </c>
      <c r="H838" s="56">
        <v>89</v>
      </c>
      <c r="I838" s="56">
        <v>82</v>
      </c>
      <c r="J838" s="56">
        <v>66</v>
      </c>
      <c r="K838" s="52">
        <f t="shared" si="42"/>
        <v>539.5</v>
      </c>
      <c r="L838" s="27">
        <f t="shared" si="40"/>
        <v>22</v>
      </c>
      <c r="M838" s="62">
        <f t="shared" si="41"/>
        <v>383</v>
      </c>
      <c r="N838" s="63" t="s">
        <v>17</v>
      </c>
      <c r="O838" s="26" t="s">
        <v>2243</v>
      </c>
    </row>
    <row r="839" spans="1:15">
      <c r="A839" s="56" t="s">
        <v>3075</v>
      </c>
      <c r="B839" s="57" t="s">
        <v>210</v>
      </c>
      <c r="C839" s="56" t="s">
        <v>1622</v>
      </c>
      <c r="D839" s="57" t="s">
        <v>1623</v>
      </c>
      <c r="E839" s="56">
        <v>111</v>
      </c>
      <c r="F839" s="56">
        <v>64</v>
      </c>
      <c r="G839" s="56">
        <v>116</v>
      </c>
      <c r="H839" s="56">
        <v>69</v>
      </c>
      <c r="I839" s="56">
        <v>57</v>
      </c>
      <c r="J839" s="56">
        <v>57</v>
      </c>
      <c r="K839" s="52">
        <f t="shared" si="42"/>
        <v>474</v>
      </c>
      <c r="L839" s="27">
        <f t="shared" si="40"/>
        <v>50</v>
      </c>
      <c r="M839" s="62">
        <f t="shared" si="41"/>
        <v>764</v>
      </c>
      <c r="N839" s="63" t="s">
        <v>17</v>
      </c>
      <c r="O839" s="26" t="s">
        <v>2243</v>
      </c>
    </row>
    <row r="840" spans="1:15">
      <c r="A840" s="56" t="s">
        <v>3076</v>
      </c>
      <c r="B840" s="57" t="s">
        <v>210</v>
      </c>
      <c r="C840" s="56" t="s">
        <v>1436</v>
      </c>
      <c r="D840" s="57" t="s">
        <v>1437</v>
      </c>
      <c r="E840" s="56">
        <v>103</v>
      </c>
      <c r="F840" s="56">
        <v>96</v>
      </c>
      <c r="G840" s="56">
        <v>95</v>
      </c>
      <c r="H840" s="56">
        <v>67</v>
      </c>
      <c r="I840" s="56">
        <v>72</v>
      </c>
      <c r="J840" s="56">
        <v>61</v>
      </c>
      <c r="K840" s="52">
        <f t="shared" si="42"/>
        <v>494</v>
      </c>
      <c r="L840" s="27">
        <f t="shared" si="40"/>
        <v>44</v>
      </c>
      <c r="M840" s="62">
        <f t="shared" si="41"/>
        <v>670</v>
      </c>
      <c r="N840" s="63" t="s">
        <v>17</v>
      </c>
      <c r="O840" s="26" t="s">
        <v>2243</v>
      </c>
    </row>
    <row r="841" spans="1:15">
      <c r="A841" s="56" t="s">
        <v>3077</v>
      </c>
      <c r="B841" s="57" t="s">
        <v>296</v>
      </c>
      <c r="C841" s="56" t="s">
        <v>1504</v>
      </c>
      <c r="D841" s="57" t="s">
        <v>1505</v>
      </c>
      <c r="E841" s="56">
        <v>111</v>
      </c>
      <c r="F841" s="56">
        <v>92</v>
      </c>
      <c r="G841" s="56">
        <v>104</v>
      </c>
      <c r="H841" s="56">
        <v>60</v>
      </c>
      <c r="I841" s="56">
        <v>75</v>
      </c>
      <c r="J841" s="56">
        <v>45</v>
      </c>
      <c r="K841" s="52">
        <f t="shared" si="42"/>
        <v>487</v>
      </c>
      <c r="L841" s="27">
        <f>RANK(K841,$K$841:$K$896)</f>
        <v>38</v>
      </c>
      <c r="M841" s="62">
        <f t="shared" si="41"/>
        <v>705</v>
      </c>
      <c r="N841" s="63" t="s">
        <v>16</v>
      </c>
      <c r="O841" s="26" t="s">
        <v>2243</v>
      </c>
    </row>
    <row r="842" spans="1:15">
      <c r="A842" s="56" t="s">
        <v>3078</v>
      </c>
      <c r="B842" s="57" t="s">
        <v>296</v>
      </c>
      <c r="C842" s="56" t="s">
        <v>294</v>
      </c>
      <c r="D842" s="57" t="s">
        <v>295</v>
      </c>
      <c r="E842" s="56">
        <v>115</v>
      </c>
      <c r="F842" s="56">
        <v>127</v>
      </c>
      <c r="G842" s="56">
        <v>120</v>
      </c>
      <c r="H842" s="56">
        <v>92</v>
      </c>
      <c r="I842" s="56">
        <v>83</v>
      </c>
      <c r="J842" s="56">
        <v>65</v>
      </c>
      <c r="K842" s="52">
        <f t="shared" si="42"/>
        <v>602</v>
      </c>
      <c r="L842" s="27">
        <f t="shared" ref="L842:L896" si="43">RANK(K842,$K$841:$K$896)</f>
        <v>1</v>
      </c>
      <c r="M842" s="62">
        <f t="shared" si="41"/>
        <v>97</v>
      </c>
      <c r="N842" s="63" t="s">
        <v>16</v>
      </c>
      <c r="O842" s="26" t="s">
        <v>2243</v>
      </c>
    </row>
    <row r="843" spans="1:15">
      <c r="A843" s="56" t="s">
        <v>3079</v>
      </c>
      <c r="B843" s="57" t="s">
        <v>296</v>
      </c>
      <c r="C843" s="56" t="s">
        <v>1578</v>
      </c>
      <c r="D843" s="57" t="s">
        <v>1579</v>
      </c>
      <c r="E843" s="56">
        <v>95</v>
      </c>
      <c r="F843" s="56">
        <v>74</v>
      </c>
      <c r="G843" s="56">
        <v>107.5</v>
      </c>
      <c r="H843" s="56">
        <v>42</v>
      </c>
      <c r="I843" s="56">
        <v>83</v>
      </c>
      <c r="J843" s="56">
        <v>77</v>
      </c>
      <c r="K843" s="52">
        <f t="shared" si="42"/>
        <v>478.5</v>
      </c>
      <c r="L843" s="27">
        <f t="shared" si="43"/>
        <v>42</v>
      </c>
      <c r="M843" s="62">
        <f t="shared" si="41"/>
        <v>743</v>
      </c>
      <c r="N843" s="63" t="s">
        <v>16</v>
      </c>
      <c r="O843" s="26" t="s">
        <v>42</v>
      </c>
    </row>
    <row r="844" spans="1:15">
      <c r="A844" s="56" t="s">
        <v>3080</v>
      </c>
      <c r="B844" s="57" t="s">
        <v>296</v>
      </c>
      <c r="C844" s="56" t="s">
        <v>1506</v>
      </c>
      <c r="D844" s="57" t="s">
        <v>1507</v>
      </c>
      <c r="E844" s="56">
        <v>103</v>
      </c>
      <c r="F844" s="56">
        <v>62</v>
      </c>
      <c r="G844" s="56">
        <v>113.5</v>
      </c>
      <c r="H844" s="56">
        <v>66</v>
      </c>
      <c r="I844" s="56">
        <v>86</v>
      </c>
      <c r="J844" s="56">
        <v>56</v>
      </c>
      <c r="K844" s="52">
        <f t="shared" si="42"/>
        <v>486.5</v>
      </c>
      <c r="L844" s="27">
        <f t="shared" si="43"/>
        <v>39</v>
      </c>
      <c r="M844" s="62">
        <f t="shared" si="41"/>
        <v>707</v>
      </c>
      <c r="N844" s="63" t="s">
        <v>16</v>
      </c>
      <c r="O844" s="26" t="s">
        <v>42</v>
      </c>
    </row>
    <row r="845" spans="1:15">
      <c r="A845" s="56" t="s">
        <v>3081</v>
      </c>
      <c r="B845" s="57" t="s">
        <v>296</v>
      </c>
      <c r="C845" s="56" t="s">
        <v>1330</v>
      </c>
      <c r="D845" s="57" t="s">
        <v>1331</v>
      </c>
      <c r="E845" s="56">
        <v>97</v>
      </c>
      <c r="F845" s="56">
        <v>92</v>
      </c>
      <c r="G845" s="56">
        <v>110</v>
      </c>
      <c r="H845" s="56">
        <v>61</v>
      </c>
      <c r="I845" s="56">
        <v>81</v>
      </c>
      <c r="J845" s="56">
        <v>62</v>
      </c>
      <c r="K845" s="52">
        <f t="shared" si="42"/>
        <v>503</v>
      </c>
      <c r="L845" s="27">
        <f t="shared" si="43"/>
        <v>32</v>
      </c>
      <c r="M845" s="62">
        <f t="shared" si="41"/>
        <v>619</v>
      </c>
      <c r="N845" s="63" t="s">
        <v>16</v>
      </c>
      <c r="O845" s="26" t="s">
        <v>2243</v>
      </c>
    </row>
    <row r="846" spans="1:15">
      <c r="A846" s="56" t="s">
        <v>3082</v>
      </c>
      <c r="B846" s="57" t="s">
        <v>296</v>
      </c>
      <c r="C846" s="56" t="s">
        <v>924</v>
      </c>
      <c r="D846" s="57" t="s">
        <v>925</v>
      </c>
      <c r="E846" s="56">
        <v>104</v>
      </c>
      <c r="F846" s="56">
        <v>94</v>
      </c>
      <c r="G846" s="56">
        <v>112</v>
      </c>
      <c r="H846" s="56">
        <v>74</v>
      </c>
      <c r="I846" s="56">
        <v>90</v>
      </c>
      <c r="J846" s="56">
        <v>59</v>
      </c>
      <c r="K846" s="52">
        <f t="shared" si="42"/>
        <v>533</v>
      </c>
      <c r="L846" s="27">
        <f t="shared" si="43"/>
        <v>22</v>
      </c>
      <c r="M846" s="62">
        <f t="shared" si="41"/>
        <v>415</v>
      </c>
      <c r="N846" s="63" t="s">
        <v>16</v>
      </c>
      <c r="O846" s="26" t="s">
        <v>2243</v>
      </c>
    </row>
    <row r="847" spans="1:15">
      <c r="A847" s="56" t="s">
        <v>3083</v>
      </c>
      <c r="B847" s="57" t="s">
        <v>296</v>
      </c>
      <c r="C847" s="56" t="s">
        <v>1418</v>
      </c>
      <c r="D847" s="57" t="s">
        <v>1419</v>
      </c>
      <c r="E847" s="56">
        <v>103</v>
      </c>
      <c r="F847" s="56">
        <v>81</v>
      </c>
      <c r="G847" s="56">
        <v>91</v>
      </c>
      <c r="H847" s="56">
        <v>72</v>
      </c>
      <c r="I847" s="56">
        <v>83</v>
      </c>
      <c r="J847" s="56">
        <v>66</v>
      </c>
      <c r="K847" s="52">
        <f t="shared" si="42"/>
        <v>496</v>
      </c>
      <c r="L847" s="27">
        <f t="shared" si="43"/>
        <v>34</v>
      </c>
      <c r="M847" s="62">
        <f t="shared" si="41"/>
        <v>661</v>
      </c>
      <c r="N847" s="63" t="s">
        <v>17</v>
      </c>
      <c r="O847" s="26" t="s">
        <v>42</v>
      </c>
    </row>
    <row r="848" spans="1:15">
      <c r="A848" s="56" t="s">
        <v>3084</v>
      </c>
      <c r="B848" s="57" t="s">
        <v>296</v>
      </c>
      <c r="C848" s="56" t="s">
        <v>820</v>
      </c>
      <c r="D848" s="57" t="s">
        <v>821</v>
      </c>
      <c r="E848" s="56">
        <v>93</v>
      </c>
      <c r="F848" s="56">
        <v>109</v>
      </c>
      <c r="G848" s="56">
        <v>107.5</v>
      </c>
      <c r="H848" s="56">
        <v>71</v>
      </c>
      <c r="I848" s="56">
        <v>86</v>
      </c>
      <c r="J848" s="56">
        <v>77</v>
      </c>
      <c r="K848" s="52">
        <f t="shared" si="42"/>
        <v>543.5</v>
      </c>
      <c r="L848" s="27">
        <f t="shared" si="43"/>
        <v>21</v>
      </c>
      <c r="M848" s="62">
        <f t="shared" si="41"/>
        <v>364</v>
      </c>
      <c r="N848" s="63" t="s">
        <v>17</v>
      </c>
      <c r="O848" s="26" t="s">
        <v>2243</v>
      </c>
    </row>
    <row r="849" spans="1:15">
      <c r="A849" s="56" t="s">
        <v>3085</v>
      </c>
      <c r="B849" s="57" t="s">
        <v>296</v>
      </c>
      <c r="C849" s="56" t="s">
        <v>1738</v>
      </c>
      <c r="D849" s="57" t="s">
        <v>1739</v>
      </c>
      <c r="E849" s="56">
        <v>103</v>
      </c>
      <c r="F849" s="56">
        <v>51</v>
      </c>
      <c r="G849" s="56">
        <v>123</v>
      </c>
      <c r="H849" s="56">
        <v>51</v>
      </c>
      <c r="I849" s="56">
        <v>77</v>
      </c>
      <c r="J849" s="56">
        <v>53</v>
      </c>
      <c r="K849" s="52">
        <f t="shared" si="42"/>
        <v>458</v>
      </c>
      <c r="L849" s="27">
        <f t="shared" si="43"/>
        <v>48</v>
      </c>
      <c r="M849" s="62">
        <f t="shared" si="41"/>
        <v>823</v>
      </c>
      <c r="N849" s="63" t="s">
        <v>16</v>
      </c>
      <c r="O849" s="26" t="s">
        <v>42</v>
      </c>
    </row>
    <row r="850" spans="1:15">
      <c r="A850" s="56" t="s">
        <v>3086</v>
      </c>
      <c r="B850" s="57" t="s">
        <v>296</v>
      </c>
      <c r="C850" s="56" t="s">
        <v>683</v>
      </c>
      <c r="D850" s="57" t="s">
        <v>684</v>
      </c>
      <c r="E850" s="56">
        <v>106</v>
      </c>
      <c r="F850" s="56">
        <v>96</v>
      </c>
      <c r="G850" s="56">
        <v>114</v>
      </c>
      <c r="H850" s="56">
        <v>76</v>
      </c>
      <c r="I850" s="56">
        <v>89</v>
      </c>
      <c r="J850" s="56">
        <v>76</v>
      </c>
      <c r="K850" s="52">
        <f t="shared" si="42"/>
        <v>557</v>
      </c>
      <c r="L850" s="27">
        <f t="shared" si="43"/>
        <v>13</v>
      </c>
      <c r="M850" s="62">
        <f t="shared" si="41"/>
        <v>291</v>
      </c>
      <c r="N850" s="63" t="s">
        <v>16</v>
      </c>
      <c r="O850" s="26" t="s">
        <v>42</v>
      </c>
    </row>
    <row r="851" spans="1:15">
      <c r="A851" s="56" t="s">
        <v>3087</v>
      </c>
      <c r="B851" s="57" t="s">
        <v>296</v>
      </c>
      <c r="C851" s="56" t="s">
        <v>1250</v>
      </c>
      <c r="D851" s="57" t="s">
        <v>1251</v>
      </c>
      <c r="E851" s="56">
        <v>95</v>
      </c>
      <c r="F851" s="56">
        <v>119</v>
      </c>
      <c r="G851" s="56">
        <v>114</v>
      </c>
      <c r="H851" s="56">
        <v>54</v>
      </c>
      <c r="I851" s="56">
        <v>73</v>
      </c>
      <c r="J851" s="56">
        <v>55</v>
      </c>
      <c r="K851" s="52">
        <f t="shared" si="42"/>
        <v>510</v>
      </c>
      <c r="L851" s="27">
        <f t="shared" si="43"/>
        <v>30</v>
      </c>
      <c r="M851" s="62">
        <f t="shared" si="41"/>
        <v>577</v>
      </c>
      <c r="N851" s="63" t="s">
        <v>16</v>
      </c>
      <c r="O851" s="26" t="s">
        <v>44</v>
      </c>
    </row>
    <row r="852" spans="1:15">
      <c r="A852" s="56" t="s">
        <v>3088</v>
      </c>
      <c r="B852" s="57" t="s">
        <v>296</v>
      </c>
      <c r="C852" s="56" t="s">
        <v>1950</v>
      </c>
      <c r="D852" s="57" t="s">
        <v>1951</v>
      </c>
      <c r="E852" s="56">
        <v>95</v>
      </c>
      <c r="F852" s="56">
        <v>72</v>
      </c>
      <c r="G852" s="56">
        <v>98</v>
      </c>
      <c r="H852" s="56">
        <v>40</v>
      </c>
      <c r="I852" s="56">
        <v>55</v>
      </c>
      <c r="J852" s="56">
        <v>41</v>
      </c>
      <c r="K852" s="52">
        <f t="shared" si="42"/>
        <v>401</v>
      </c>
      <c r="L852" s="27">
        <f t="shared" si="43"/>
        <v>54</v>
      </c>
      <c r="M852" s="62">
        <f t="shared" si="41"/>
        <v>929</v>
      </c>
      <c r="N852" s="63" t="s">
        <v>16</v>
      </c>
      <c r="O852" s="26" t="s">
        <v>44</v>
      </c>
    </row>
    <row r="853" spans="1:15">
      <c r="A853" s="56" t="s">
        <v>3089</v>
      </c>
      <c r="B853" s="57" t="s">
        <v>296</v>
      </c>
      <c r="C853" s="56" t="s">
        <v>1774</v>
      </c>
      <c r="D853" s="57" t="s">
        <v>1775</v>
      </c>
      <c r="E853" s="56">
        <v>109</v>
      </c>
      <c r="F853" s="56">
        <v>57</v>
      </c>
      <c r="G853" s="59">
        <v>116.5</v>
      </c>
      <c r="H853" s="56">
        <v>33</v>
      </c>
      <c r="I853" s="56">
        <v>79</v>
      </c>
      <c r="J853" s="56">
        <v>57</v>
      </c>
      <c r="K853" s="52">
        <f t="shared" si="42"/>
        <v>451.5</v>
      </c>
      <c r="L853" s="27">
        <f t="shared" si="43"/>
        <v>49</v>
      </c>
      <c r="M853" s="62">
        <f t="shared" si="41"/>
        <v>840</v>
      </c>
      <c r="N853" s="63" t="s">
        <v>17</v>
      </c>
      <c r="O853" s="26" t="s">
        <v>2243</v>
      </c>
    </row>
    <row r="854" spans="1:15">
      <c r="A854" s="56" t="s">
        <v>3090</v>
      </c>
      <c r="B854" s="57" t="s">
        <v>296</v>
      </c>
      <c r="C854" s="56" t="s">
        <v>1964</v>
      </c>
      <c r="D854" s="57" t="s">
        <v>1965</v>
      </c>
      <c r="E854" s="56">
        <v>106</v>
      </c>
      <c r="F854" s="56">
        <v>44</v>
      </c>
      <c r="G854" s="56">
        <v>101</v>
      </c>
      <c r="H854" s="56">
        <v>37</v>
      </c>
      <c r="I854" s="56">
        <v>61</v>
      </c>
      <c r="J854" s="56">
        <v>37</v>
      </c>
      <c r="K854" s="52">
        <f t="shared" si="42"/>
        <v>386</v>
      </c>
      <c r="L854" s="27">
        <f t="shared" si="43"/>
        <v>55</v>
      </c>
      <c r="M854" s="62">
        <f t="shared" si="41"/>
        <v>936</v>
      </c>
      <c r="N854" s="63" t="s">
        <v>16</v>
      </c>
      <c r="O854" s="26" t="s">
        <v>44</v>
      </c>
    </row>
    <row r="855" spans="1:15">
      <c r="A855" s="56" t="s">
        <v>3091</v>
      </c>
      <c r="B855" s="57" t="s">
        <v>296</v>
      </c>
      <c r="C855" s="56" t="s">
        <v>398</v>
      </c>
      <c r="D855" s="57" t="s">
        <v>399</v>
      </c>
      <c r="E855" s="56">
        <v>115</v>
      </c>
      <c r="F855" s="56">
        <v>101</v>
      </c>
      <c r="G855" s="56">
        <v>135.5</v>
      </c>
      <c r="H855" s="56">
        <v>77</v>
      </c>
      <c r="I855" s="56">
        <v>92</v>
      </c>
      <c r="J855" s="56">
        <v>68</v>
      </c>
      <c r="K855" s="52">
        <f t="shared" si="42"/>
        <v>588.5</v>
      </c>
      <c r="L855" s="27">
        <f t="shared" si="43"/>
        <v>5</v>
      </c>
      <c r="M855" s="62">
        <f t="shared" si="41"/>
        <v>146</v>
      </c>
      <c r="N855" s="63" t="s">
        <v>16</v>
      </c>
      <c r="O855" s="26" t="s">
        <v>42</v>
      </c>
    </row>
    <row r="856" spans="1:15">
      <c r="A856" s="56" t="s">
        <v>3092</v>
      </c>
      <c r="B856" s="57" t="s">
        <v>296</v>
      </c>
      <c r="C856" s="56" t="s">
        <v>1676</v>
      </c>
      <c r="D856" s="57" t="s">
        <v>1677</v>
      </c>
      <c r="E856" s="56">
        <v>93</v>
      </c>
      <c r="F856" s="56">
        <v>79</v>
      </c>
      <c r="G856" s="56">
        <v>98.5</v>
      </c>
      <c r="H856" s="56">
        <v>57</v>
      </c>
      <c r="I856" s="56">
        <v>92</v>
      </c>
      <c r="J856" s="56">
        <v>47</v>
      </c>
      <c r="K856" s="52">
        <f t="shared" si="42"/>
        <v>466.5</v>
      </c>
      <c r="L856" s="27">
        <f t="shared" si="43"/>
        <v>44</v>
      </c>
      <c r="M856" s="62">
        <f t="shared" si="41"/>
        <v>787</v>
      </c>
      <c r="N856" s="63" t="s">
        <v>17</v>
      </c>
      <c r="O856" s="26" t="s">
        <v>2243</v>
      </c>
    </row>
    <row r="857" spans="1:15">
      <c r="A857" s="56" t="s">
        <v>3093</v>
      </c>
      <c r="B857" s="57" t="s">
        <v>296</v>
      </c>
      <c r="C857" s="56" t="s">
        <v>327</v>
      </c>
      <c r="D857" s="57" t="s">
        <v>328</v>
      </c>
      <c r="E857" s="56">
        <v>110</v>
      </c>
      <c r="F857" s="56">
        <v>104</v>
      </c>
      <c r="G857" s="56">
        <v>125.5</v>
      </c>
      <c r="H857" s="56">
        <v>76</v>
      </c>
      <c r="I857" s="56">
        <v>100</v>
      </c>
      <c r="J857" s="56">
        <v>81</v>
      </c>
      <c r="K857" s="52">
        <f t="shared" si="42"/>
        <v>596.5</v>
      </c>
      <c r="L857" s="27">
        <f t="shared" si="43"/>
        <v>3</v>
      </c>
      <c r="M857" s="62">
        <f t="shared" si="41"/>
        <v>114</v>
      </c>
      <c r="N857" s="63" t="s">
        <v>16</v>
      </c>
      <c r="O857" s="26" t="s">
        <v>44</v>
      </c>
    </row>
    <row r="858" spans="1:15">
      <c r="A858" s="56" t="s">
        <v>3094</v>
      </c>
      <c r="B858" s="57" t="s">
        <v>296</v>
      </c>
      <c r="C858" s="56" t="s">
        <v>1786</v>
      </c>
      <c r="D858" s="57" t="s">
        <v>1787</v>
      </c>
      <c r="E858" s="56">
        <v>95</v>
      </c>
      <c r="F858" s="56">
        <v>66</v>
      </c>
      <c r="G858" s="56">
        <v>94</v>
      </c>
      <c r="H858" s="56">
        <v>60</v>
      </c>
      <c r="I858" s="56">
        <v>73</v>
      </c>
      <c r="J858" s="56">
        <v>60</v>
      </c>
      <c r="K858" s="52">
        <f t="shared" si="42"/>
        <v>448</v>
      </c>
      <c r="L858" s="27">
        <f t="shared" si="43"/>
        <v>50</v>
      </c>
      <c r="M858" s="62">
        <f t="shared" si="41"/>
        <v>846</v>
      </c>
      <c r="N858" s="63" t="s">
        <v>17</v>
      </c>
      <c r="O858" s="26" t="s">
        <v>42</v>
      </c>
    </row>
    <row r="859" spans="1:15">
      <c r="A859" s="56" t="s">
        <v>3095</v>
      </c>
      <c r="B859" s="56" t="s">
        <v>296</v>
      </c>
      <c r="C859" s="56" t="s">
        <v>740</v>
      </c>
      <c r="D859" s="56" t="s">
        <v>741</v>
      </c>
      <c r="E859" s="56">
        <v>100</v>
      </c>
      <c r="F859" s="56">
        <v>127</v>
      </c>
      <c r="G859" s="56">
        <v>60.5</v>
      </c>
      <c r="H859" s="56">
        <v>103</v>
      </c>
      <c r="I859" s="56">
        <v>88</v>
      </c>
      <c r="J859" s="56">
        <v>73</v>
      </c>
      <c r="K859" s="52">
        <f t="shared" si="42"/>
        <v>551.5</v>
      </c>
      <c r="L859" s="27">
        <f t="shared" si="43"/>
        <v>16</v>
      </c>
      <c r="M859" s="62">
        <f t="shared" si="41"/>
        <v>323</v>
      </c>
      <c r="N859" s="63" t="s">
        <v>17</v>
      </c>
      <c r="O859" s="26" t="s">
        <v>2243</v>
      </c>
    </row>
    <row r="860" spans="1:15">
      <c r="A860" s="56" t="s">
        <v>3096</v>
      </c>
      <c r="B860" s="56" t="s">
        <v>296</v>
      </c>
      <c r="C860" s="56" t="s">
        <v>812</v>
      </c>
      <c r="D860" s="56" t="s">
        <v>813</v>
      </c>
      <c r="E860" s="56">
        <v>99</v>
      </c>
      <c r="F860" s="56">
        <v>130</v>
      </c>
      <c r="G860" s="56">
        <v>116</v>
      </c>
      <c r="H860" s="56">
        <v>68</v>
      </c>
      <c r="I860" s="56">
        <v>70</v>
      </c>
      <c r="J860" s="56">
        <v>61</v>
      </c>
      <c r="K860" s="52">
        <f t="shared" si="42"/>
        <v>544</v>
      </c>
      <c r="L860" s="27">
        <f t="shared" si="43"/>
        <v>20</v>
      </c>
      <c r="M860" s="62">
        <f t="shared" si="41"/>
        <v>360</v>
      </c>
      <c r="N860" s="63" t="s">
        <v>16</v>
      </c>
      <c r="O860" s="26" t="s">
        <v>42</v>
      </c>
    </row>
    <row r="861" spans="1:15">
      <c r="A861" s="56" t="s">
        <v>3097</v>
      </c>
      <c r="B861" s="56" t="s">
        <v>296</v>
      </c>
      <c r="C861" s="56" t="s">
        <v>742</v>
      </c>
      <c r="D861" s="56" t="s">
        <v>743</v>
      </c>
      <c r="E861" s="56">
        <v>112</v>
      </c>
      <c r="F861" s="56">
        <v>115</v>
      </c>
      <c r="G861" s="56">
        <v>103.5</v>
      </c>
      <c r="H861" s="56">
        <v>63</v>
      </c>
      <c r="I861" s="56">
        <v>92</v>
      </c>
      <c r="J861" s="56">
        <v>66</v>
      </c>
      <c r="K861" s="52">
        <f t="shared" si="42"/>
        <v>551.5</v>
      </c>
      <c r="L861" s="27">
        <f t="shared" si="43"/>
        <v>16</v>
      </c>
      <c r="M861" s="62">
        <f t="shared" si="41"/>
        <v>323</v>
      </c>
      <c r="N861" s="63" t="s">
        <v>16</v>
      </c>
      <c r="O861" s="26" t="s">
        <v>42</v>
      </c>
    </row>
    <row r="862" spans="1:15">
      <c r="A862" s="56" t="s">
        <v>3098</v>
      </c>
      <c r="B862" s="56" t="s">
        <v>296</v>
      </c>
      <c r="C862" s="56" t="s">
        <v>960</v>
      </c>
      <c r="D862" s="56" t="s">
        <v>961</v>
      </c>
      <c r="E862" s="56">
        <v>100</v>
      </c>
      <c r="F862" s="56">
        <v>95</v>
      </c>
      <c r="G862" s="56">
        <v>104</v>
      </c>
      <c r="H862" s="56">
        <v>81</v>
      </c>
      <c r="I862" s="56">
        <v>80</v>
      </c>
      <c r="J862" s="56">
        <v>70</v>
      </c>
      <c r="K862" s="52">
        <f t="shared" si="42"/>
        <v>530</v>
      </c>
      <c r="L862" s="27">
        <f t="shared" si="43"/>
        <v>23</v>
      </c>
      <c r="M862" s="62">
        <f t="shared" si="41"/>
        <v>433</v>
      </c>
      <c r="N862" s="63" t="s">
        <v>17</v>
      </c>
      <c r="O862" s="26" t="s">
        <v>42</v>
      </c>
    </row>
    <row r="863" spans="1:15">
      <c r="A863" s="56" t="s">
        <v>3099</v>
      </c>
      <c r="B863" s="56" t="s">
        <v>296</v>
      </c>
      <c r="C863" s="56" t="s">
        <v>512</v>
      </c>
      <c r="D863" s="56" t="s">
        <v>513</v>
      </c>
      <c r="E863" s="56">
        <v>93</v>
      </c>
      <c r="F863" s="56">
        <v>124</v>
      </c>
      <c r="G863" s="56">
        <v>111</v>
      </c>
      <c r="H863" s="56">
        <v>87</v>
      </c>
      <c r="I863" s="56">
        <v>89</v>
      </c>
      <c r="J863" s="56">
        <v>71</v>
      </c>
      <c r="K863" s="52">
        <f t="shared" si="42"/>
        <v>575</v>
      </c>
      <c r="L863" s="27">
        <f t="shared" si="43"/>
        <v>9</v>
      </c>
      <c r="M863" s="62">
        <f t="shared" si="41"/>
        <v>207</v>
      </c>
      <c r="N863" s="63" t="s">
        <v>16</v>
      </c>
      <c r="O863" s="26" t="s">
        <v>2243</v>
      </c>
    </row>
    <row r="864" spans="1:15">
      <c r="A864" s="56" t="s">
        <v>3100</v>
      </c>
      <c r="B864" s="56" t="s">
        <v>296</v>
      </c>
      <c r="C864" s="56" t="s">
        <v>1678</v>
      </c>
      <c r="D864" s="56" t="s">
        <v>1679</v>
      </c>
      <c r="E864" s="56">
        <v>117</v>
      </c>
      <c r="F864" s="56">
        <v>61</v>
      </c>
      <c r="G864" s="56">
        <v>99.5</v>
      </c>
      <c r="H864" s="56">
        <v>54</v>
      </c>
      <c r="I864" s="56">
        <v>68</v>
      </c>
      <c r="J864" s="56">
        <v>67</v>
      </c>
      <c r="K864" s="52">
        <f t="shared" si="42"/>
        <v>466.5</v>
      </c>
      <c r="L864" s="27">
        <f t="shared" si="43"/>
        <v>44</v>
      </c>
      <c r="M864" s="62">
        <f t="shared" si="41"/>
        <v>787</v>
      </c>
      <c r="N864" s="63" t="s">
        <v>16</v>
      </c>
      <c r="O864" s="26" t="s">
        <v>44</v>
      </c>
    </row>
    <row r="865" spans="1:15">
      <c r="A865" s="56" t="s">
        <v>3101</v>
      </c>
      <c r="B865" s="56" t="s">
        <v>296</v>
      </c>
      <c r="C865" s="56" t="s">
        <v>1406</v>
      </c>
      <c r="D865" s="56" t="s">
        <v>1407</v>
      </c>
      <c r="E865" s="56">
        <v>100</v>
      </c>
      <c r="F865" s="56">
        <v>99</v>
      </c>
      <c r="G865" s="56">
        <v>100</v>
      </c>
      <c r="H865" s="56">
        <v>73</v>
      </c>
      <c r="I865" s="56">
        <v>77</v>
      </c>
      <c r="J865" s="56">
        <v>48</v>
      </c>
      <c r="K865" s="52">
        <f t="shared" si="42"/>
        <v>497</v>
      </c>
      <c r="L865" s="27">
        <f t="shared" si="43"/>
        <v>33</v>
      </c>
      <c r="M865" s="62">
        <f t="shared" si="41"/>
        <v>656</v>
      </c>
      <c r="N865" s="63" t="s">
        <v>16</v>
      </c>
      <c r="O865" s="26" t="s">
        <v>44</v>
      </c>
    </row>
    <row r="866" spans="1:15">
      <c r="A866" s="56" t="s">
        <v>3102</v>
      </c>
      <c r="B866" s="56" t="s">
        <v>296</v>
      </c>
      <c r="C866" s="56" t="s">
        <v>1890</v>
      </c>
      <c r="D866" s="56" t="s">
        <v>1891</v>
      </c>
      <c r="E866" s="56">
        <v>98</v>
      </c>
      <c r="F866" s="56">
        <v>63</v>
      </c>
      <c r="G866" s="56">
        <v>96.5</v>
      </c>
      <c r="H866" s="56">
        <v>65</v>
      </c>
      <c r="I866" s="56">
        <v>63</v>
      </c>
      <c r="J866" s="56">
        <v>42</v>
      </c>
      <c r="K866" s="52">
        <f t="shared" si="42"/>
        <v>427.5</v>
      </c>
      <c r="L866" s="27">
        <f t="shared" si="43"/>
        <v>52</v>
      </c>
      <c r="M866" s="62">
        <f t="shared" si="41"/>
        <v>898</v>
      </c>
      <c r="N866" s="63" t="s">
        <v>17</v>
      </c>
      <c r="O866" s="26" t="s">
        <v>2243</v>
      </c>
    </row>
    <row r="867" spans="1:15">
      <c r="A867" s="56" t="s">
        <v>3103</v>
      </c>
      <c r="B867" s="56" t="s">
        <v>296</v>
      </c>
      <c r="C867" s="56" t="s">
        <v>1428</v>
      </c>
      <c r="D867" s="56" t="s">
        <v>1429</v>
      </c>
      <c r="E867" s="56">
        <v>109</v>
      </c>
      <c r="F867" s="56">
        <v>82</v>
      </c>
      <c r="G867" s="56">
        <v>126.5</v>
      </c>
      <c r="H867" s="56">
        <v>63</v>
      </c>
      <c r="I867" s="56">
        <v>62</v>
      </c>
      <c r="J867" s="56">
        <v>53</v>
      </c>
      <c r="K867" s="52">
        <f t="shared" si="42"/>
        <v>495.5</v>
      </c>
      <c r="L867" s="27">
        <f t="shared" si="43"/>
        <v>35</v>
      </c>
      <c r="M867" s="62">
        <f t="shared" si="41"/>
        <v>665</v>
      </c>
      <c r="N867" s="63" t="s">
        <v>17</v>
      </c>
      <c r="O867" s="26" t="s">
        <v>44</v>
      </c>
    </row>
    <row r="868" spans="1:15">
      <c r="A868" s="56" t="s">
        <v>3104</v>
      </c>
      <c r="B868" s="56" t="s">
        <v>296</v>
      </c>
      <c r="C868" s="56" t="s">
        <v>1522</v>
      </c>
      <c r="D868" s="56" t="s">
        <v>1523</v>
      </c>
      <c r="E868" s="56">
        <v>107</v>
      </c>
      <c r="F868" s="56">
        <v>61</v>
      </c>
      <c r="G868" s="56">
        <v>113.5</v>
      </c>
      <c r="H868" s="56">
        <v>63</v>
      </c>
      <c r="I868" s="56">
        <v>76</v>
      </c>
      <c r="J868" s="56">
        <v>64</v>
      </c>
      <c r="K868" s="52">
        <f t="shared" si="42"/>
        <v>484.5</v>
      </c>
      <c r="L868" s="27">
        <f t="shared" si="43"/>
        <v>40</v>
      </c>
      <c r="M868" s="62">
        <f t="shared" si="41"/>
        <v>715</v>
      </c>
      <c r="N868" s="63" t="s">
        <v>17</v>
      </c>
      <c r="O868" s="26" t="s">
        <v>2243</v>
      </c>
    </row>
    <row r="869" spans="1:15">
      <c r="A869" s="56" t="s">
        <v>3105</v>
      </c>
      <c r="B869" s="56" t="s">
        <v>296</v>
      </c>
      <c r="C869" s="56" t="s">
        <v>502</v>
      </c>
      <c r="D869" s="56" t="s">
        <v>503</v>
      </c>
      <c r="E869" s="56">
        <v>105</v>
      </c>
      <c r="F869" s="56">
        <v>124</v>
      </c>
      <c r="G869" s="56">
        <v>130</v>
      </c>
      <c r="H869" s="56">
        <v>82</v>
      </c>
      <c r="I869" s="56">
        <v>80</v>
      </c>
      <c r="J869" s="56">
        <v>55</v>
      </c>
      <c r="K869" s="52">
        <f t="shared" si="42"/>
        <v>576</v>
      </c>
      <c r="L869" s="27">
        <f t="shared" si="43"/>
        <v>8</v>
      </c>
      <c r="M869" s="62">
        <f t="shared" si="41"/>
        <v>202</v>
      </c>
      <c r="N869" s="63" t="s">
        <v>16</v>
      </c>
      <c r="O869" s="26" t="s">
        <v>2243</v>
      </c>
    </row>
    <row r="870" spans="1:15">
      <c r="A870" s="56" t="s">
        <v>3106</v>
      </c>
      <c r="B870" s="56" t="s">
        <v>296</v>
      </c>
      <c r="C870" s="56" t="s">
        <v>798</v>
      </c>
      <c r="D870" s="56" t="s">
        <v>799</v>
      </c>
      <c r="E870" s="56">
        <v>107</v>
      </c>
      <c r="F870" s="56">
        <v>112</v>
      </c>
      <c r="G870" s="56">
        <v>115</v>
      </c>
      <c r="H870" s="56">
        <v>65</v>
      </c>
      <c r="I870" s="56">
        <v>78</v>
      </c>
      <c r="J870" s="56">
        <v>69</v>
      </c>
      <c r="K870" s="52">
        <f t="shared" si="42"/>
        <v>546</v>
      </c>
      <c r="L870" s="27">
        <f t="shared" si="43"/>
        <v>19</v>
      </c>
      <c r="M870" s="62">
        <f t="shared" si="41"/>
        <v>352</v>
      </c>
      <c r="N870" s="63" t="s">
        <v>16</v>
      </c>
      <c r="O870" s="26" t="s">
        <v>42</v>
      </c>
    </row>
    <row r="871" spans="1:15">
      <c r="A871" s="56" t="s">
        <v>3107</v>
      </c>
      <c r="B871" s="56" t="s">
        <v>296</v>
      </c>
      <c r="C871" s="56" t="s">
        <v>329</v>
      </c>
      <c r="D871" s="56" t="s">
        <v>330</v>
      </c>
      <c r="E871" s="56">
        <v>111</v>
      </c>
      <c r="F871" s="56">
        <v>115</v>
      </c>
      <c r="G871" s="56">
        <v>126.5</v>
      </c>
      <c r="H871" s="56">
        <v>80</v>
      </c>
      <c r="I871" s="56">
        <v>91</v>
      </c>
      <c r="J871" s="56">
        <v>73</v>
      </c>
      <c r="K871" s="52">
        <f t="shared" si="42"/>
        <v>596.5</v>
      </c>
      <c r="L871" s="27">
        <f t="shared" si="43"/>
        <v>3</v>
      </c>
      <c r="M871" s="62">
        <f t="shared" si="41"/>
        <v>114</v>
      </c>
      <c r="N871" s="63" t="s">
        <v>16</v>
      </c>
      <c r="O871" s="26" t="s">
        <v>42</v>
      </c>
    </row>
    <row r="872" spans="1:15">
      <c r="A872" s="56" t="s">
        <v>3108</v>
      </c>
      <c r="B872" s="56" t="s">
        <v>296</v>
      </c>
      <c r="C872" s="56" t="s">
        <v>1620</v>
      </c>
      <c r="D872" s="56" t="s">
        <v>1621</v>
      </c>
      <c r="E872" s="56">
        <v>94</v>
      </c>
      <c r="F872" s="56">
        <v>73</v>
      </c>
      <c r="G872" s="56">
        <v>108</v>
      </c>
      <c r="H872" s="56">
        <v>61</v>
      </c>
      <c r="I872" s="56">
        <v>83</v>
      </c>
      <c r="J872" s="56">
        <v>55</v>
      </c>
      <c r="K872" s="52">
        <f t="shared" si="42"/>
        <v>474</v>
      </c>
      <c r="L872" s="27">
        <f t="shared" si="43"/>
        <v>43</v>
      </c>
      <c r="M872" s="62">
        <f t="shared" si="41"/>
        <v>764</v>
      </c>
      <c r="N872" s="63" t="s">
        <v>17</v>
      </c>
      <c r="O872" s="26" t="s">
        <v>2243</v>
      </c>
    </row>
    <row r="873" spans="1:15">
      <c r="A873" s="56" t="s">
        <v>3109</v>
      </c>
      <c r="B873" s="56" t="s">
        <v>296</v>
      </c>
      <c r="C873" s="56" t="s">
        <v>1570</v>
      </c>
      <c r="D873" s="56" t="s">
        <v>1571</v>
      </c>
      <c r="E873" s="56">
        <v>105</v>
      </c>
      <c r="F873" s="56">
        <v>86</v>
      </c>
      <c r="G873" s="56">
        <v>103.5</v>
      </c>
      <c r="H873" s="56">
        <v>60</v>
      </c>
      <c r="I873" s="56">
        <v>77</v>
      </c>
      <c r="J873" s="56">
        <v>49</v>
      </c>
      <c r="K873" s="52">
        <f t="shared" si="42"/>
        <v>480.5</v>
      </c>
      <c r="L873" s="27">
        <f t="shared" si="43"/>
        <v>41</v>
      </c>
      <c r="M873" s="62">
        <f t="shared" si="41"/>
        <v>738</v>
      </c>
      <c r="N873" s="63" t="s">
        <v>16</v>
      </c>
      <c r="O873" s="26" t="s">
        <v>44</v>
      </c>
    </row>
    <row r="874" spans="1:15">
      <c r="A874" s="56" t="s">
        <v>3110</v>
      </c>
      <c r="B874" s="56" t="s">
        <v>296</v>
      </c>
      <c r="C874" s="56" t="s">
        <v>1316</v>
      </c>
      <c r="D874" s="56" t="s">
        <v>1317</v>
      </c>
      <c r="E874" s="56">
        <v>103</v>
      </c>
      <c r="F874" s="56">
        <v>85</v>
      </c>
      <c r="G874" s="56">
        <v>110.5</v>
      </c>
      <c r="H874" s="56">
        <v>74</v>
      </c>
      <c r="I874" s="56">
        <v>78</v>
      </c>
      <c r="J874" s="56">
        <v>54</v>
      </c>
      <c r="K874" s="52">
        <f t="shared" si="42"/>
        <v>504.5</v>
      </c>
      <c r="L874" s="27">
        <f t="shared" si="43"/>
        <v>31</v>
      </c>
      <c r="M874" s="62">
        <f t="shared" si="41"/>
        <v>612</v>
      </c>
      <c r="N874" s="63" t="s">
        <v>16</v>
      </c>
      <c r="O874" s="26" t="s">
        <v>44</v>
      </c>
    </row>
    <row r="875" spans="1:15">
      <c r="A875" s="56" t="s">
        <v>3111</v>
      </c>
      <c r="B875" s="56" t="s">
        <v>296</v>
      </c>
      <c r="C875" s="56" t="s">
        <v>695</v>
      </c>
      <c r="D875" s="56" t="s">
        <v>696</v>
      </c>
      <c r="E875" s="56">
        <v>103</v>
      </c>
      <c r="F875" s="56">
        <v>107</v>
      </c>
      <c r="G875" s="56">
        <v>130</v>
      </c>
      <c r="H875" s="56">
        <v>71</v>
      </c>
      <c r="I875" s="56">
        <v>77</v>
      </c>
      <c r="J875" s="56">
        <v>67</v>
      </c>
      <c r="K875" s="52">
        <f t="shared" si="42"/>
        <v>555</v>
      </c>
      <c r="L875" s="27">
        <f t="shared" si="43"/>
        <v>15</v>
      </c>
      <c r="M875" s="62">
        <f t="shared" si="41"/>
        <v>301</v>
      </c>
      <c r="N875" s="63" t="s">
        <v>16</v>
      </c>
      <c r="O875" s="26" t="s">
        <v>2243</v>
      </c>
    </row>
    <row r="876" spans="1:15">
      <c r="A876" s="56" t="s">
        <v>3112</v>
      </c>
      <c r="B876" s="56" t="s">
        <v>296</v>
      </c>
      <c r="C876" s="56" t="s">
        <v>1460</v>
      </c>
      <c r="D876" s="56" t="s">
        <v>1461</v>
      </c>
      <c r="E876" s="56">
        <v>103</v>
      </c>
      <c r="F876" s="56">
        <v>81</v>
      </c>
      <c r="G876" s="56">
        <v>99</v>
      </c>
      <c r="H876" s="56">
        <v>69</v>
      </c>
      <c r="I876" s="56">
        <v>67</v>
      </c>
      <c r="J876" s="56">
        <v>73</v>
      </c>
      <c r="K876" s="52">
        <f t="shared" si="42"/>
        <v>492</v>
      </c>
      <c r="L876" s="27">
        <f t="shared" si="43"/>
        <v>36</v>
      </c>
      <c r="M876" s="62">
        <f t="shared" si="41"/>
        <v>684</v>
      </c>
      <c r="N876" s="63" t="s">
        <v>16</v>
      </c>
      <c r="O876" s="26" t="s">
        <v>44</v>
      </c>
    </row>
    <row r="877" spans="1:15">
      <c r="A877" s="56" t="s">
        <v>3113</v>
      </c>
      <c r="B877" s="56" t="s">
        <v>296</v>
      </c>
      <c r="C877" s="56" t="s">
        <v>1486</v>
      </c>
      <c r="D877" s="56" t="s">
        <v>1487</v>
      </c>
      <c r="E877" s="56">
        <v>95</v>
      </c>
      <c r="F877" s="56">
        <v>105</v>
      </c>
      <c r="G877" s="56">
        <v>97</v>
      </c>
      <c r="H877" s="56">
        <v>82</v>
      </c>
      <c r="I877" s="56">
        <v>68</v>
      </c>
      <c r="J877" s="56">
        <v>42</v>
      </c>
      <c r="K877" s="52">
        <f t="shared" si="42"/>
        <v>489</v>
      </c>
      <c r="L877" s="27">
        <f t="shared" si="43"/>
        <v>37</v>
      </c>
      <c r="M877" s="62">
        <f t="shared" si="41"/>
        <v>697</v>
      </c>
      <c r="N877" s="63" t="s">
        <v>16</v>
      </c>
      <c r="O877" s="26" t="s">
        <v>44</v>
      </c>
    </row>
    <row r="878" spans="1:15">
      <c r="A878" s="56" t="s">
        <v>3114</v>
      </c>
      <c r="B878" s="56" t="s">
        <v>296</v>
      </c>
      <c r="C878" s="56" t="s">
        <v>563</v>
      </c>
      <c r="D878" s="56" t="s">
        <v>564</v>
      </c>
      <c r="E878" s="56">
        <v>108</v>
      </c>
      <c r="F878" s="56">
        <v>134</v>
      </c>
      <c r="G878" s="56">
        <v>92.5</v>
      </c>
      <c r="H878" s="56">
        <v>84</v>
      </c>
      <c r="I878" s="56">
        <v>89</v>
      </c>
      <c r="J878" s="56">
        <v>63</v>
      </c>
      <c r="K878" s="52">
        <f t="shared" si="42"/>
        <v>570.5</v>
      </c>
      <c r="L878" s="27">
        <f t="shared" si="43"/>
        <v>11</v>
      </c>
      <c r="M878" s="62">
        <f t="shared" si="41"/>
        <v>233</v>
      </c>
      <c r="N878" s="63" t="s">
        <v>16</v>
      </c>
      <c r="O878" s="26" t="s">
        <v>44</v>
      </c>
    </row>
    <row r="879" spans="1:15">
      <c r="A879" s="56" t="s">
        <v>3115</v>
      </c>
      <c r="B879" s="56" t="s">
        <v>296</v>
      </c>
      <c r="C879" s="56" t="s">
        <v>1980</v>
      </c>
      <c r="D879" s="56" t="s">
        <v>1981</v>
      </c>
      <c r="E879" s="56">
        <v>93</v>
      </c>
      <c r="F879" s="56">
        <v>58</v>
      </c>
      <c r="G879" s="56">
        <v>71</v>
      </c>
      <c r="H879" s="56">
        <v>36</v>
      </c>
      <c r="I879" s="56">
        <v>64</v>
      </c>
      <c r="J879" s="56">
        <v>51</v>
      </c>
      <c r="K879" s="52">
        <f t="shared" si="42"/>
        <v>373</v>
      </c>
      <c r="L879" s="27">
        <f t="shared" si="43"/>
        <v>56</v>
      </c>
      <c r="M879" s="62">
        <f t="shared" si="41"/>
        <v>944</v>
      </c>
      <c r="N879" s="63" t="s">
        <v>17</v>
      </c>
      <c r="O879" s="26" t="s">
        <v>42</v>
      </c>
    </row>
    <row r="880" spans="1:15">
      <c r="A880" s="56" t="s">
        <v>3116</v>
      </c>
      <c r="B880" s="56" t="s">
        <v>296</v>
      </c>
      <c r="C880" s="56" t="s">
        <v>1218</v>
      </c>
      <c r="D880" s="56" t="s">
        <v>1219</v>
      </c>
      <c r="E880" s="56">
        <v>110</v>
      </c>
      <c r="F880" s="56">
        <v>101</v>
      </c>
      <c r="G880" s="56">
        <v>115</v>
      </c>
      <c r="H880" s="56">
        <v>49</v>
      </c>
      <c r="I880" s="56">
        <v>85</v>
      </c>
      <c r="J880" s="56">
        <v>52</v>
      </c>
      <c r="K880" s="52">
        <f t="shared" si="42"/>
        <v>512</v>
      </c>
      <c r="L880" s="27">
        <f t="shared" si="43"/>
        <v>27</v>
      </c>
      <c r="M880" s="62">
        <f t="shared" si="41"/>
        <v>562</v>
      </c>
      <c r="N880" s="63" t="s">
        <v>17</v>
      </c>
      <c r="O880" s="26" t="s">
        <v>2243</v>
      </c>
    </row>
    <row r="881" spans="1:15">
      <c r="A881" s="56" t="s">
        <v>3117</v>
      </c>
      <c r="B881" s="56" t="s">
        <v>296</v>
      </c>
      <c r="C881" s="56" t="s">
        <v>776</v>
      </c>
      <c r="D881" s="56" t="s">
        <v>777</v>
      </c>
      <c r="E881" s="56">
        <v>94</v>
      </c>
      <c r="F881" s="56">
        <v>138</v>
      </c>
      <c r="G881" s="56">
        <v>99.5</v>
      </c>
      <c r="H881" s="56">
        <v>95</v>
      </c>
      <c r="I881" s="56">
        <v>73</v>
      </c>
      <c r="J881" s="56">
        <v>48</v>
      </c>
      <c r="K881" s="52">
        <f t="shared" si="42"/>
        <v>547.5</v>
      </c>
      <c r="L881" s="27">
        <f t="shared" si="43"/>
        <v>18</v>
      </c>
      <c r="M881" s="62">
        <f t="shared" si="41"/>
        <v>342</v>
      </c>
      <c r="N881" s="63" t="s">
        <v>16</v>
      </c>
      <c r="O881" s="26" t="s">
        <v>44</v>
      </c>
    </row>
    <row r="882" spans="1:15">
      <c r="A882" s="56" t="s">
        <v>3118</v>
      </c>
      <c r="B882" s="56" t="s">
        <v>296</v>
      </c>
      <c r="C882" s="56" t="s">
        <v>1904</v>
      </c>
      <c r="D882" s="56" t="s">
        <v>1905</v>
      </c>
      <c r="E882" s="56">
        <v>93</v>
      </c>
      <c r="F882" s="56">
        <v>54</v>
      </c>
      <c r="G882" s="56">
        <v>96</v>
      </c>
      <c r="H882" s="56">
        <v>51</v>
      </c>
      <c r="I882" s="56">
        <v>71</v>
      </c>
      <c r="J882" s="56">
        <v>59</v>
      </c>
      <c r="K882" s="52">
        <f t="shared" si="42"/>
        <v>424</v>
      </c>
      <c r="L882" s="27">
        <f t="shared" si="43"/>
        <v>53</v>
      </c>
      <c r="M882" s="62">
        <f t="shared" si="41"/>
        <v>906</v>
      </c>
      <c r="N882" s="63" t="s">
        <v>17</v>
      </c>
      <c r="O882" s="26" t="s">
        <v>2243</v>
      </c>
    </row>
    <row r="883" spans="1:15">
      <c r="A883" s="56" t="s">
        <v>3119</v>
      </c>
      <c r="B883" s="56" t="s">
        <v>296</v>
      </c>
      <c r="C883" s="56" t="s">
        <v>1710</v>
      </c>
      <c r="D883" s="56" t="s">
        <v>1711</v>
      </c>
      <c r="E883" s="56">
        <v>95</v>
      </c>
      <c r="F883" s="56">
        <v>78</v>
      </c>
      <c r="G883" s="56">
        <v>99</v>
      </c>
      <c r="H883" s="56">
        <v>58</v>
      </c>
      <c r="I883" s="56">
        <v>81</v>
      </c>
      <c r="J883" s="56">
        <v>52</v>
      </c>
      <c r="K883" s="52">
        <f t="shared" si="42"/>
        <v>463</v>
      </c>
      <c r="L883" s="27">
        <f t="shared" si="43"/>
        <v>47</v>
      </c>
      <c r="M883" s="62">
        <f t="shared" si="41"/>
        <v>808</v>
      </c>
      <c r="N883" s="63" t="s">
        <v>17</v>
      </c>
      <c r="O883" s="26" t="s">
        <v>42</v>
      </c>
    </row>
    <row r="884" spans="1:15">
      <c r="A884" s="56" t="s">
        <v>3120</v>
      </c>
      <c r="B884" s="56" t="s">
        <v>296</v>
      </c>
      <c r="C884" s="56" t="s">
        <v>685</v>
      </c>
      <c r="D884" s="56" t="s">
        <v>686</v>
      </c>
      <c r="E884" s="56">
        <v>101</v>
      </c>
      <c r="F884" s="56">
        <v>122</v>
      </c>
      <c r="G884" s="56">
        <v>115.5</v>
      </c>
      <c r="H884" s="56">
        <v>76</v>
      </c>
      <c r="I884" s="56">
        <v>79</v>
      </c>
      <c r="J884" s="56">
        <v>63</v>
      </c>
      <c r="K884" s="52">
        <f t="shared" si="42"/>
        <v>556.5</v>
      </c>
      <c r="L884" s="27">
        <f t="shared" si="43"/>
        <v>14</v>
      </c>
      <c r="M884" s="62">
        <f t="shared" si="41"/>
        <v>296</v>
      </c>
      <c r="N884" s="63" t="s">
        <v>16</v>
      </c>
      <c r="O884" s="26" t="s">
        <v>44</v>
      </c>
    </row>
    <row r="885" spans="1:15">
      <c r="A885" s="56" t="s">
        <v>3121</v>
      </c>
      <c r="B885" s="56" t="s">
        <v>296</v>
      </c>
      <c r="C885" s="56" t="s">
        <v>1104</v>
      </c>
      <c r="D885" s="56" t="s">
        <v>1105</v>
      </c>
      <c r="E885" s="56">
        <v>87</v>
      </c>
      <c r="F885" s="56">
        <v>105</v>
      </c>
      <c r="G885" s="56">
        <v>100</v>
      </c>
      <c r="H885" s="56">
        <v>82</v>
      </c>
      <c r="I885" s="56">
        <v>83</v>
      </c>
      <c r="J885" s="56">
        <v>63</v>
      </c>
      <c r="K885" s="52">
        <f t="shared" si="42"/>
        <v>520</v>
      </c>
      <c r="L885" s="27">
        <f t="shared" si="43"/>
        <v>25</v>
      </c>
      <c r="M885" s="62">
        <f t="shared" si="41"/>
        <v>504</v>
      </c>
      <c r="N885" s="63" t="s">
        <v>16</v>
      </c>
      <c r="O885" s="26" t="s">
        <v>42</v>
      </c>
    </row>
    <row r="886" spans="1:15">
      <c r="A886" s="56" t="s">
        <v>3122</v>
      </c>
      <c r="B886" s="56" t="s">
        <v>296</v>
      </c>
      <c r="C886" s="56" t="s">
        <v>478</v>
      </c>
      <c r="D886" s="56" t="s">
        <v>479</v>
      </c>
      <c r="E886" s="56">
        <v>91</v>
      </c>
      <c r="F886" s="56">
        <v>125</v>
      </c>
      <c r="G886" s="56">
        <v>118</v>
      </c>
      <c r="H886" s="56">
        <v>79</v>
      </c>
      <c r="I886" s="56">
        <v>92</v>
      </c>
      <c r="J886" s="56">
        <v>74</v>
      </c>
      <c r="K886" s="52">
        <f t="shared" si="42"/>
        <v>579</v>
      </c>
      <c r="L886" s="27">
        <f t="shared" si="43"/>
        <v>7</v>
      </c>
      <c r="M886" s="62">
        <f t="shared" si="41"/>
        <v>188</v>
      </c>
      <c r="N886" s="63" t="s">
        <v>16</v>
      </c>
      <c r="O886" s="26" t="s">
        <v>44</v>
      </c>
    </row>
    <row r="887" spans="1:15">
      <c r="A887" s="56" t="s">
        <v>3123</v>
      </c>
      <c r="B887" s="56" t="s">
        <v>296</v>
      </c>
      <c r="C887" s="56" t="s">
        <v>1216</v>
      </c>
      <c r="D887" s="56" t="s">
        <v>1217</v>
      </c>
      <c r="E887" s="56">
        <v>81</v>
      </c>
      <c r="F887" s="56">
        <v>95</v>
      </c>
      <c r="G887" s="56">
        <v>79</v>
      </c>
      <c r="H887" s="56">
        <v>81</v>
      </c>
      <c r="I887" s="56">
        <v>99</v>
      </c>
      <c r="J887" s="56">
        <v>77</v>
      </c>
      <c r="K887" s="52">
        <f t="shared" si="42"/>
        <v>512</v>
      </c>
      <c r="L887" s="27">
        <f t="shared" si="43"/>
        <v>27</v>
      </c>
      <c r="M887" s="62">
        <f t="shared" si="41"/>
        <v>562</v>
      </c>
      <c r="N887" s="63" t="s">
        <v>17</v>
      </c>
      <c r="O887" s="26" t="s">
        <v>42</v>
      </c>
    </row>
    <row r="888" spans="1:15">
      <c r="A888" s="56" t="s">
        <v>3124</v>
      </c>
      <c r="B888" s="56" t="s">
        <v>296</v>
      </c>
      <c r="C888" s="56" t="s">
        <v>514</v>
      </c>
      <c r="D888" s="56" t="s">
        <v>515</v>
      </c>
      <c r="E888" s="56">
        <v>120</v>
      </c>
      <c r="F888" s="56">
        <v>100</v>
      </c>
      <c r="G888" s="56">
        <v>122</v>
      </c>
      <c r="H888" s="56">
        <v>73</v>
      </c>
      <c r="I888" s="56">
        <v>92</v>
      </c>
      <c r="J888" s="56">
        <v>68</v>
      </c>
      <c r="K888" s="52">
        <f t="shared" si="42"/>
        <v>575</v>
      </c>
      <c r="L888" s="27">
        <f t="shared" si="43"/>
        <v>9</v>
      </c>
      <c r="M888" s="62">
        <f t="shared" si="41"/>
        <v>207</v>
      </c>
      <c r="N888" s="63" t="s">
        <v>16</v>
      </c>
      <c r="O888" s="26" t="s">
        <v>42</v>
      </c>
    </row>
    <row r="889" spans="1:15">
      <c r="A889" s="56" t="s">
        <v>3125</v>
      </c>
      <c r="B889" s="56" t="s">
        <v>296</v>
      </c>
      <c r="C889" s="56" t="s">
        <v>420</v>
      </c>
      <c r="D889" s="56" t="s">
        <v>421</v>
      </c>
      <c r="E889" s="56">
        <v>104</v>
      </c>
      <c r="F889" s="56">
        <v>124</v>
      </c>
      <c r="G889" s="56">
        <v>124.5</v>
      </c>
      <c r="H889" s="56">
        <v>76</v>
      </c>
      <c r="I889" s="56">
        <v>96</v>
      </c>
      <c r="J889" s="56">
        <v>60</v>
      </c>
      <c r="K889" s="52">
        <f t="shared" si="42"/>
        <v>584.5</v>
      </c>
      <c r="L889" s="27">
        <f t="shared" si="43"/>
        <v>6</v>
      </c>
      <c r="M889" s="62">
        <f t="shared" si="41"/>
        <v>162</v>
      </c>
      <c r="N889" s="63" t="s">
        <v>16</v>
      </c>
      <c r="O889" s="26" t="s">
        <v>42</v>
      </c>
    </row>
    <row r="890" spans="1:15">
      <c r="A890" s="56" t="s">
        <v>3126</v>
      </c>
      <c r="B890" s="56" t="s">
        <v>296</v>
      </c>
      <c r="C890" s="56" t="s">
        <v>649</v>
      </c>
      <c r="D890" s="56" t="s">
        <v>650</v>
      </c>
      <c r="E890" s="56">
        <v>111</v>
      </c>
      <c r="F890" s="56">
        <v>105</v>
      </c>
      <c r="G890" s="56">
        <v>104</v>
      </c>
      <c r="H890" s="56">
        <v>82</v>
      </c>
      <c r="I890" s="56">
        <v>86</v>
      </c>
      <c r="J890" s="56">
        <v>72</v>
      </c>
      <c r="K890" s="52">
        <f t="shared" si="42"/>
        <v>560</v>
      </c>
      <c r="L890" s="27">
        <f t="shared" si="43"/>
        <v>12</v>
      </c>
      <c r="M890" s="62">
        <f t="shared" si="41"/>
        <v>277</v>
      </c>
      <c r="N890" s="63" t="s">
        <v>16</v>
      </c>
      <c r="O890" s="26" t="s">
        <v>2243</v>
      </c>
    </row>
    <row r="891" spans="1:15">
      <c r="A891" s="56" t="s">
        <v>3127</v>
      </c>
      <c r="B891" s="56" t="s">
        <v>296</v>
      </c>
      <c r="C891" s="56" t="s">
        <v>1190</v>
      </c>
      <c r="D891" s="56" t="s">
        <v>1191</v>
      </c>
      <c r="E891" s="56">
        <v>106</v>
      </c>
      <c r="F891" s="56">
        <v>78</v>
      </c>
      <c r="G891" s="56">
        <v>126.5</v>
      </c>
      <c r="H891" s="56">
        <v>56</v>
      </c>
      <c r="I891" s="56">
        <v>79</v>
      </c>
      <c r="J891" s="56">
        <v>68</v>
      </c>
      <c r="K891" s="52">
        <f t="shared" si="42"/>
        <v>513.5</v>
      </c>
      <c r="L891" s="27">
        <f t="shared" si="43"/>
        <v>26</v>
      </c>
      <c r="M891" s="62">
        <f t="shared" si="41"/>
        <v>549</v>
      </c>
      <c r="N891" s="63" t="s">
        <v>17</v>
      </c>
      <c r="O891" s="26" t="s">
        <v>2243</v>
      </c>
    </row>
    <row r="892" spans="1:15">
      <c r="A892" s="56" t="s">
        <v>3128</v>
      </c>
      <c r="B892" s="56" t="s">
        <v>296</v>
      </c>
      <c r="C892" s="56" t="s">
        <v>1680</v>
      </c>
      <c r="D892" s="56" t="s">
        <v>1681</v>
      </c>
      <c r="E892" s="56">
        <v>96</v>
      </c>
      <c r="F892" s="56">
        <v>66</v>
      </c>
      <c r="G892" s="56">
        <v>107.5</v>
      </c>
      <c r="H892" s="56">
        <v>73</v>
      </c>
      <c r="I892" s="56">
        <v>75</v>
      </c>
      <c r="J892" s="56">
        <v>49</v>
      </c>
      <c r="K892" s="52">
        <f t="shared" si="42"/>
        <v>466.5</v>
      </c>
      <c r="L892" s="27">
        <f t="shared" si="43"/>
        <v>44</v>
      </c>
      <c r="M892" s="62">
        <f t="shared" si="41"/>
        <v>787</v>
      </c>
      <c r="N892" s="63" t="s">
        <v>17</v>
      </c>
      <c r="O892" s="26" t="s">
        <v>2243</v>
      </c>
    </row>
    <row r="893" spans="1:15">
      <c r="A893" s="56" t="s">
        <v>3129</v>
      </c>
      <c r="B893" s="56" t="s">
        <v>296</v>
      </c>
      <c r="C893" s="56" t="s">
        <v>1866</v>
      </c>
      <c r="D893" s="56" t="s">
        <v>1867</v>
      </c>
      <c r="E893" s="56">
        <v>109</v>
      </c>
      <c r="F893" s="56">
        <v>61</v>
      </c>
      <c r="G893" s="56">
        <v>108</v>
      </c>
      <c r="H893" s="56">
        <v>35</v>
      </c>
      <c r="I893" s="56">
        <v>66</v>
      </c>
      <c r="J893" s="56">
        <v>51</v>
      </c>
      <c r="K893" s="52">
        <f t="shared" si="42"/>
        <v>430</v>
      </c>
      <c r="L893" s="27">
        <f t="shared" si="43"/>
        <v>51</v>
      </c>
      <c r="M893" s="62">
        <f t="shared" si="41"/>
        <v>886</v>
      </c>
      <c r="N893" s="63" t="s">
        <v>17</v>
      </c>
      <c r="O893" s="26" t="s">
        <v>2243</v>
      </c>
    </row>
    <row r="894" spans="1:15">
      <c r="A894" s="56" t="s">
        <v>3130</v>
      </c>
      <c r="B894" s="56" t="s">
        <v>296</v>
      </c>
      <c r="C894" s="56" t="s">
        <v>980</v>
      </c>
      <c r="D894" s="56" t="s">
        <v>981</v>
      </c>
      <c r="E894" s="56">
        <v>108</v>
      </c>
      <c r="F894" s="56">
        <v>95</v>
      </c>
      <c r="G894" s="56">
        <v>113</v>
      </c>
      <c r="H894" s="56">
        <v>60</v>
      </c>
      <c r="I894" s="56">
        <v>75</v>
      </c>
      <c r="J894" s="56">
        <v>78</v>
      </c>
      <c r="K894" s="52">
        <f t="shared" si="42"/>
        <v>529</v>
      </c>
      <c r="L894" s="27">
        <f t="shared" si="43"/>
        <v>24</v>
      </c>
      <c r="M894" s="62">
        <f t="shared" si="41"/>
        <v>439</v>
      </c>
      <c r="N894" s="63" t="s">
        <v>17</v>
      </c>
      <c r="O894" s="26" t="s">
        <v>2243</v>
      </c>
    </row>
    <row r="895" spans="1:15">
      <c r="A895" s="56" t="s">
        <v>3131</v>
      </c>
      <c r="B895" s="56" t="s">
        <v>296</v>
      </c>
      <c r="C895" s="56" t="s">
        <v>1226</v>
      </c>
      <c r="D895" s="56" t="s">
        <v>1227</v>
      </c>
      <c r="E895" s="56">
        <v>99</v>
      </c>
      <c r="F895" s="56">
        <v>93</v>
      </c>
      <c r="G895" s="56">
        <v>99.5</v>
      </c>
      <c r="H895" s="56">
        <v>79</v>
      </c>
      <c r="I895" s="56">
        <v>72</v>
      </c>
      <c r="J895" s="56">
        <v>69</v>
      </c>
      <c r="K895" s="52">
        <f t="shared" si="42"/>
        <v>511.5</v>
      </c>
      <c r="L895" s="27">
        <f t="shared" si="43"/>
        <v>29</v>
      </c>
      <c r="M895" s="62">
        <f t="shared" si="41"/>
        <v>565</v>
      </c>
      <c r="N895" s="63" t="s">
        <v>17</v>
      </c>
      <c r="O895" s="26" t="s">
        <v>42</v>
      </c>
    </row>
    <row r="896" spans="1:15">
      <c r="A896" s="56" t="s">
        <v>3132</v>
      </c>
      <c r="B896" s="56" t="s">
        <v>296</v>
      </c>
      <c r="C896" s="56" t="s">
        <v>303</v>
      </c>
      <c r="D896" s="56" t="s">
        <v>304</v>
      </c>
      <c r="E896" s="56">
        <v>108</v>
      </c>
      <c r="F896" s="56">
        <v>121</v>
      </c>
      <c r="G896" s="56">
        <v>124</v>
      </c>
      <c r="H896" s="56">
        <v>78</v>
      </c>
      <c r="I896" s="56">
        <v>92</v>
      </c>
      <c r="J896" s="56">
        <v>77</v>
      </c>
      <c r="K896" s="52">
        <f t="shared" si="42"/>
        <v>600</v>
      </c>
      <c r="L896" s="27">
        <f t="shared" si="43"/>
        <v>2</v>
      </c>
      <c r="M896" s="62">
        <f t="shared" si="41"/>
        <v>101</v>
      </c>
      <c r="N896" s="63" t="s">
        <v>16</v>
      </c>
      <c r="O896" s="26" t="s">
        <v>44</v>
      </c>
    </row>
    <row r="897" spans="1:15">
      <c r="A897" s="56" t="s">
        <v>3133</v>
      </c>
      <c r="B897" s="56" t="s">
        <v>203</v>
      </c>
      <c r="C897" s="56" t="s">
        <v>1902</v>
      </c>
      <c r="D897" s="56" t="s">
        <v>1903</v>
      </c>
      <c r="E897" s="56">
        <v>100</v>
      </c>
      <c r="F897" s="56">
        <v>80</v>
      </c>
      <c r="G897" s="56">
        <v>103.5</v>
      </c>
      <c r="H897" s="56">
        <v>50</v>
      </c>
      <c r="I897" s="56">
        <v>66</v>
      </c>
      <c r="J897" s="56">
        <v>25</v>
      </c>
      <c r="K897" s="52">
        <f t="shared" si="42"/>
        <v>424.5</v>
      </c>
      <c r="L897" s="27">
        <f>RANK(K897,$K$897:$K$953)</f>
        <v>54</v>
      </c>
      <c r="M897" s="62">
        <f t="shared" si="41"/>
        <v>904</v>
      </c>
      <c r="N897" s="63" t="s">
        <v>17</v>
      </c>
      <c r="O897" s="26" t="s">
        <v>44</v>
      </c>
    </row>
    <row r="898" spans="1:15">
      <c r="A898" s="56" t="s">
        <v>3134</v>
      </c>
      <c r="B898" s="56" t="s">
        <v>203</v>
      </c>
      <c r="C898" s="56" t="s">
        <v>1290</v>
      </c>
      <c r="D898" s="56" t="s">
        <v>1291</v>
      </c>
      <c r="E898" s="56">
        <v>96</v>
      </c>
      <c r="F898" s="56">
        <v>105</v>
      </c>
      <c r="G898" s="56">
        <v>96.5</v>
      </c>
      <c r="H898" s="56">
        <v>84</v>
      </c>
      <c r="I898" s="56">
        <v>56</v>
      </c>
      <c r="J898" s="56">
        <v>69</v>
      </c>
      <c r="K898" s="52">
        <f t="shared" si="42"/>
        <v>506.5</v>
      </c>
      <c r="L898" s="27">
        <f t="shared" ref="L898:L953" si="44">RANK(K898,$K$897:$K$953)</f>
        <v>30</v>
      </c>
      <c r="M898" s="62">
        <f t="shared" si="41"/>
        <v>598</v>
      </c>
      <c r="N898" s="63" t="s">
        <v>16</v>
      </c>
      <c r="O898" s="26" t="s">
        <v>44</v>
      </c>
    </row>
    <row r="899" spans="1:15">
      <c r="A899" s="56" t="s">
        <v>3135</v>
      </c>
      <c r="B899" s="56" t="s">
        <v>203</v>
      </c>
      <c r="C899" s="56" t="s">
        <v>1112</v>
      </c>
      <c r="D899" s="56" t="s">
        <v>1113</v>
      </c>
      <c r="E899" s="56">
        <v>120</v>
      </c>
      <c r="F899" s="56">
        <v>87</v>
      </c>
      <c r="G899" s="56">
        <v>99</v>
      </c>
      <c r="H899" s="56">
        <v>48</v>
      </c>
      <c r="I899" s="56">
        <v>91</v>
      </c>
      <c r="J899" s="56">
        <v>74</v>
      </c>
      <c r="K899" s="52">
        <f t="shared" si="42"/>
        <v>519</v>
      </c>
      <c r="L899" s="27">
        <f t="shared" si="44"/>
        <v>23</v>
      </c>
      <c r="M899" s="62">
        <f t="shared" ref="M899:M953" si="45">RANK(K899,$K$3:$K$953)</f>
        <v>509</v>
      </c>
      <c r="N899" s="63" t="s">
        <v>16</v>
      </c>
      <c r="O899" s="26" t="s">
        <v>2243</v>
      </c>
    </row>
    <row r="900" spans="1:15">
      <c r="A900" s="56" t="s">
        <v>3136</v>
      </c>
      <c r="B900" s="56" t="s">
        <v>203</v>
      </c>
      <c r="C900" s="56" t="s">
        <v>1540</v>
      </c>
      <c r="D900" s="56" t="s">
        <v>1541</v>
      </c>
      <c r="E900" s="56">
        <v>104</v>
      </c>
      <c r="F900" s="56">
        <v>70</v>
      </c>
      <c r="G900" s="56">
        <v>99</v>
      </c>
      <c r="H900" s="56">
        <v>65</v>
      </c>
      <c r="I900" s="56">
        <v>88</v>
      </c>
      <c r="J900" s="56">
        <v>57</v>
      </c>
      <c r="K900" s="52">
        <f t="shared" ref="K900:K963" si="46">SUM(E900:J900)</f>
        <v>483</v>
      </c>
      <c r="L900" s="27">
        <f t="shared" si="44"/>
        <v>39</v>
      </c>
      <c r="M900" s="62">
        <f t="shared" si="45"/>
        <v>724</v>
      </c>
      <c r="N900" s="63" t="s">
        <v>17</v>
      </c>
      <c r="O900" s="26" t="s">
        <v>2243</v>
      </c>
    </row>
    <row r="901" spans="1:15">
      <c r="A901" s="56" t="s">
        <v>3137</v>
      </c>
      <c r="B901" s="56" t="s">
        <v>203</v>
      </c>
      <c r="C901" s="56" t="s">
        <v>1853</v>
      </c>
      <c r="D901" s="56" t="s">
        <v>39</v>
      </c>
      <c r="E901" s="56">
        <v>106</v>
      </c>
      <c r="F901" s="56">
        <v>70</v>
      </c>
      <c r="G901" s="56">
        <v>113</v>
      </c>
      <c r="H901" s="56">
        <v>49</v>
      </c>
      <c r="I901" s="56">
        <v>62</v>
      </c>
      <c r="J901" s="56">
        <v>34</v>
      </c>
      <c r="K901" s="52">
        <f t="shared" si="46"/>
        <v>434</v>
      </c>
      <c r="L901" s="27">
        <f t="shared" si="44"/>
        <v>51</v>
      </c>
      <c r="M901" s="62">
        <f t="shared" si="45"/>
        <v>880</v>
      </c>
      <c r="N901" s="63" t="s">
        <v>17</v>
      </c>
      <c r="O901" s="26" t="s">
        <v>2243</v>
      </c>
    </row>
    <row r="902" spans="1:15">
      <c r="A902" s="56" t="s">
        <v>3138</v>
      </c>
      <c r="B902" s="56" t="s">
        <v>203</v>
      </c>
      <c r="C902" s="56" t="s">
        <v>1740</v>
      </c>
      <c r="D902" s="56" t="s">
        <v>1741</v>
      </c>
      <c r="E902" s="56">
        <v>99</v>
      </c>
      <c r="F902" s="56">
        <v>80</v>
      </c>
      <c r="G902" s="56">
        <v>74</v>
      </c>
      <c r="H902" s="56">
        <v>60</v>
      </c>
      <c r="I902" s="56">
        <v>79</v>
      </c>
      <c r="J902" s="56">
        <v>66</v>
      </c>
      <c r="K902" s="52">
        <f t="shared" si="46"/>
        <v>458</v>
      </c>
      <c r="L902" s="27">
        <f t="shared" si="44"/>
        <v>46</v>
      </c>
      <c r="M902" s="62">
        <f t="shared" si="45"/>
        <v>823</v>
      </c>
      <c r="N902" s="63" t="s">
        <v>17</v>
      </c>
      <c r="O902" s="26" t="s">
        <v>2243</v>
      </c>
    </row>
    <row r="903" spans="1:15">
      <c r="A903" s="56" t="s">
        <v>3139</v>
      </c>
      <c r="B903" s="56" t="s">
        <v>203</v>
      </c>
      <c r="C903" s="56" t="s">
        <v>1780</v>
      </c>
      <c r="D903" s="56" t="s">
        <v>1781</v>
      </c>
      <c r="E903" s="56">
        <v>104</v>
      </c>
      <c r="F903" s="56">
        <v>60</v>
      </c>
      <c r="G903" s="56">
        <v>92</v>
      </c>
      <c r="H903" s="56">
        <v>56</v>
      </c>
      <c r="I903" s="56">
        <v>67</v>
      </c>
      <c r="J903" s="56">
        <v>70</v>
      </c>
      <c r="K903" s="52">
        <f t="shared" si="46"/>
        <v>449</v>
      </c>
      <c r="L903" s="27">
        <f t="shared" si="44"/>
        <v>48</v>
      </c>
      <c r="M903" s="62">
        <f t="shared" si="45"/>
        <v>843</v>
      </c>
      <c r="N903" s="63" t="s">
        <v>17</v>
      </c>
      <c r="O903" s="26" t="s">
        <v>2243</v>
      </c>
    </row>
    <row r="904" spans="1:15">
      <c r="A904" s="56" t="s">
        <v>3140</v>
      </c>
      <c r="B904" s="56" t="s">
        <v>203</v>
      </c>
      <c r="C904" s="56" t="s">
        <v>1392</v>
      </c>
      <c r="D904" s="56" t="s">
        <v>1393</v>
      </c>
      <c r="E904" s="56">
        <v>107</v>
      </c>
      <c r="F904" s="56">
        <v>81</v>
      </c>
      <c r="G904" s="56">
        <v>112.5</v>
      </c>
      <c r="H904" s="56">
        <v>55</v>
      </c>
      <c r="I904" s="56">
        <v>83</v>
      </c>
      <c r="J904" s="56">
        <v>60</v>
      </c>
      <c r="K904" s="52">
        <f t="shared" si="46"/>
        <v>498.5</v>
      </c>
      <c r="L904" s="27">
        <f t="shared" si="44"/>
        <v>32</v>
      </c>
      <c r="M904" s="62">
        <f t="shared" si="45"/>
        <v>649</v>
      </c>
      <c r="N904" s="63" t="s">
        <v>16</v>
      </c>
      <c r="O904" s="26" t="s">
        <v>2243</v>
      </c>
    </row>
    <row r="905" spans="1:15">
      <c r="A905" s="56" t="s">
        <v>3141</v>
      </c>
      <c r="B905" s="56" t="s">
        <v>203</v>
      </c>
      <c r="C905" s="56" t="s">
        <v>1580</v>
      </c>
      <c r="D905" s="56" t="s">
        <v>1581</v>
      </c>
      <c r="E905" s="56">
        <v>108</v>
      </c>
      <c r="F905" s="56">
        <v>78</v>
      </c>
      <c r="G905" s="56">
        <v>92</v>
      </c>
      <c r="H905" s="56">
        <v>66</v>
      </c>
      <c r="I905" s="56">
        <v>77</v>
      </c>
      <c r="J905" s="56">
        <v>57</v>
      </c>
      <c r="K905" s="52">
        <f t="shared" si="46"/>
        <v>478</v>
      </c>
      <c r="L905" s="27">
        <f t="shared" si="44"/>
        <v>41</v>
      </c>
      <c r="M905" s="62">
        <f t="shared" si="45"/>
        <v>744</v>
      </c>
      <c r="N905" s="63" t="s">
        <v>17</v>
      </c>
      <c r="O905" s="26" t="s">
        <v>42</v>
      </c>
    </row>
    <row r="906" spans="1:15">
      <c r="A906" s="56" t="s">
        <v>3142</v>
      </c>
      <c r="B906" s="56" t="s">
        <v>203</v>
      </c>
      <c r="C906" s="56" t="s">
        <v>446</v>
      </c>
      <c r="D906" s="56" t="s">
        <v>447</v>
      </c>
      <c r="E906" s="56">
        <v>108</v>
      </c>
      <c r="F906" s="56">
        <v>115</v>
      </c>
      <c r="G906" s="56">
        <v>123</v>
      </c>
      <c r="H906" s="56">
        <v>76</v>
      </c>
      <c r="I906" s="56">
        <v>82</v>
      </c>
      <c r="J906" s="56">
        <v>77</v>
      </c>
      <c r="K906" s="52">
        <f t="shared" si="46"/>
        <v>581</v>
      </c>
      <c r="L906" s="27">
        <f t="shared" si="44"/>
        <v>10</v>
      </c>
      <c r="M906" s="62">
        <f t="shared" si="45"/>
        <v>175</v>
      </c>
      <c r="N906" s="63" t="s">
        <v>17</v>
      </c>
      <c r="O906" s="26" t="s">
        <v>2243</v>
      </c>
    </row>
    <row r="907" spans="1:15">
      <c r="A907" s="56" t="s">
        <v>3143</v>
      </c>
      <c r="B907" s="56" t="s">
        <v>203</v>
      </c>
      <c r="C907" s="56" t="s">
        <v>1912</v>
      </c>
      <c r="D907" s="56" t="s">
        <v>1913</v>
      </c>
      <c r="E907" s="56">
        <v>105</v>
      </c>
      <c r="F907" s="56">
        <v>53</v>
      </c>
      <c r="G907" s="56">
        <v>97.5</v>
      </c>
      <c r="H907" s="56">
        <v>50</v>
      </c>
      <c r="I907" s="56">
        <v>69</v>
      </c>
      <c r="J907" s="56">
        <v>47</v>
      </c>
      <c r="K907" s="52">
        <f t="shared" si="46"/>
        <v>421.5</v>
      </c>
      <c r="L907" s="27">
        <f t="shared" si="44"/>
        <v>55</v>
      </c>
      <c r="M907" s="62">
        <f t="shared" si="45"/>
        <v>910</v>
      </c>
      <c r="N907" s="63" t="s">
        <v>16</v>
      </c>
      <c r="O907" s="26" t="s">
        <v>2243</v>
      </c>
    </row>
    <row r="908" spans="1:15">
      <c r="A908" s="56" t="s">
        <v>3144</v>
      </c>
      <c r="B908" s="56" t="s">
        <v>203</v>
      </c>
      <c r="C908" s="56" t="s">
        <v>862</v>
      </c>
      <c r="D908" s="56" t="s">
        <v>863</v>
      </c>
      <c r="E908" s="56">
        <v>113</v>
      </c>
      <c r="F908" s="56">
        <v>95</v>
      </c>
      <c r="G908" s="56">
        <v>116.5</v>
      </c>
      <c r="H908" s="56">
        <v>60</v>
      </c>
      <c r="I908" s="56">
        <v>92</v>
      </c>
      <c r="J908" s="56">
        <v>63</v>
      </c>
      <c r="K908" s="52">
        <f t="shared" si="46"/>
        <v>539.5</v>
      </c>
      <c r="L908" s="27">
        <f t="shared" si="44"/>
        <v>19</v>
      </c>
      <c r="M908" s="62">
        <f t="shared" si="45"/>
        <v>383</v>
      </c>
      <c r="N908" s="63" t="s">
        <v>16</v>
      </c>
      <c r="O908" s="26" t="s">
        <v>44</v>
      </c>
    </row>
    <row r="909" spans="1:15">
      <c r="A909" s="56" t="s">
        <v>3145</v>
      </c>
      <c r="B909" s="56" t="s">
        <v>203</v>
      </c>
      <c r="C909" s="56" t="s">
        <v>892</v>
      </c>
      <c r="D909" s="56" t="s">
        <v>893</v>
      </c>
      <c r="E909" s="56">
        <v>108</v>
      </c>
      <c r="F909" s="56">
        <v>113</v>
      </c>
      <c r="G909" s="56">
        <v>117</v>
      </c>
      <c r="H909" s="56">
        <v>61</v>
      </c>
      <c r="I909" s="56">
        <v>74</v>
      </c>
      <c r="J909" s="56">
        <v>64</v>
      </c>
      <c r="K909" s="52">
        <f t="shared" si="46"/>
        <v>537</v>
      </c>
      <c r="L909" s="27">
        <f t="shared" si="44"/>
        <v>20</v>
      </c>
      <c r="M909" s="62">
        <f t="shared" si="45"/>
        <v>400</v>
      </c>
      <c r="N909" s="63" t="s">
        <v>16</v>
      </c>
      <c r="O909" s="26" t="s">
        <v>44</v>
      </c>
    </row>
    <row r="910" spans="1:15">
      <c r="A910" s="56" t="s">
        <v>3146</v>
      </c>
      <c r="B910" s="56" t="s">
        <v>203</v>
      </c>
      <c r="C910" s="56" t="s">
        <v>1314</v>
      </c>
      <c r="D910" s="56" t="s">
        <v>1315</v>
      </c>
      <c r="E910" s="56">
        <v>107</v>
      </c>
      <c r="F910" s="56">
        <v>69</v>
      </c>
      <c r="G910" s="56">
        <v>112</v>
      </c>
      <c r="H910" s="56">
        <v>68</v>
      </c>
      <c r="I910" s="56">
        <v>79</v>
      </c>
      <c r="J910" s="56">
        <v>70</v>
      </c>
      <c r="K910" s="52">
        <f t="shared" si="46"/>
        <v>505</v>
      </c>
      <c r="L910" s="27">
        <f t="shared" si="44"/>
        <v>31</v>
      </c>
      <c r="M910" s="62">
        <f t="shared" si="45"/>
        <v>606</v>
      </c>
      <c r="N910" s="63" t="s">
        <v>16</v>
      </c>
      <c r="O910" s="26" t="s">
        <v>42</v>
      </c>
    </row>
    <row r="911" spans="1:15">
      <c r="A911" s="56" t="s">
        <v>3147</v>
      </c>
      <c r="B911" s="56" t="s">
        <v>203</v>
      </c>
      <c r="C911" s="56" t="s">
        <v>764</v>
      </c>
      <c r="D911" s="56" t="s">
        <v>765</v>
      </c>
      <c r="E911" s="56">
        <v>107</v>
      </c>
      <c r="F911" s="56">
        <v>111</v>
      </c>
      <c r="G911" s="56">
        <v>105.5</v>
      </c>
      <c r="H911" s="56">
        <v>70</v>
      </c>
      <c r="I911" s="56">
        <v>90</v>
      </c>
      <c r="J911" s="56">
        <v>66</v>
      </c>
      <c r="K911" s="52">
        <f t="shared" si="46"/>
        <v>549.5</v>
      </c>
      <c r="L911" s="27">
        <f t="shared" si="44"/>
        <v>16</v>
      </c>
      <c r="M911" s="62">
        <f t="shared" si="45"/>
        <v>335</v>
      </c>
      <c r="N911" s="63" t="s">
        <v>16</v>
      </c>
      <c r="O911" s="26" t="s">
        <v>44</v>
      </c>
    </row>
    <row r="912" spans="1:15">
      <c r="A912" s="56" t="s">
        <v>3148</v>
      </c>
      <c r="B912" s="56" t="s">
        <v>203</v>
      </c>
      <c r="C912" s="56" t="s">
        <v>1224</v>
      </c>
      <c r="D912" s="56" t="s">
        <v>1225</v>
      </c>
      <c r="E912" s="56">
        <v>95</v>
      </c>
      <c r="F912" s="56">
        <v>88</v>
      </c>
      <c r="G912" s="56">
        <v>93.5</v>
      </c>
      <c r="H912" s="56">
        <v>81</v>
      </c>
      <c r="I912" s="56">
        <v>85</v>
      </c>
      <c r="J912" s="56">
        <v>69</v>
      </c>
      <c r="K912" s="52">
        <f t="shared" si="46"/>
        <v>511.5</v>
      </c>
      <c r="L912" s="27">
        <f t="shared" si="44"/>
        <v>27</v>
      </c>
      <c r="M912" s="62">
        <f t="shared" si="45"/>
        <v>565</v>
      </c>
      <c r="N912" s="63" t="s">
        <v>17</v>
      </c>
      <c r="O912" s="26" t="s">
        <v>2243</v>
      </c>
    </row>
    <row r="913" spans="1:15">
      <c r="A913" s="56" t="s">
        <v>3149</v>
      </c>
      <c r="B913" s="56" t="s">
        <v>203</v>
      </c>
      <c r="C913" s="56" t="s">
        <v>1878</v>
      </c>
      <c r="D913" s="56" t="s">
        <v>1879</v>
      </c>
      <c r="E913" s="56">
        <v>110</v>
      </c>
      <c r="F913" s="56">
        <v>70</v>
      </c>
      <c r="G913" s="56">
        <v>96</v>
      </c>
      <c r="H913" s="56">
        <v>53</v>
      </c>
      <c r="I913" s="56">
        <v>57</v>
      </c>
      <c r="J913" s="56">
        <v>43</v>
      </c>
      <c r="K913" s="52">
        <f t="shared" si="46"/>
        <v>429</v>
      </c>
      <c r="L913" s="27">
        <f t="shared" si="44"/>
        <v>52</v>
      </c>
      <c r="M913" s="62">
        <f t="shared" si="45"/>
        <v>892</v>
      </c>
      <c r="N913" s="63" t="s">
        <v>17</v>
      </c>
      <c r="O913" s="26" t="s">
        <v>2243</v>
      </c>
    </row>
    <row r="914" spans="1:15">
      <c r="A914" s="56" t="s">
        <v>3150</v>
      </c>
      <c r="B914" s="56" t="s">
        <v>203</v>
      </c>
      <c r="C914" s="56" t="s">
        <v>358</v>
      </c>
      <c r="D914" s="56" t="s">
        <v>359</v>
      </c>
      <c r="E914" s="56">
        <v>114</v>
      </c>
      <c r="F914" s="56">
        <v>115</v>
      </c>
      <c r="G914" s="56">
        <v>118</v>
      </c>
      <c r="H914" s="56">
        <v>71</v>
      </c>
      <c r="I914" s="56">
        <v>92</v>
      </c>
      <c r="J914" s="56">
        <v>82</v>
      </c>
      <c r="K914" s="52">
        <f t="shared" si="46"/>
        <v>592</v>
      </c>
      <c r="L914" s="27">
        <f t="shared" si="44"/>
        <v>7</v>
      </c>
      <c r="M914" s="62">
        <f t="shared" si="45"/>
        <v>128</v>
      </c>
      <c r="N914" s="63" t="s">
        <v>16</v>
      </c>
      <c r="O914" s="26" t="s">
        <v>42</v>
      </c>
    </row>
    <row r="915" spans="1:15">
      <c r="A915" s="56" t="s">
        <v>3151</v>
      </c>
      <c r="B915" s="56" t="s">
        <v>203</v>
      </c>
      <c r="C915" s="56" t="s">
        <v>603</v>
      </c>
      <c r="D915" s="56" t="s">
        <v>604</v>
      </c>
      <c r="E915" s="56">
        <v>108</v>
      </c>
      <c r="F915" s="56">
        <v>118</v>
      </c>
      <c r="G915" s="56">
        <v>119.5</v>
      </c>
      <c r="H915" s="56">
        <v>69</v>
      </c>
      <c r="I915" s="56">
        <v>79</v>
      </c>
      <c r="J915" s="56">
        <v>72</v>
      </c>
      <c r="K915" s="52">
        <f t="shared" si="46"/>
        <v>565.5</v>
      </c>
      <c r="L915" s="27">
        <f t="shared" si="44"/>
        <v>13</v>
      </c>
      <c r="M915" s="62">
        <f t="shared" si="45"/>
        <v>253</v>
      </c>
      <c r="N915" s="63" t="s">
        <v>16</v>
      </c>
      <c r="O915" s="26" t="s">
        <v>42</v>
      </c>
    </row>
    <row r="916" spans="1:15">
      <c r="A916" s="56" t="s">
        <v>3152</v>
      </c>
      <c r="B916" s="56" t="s">
        <v>203</v>
      </c>
      <c r="C916" s="56" t="s">
        <v>1810</v>
      </c>
      <c r="D916" s="56" t="s">
        <v>1811</v>
      </c>
      <c r="E916" s="56">
        <v>100</v>
      </c>
      <c r="F916" s="56">
        <v>76</v>
      </c>
      <c r="G916" s="56">
        <v>101</v>
      </c>
      <c r="H916" s="56">
        <v>45</v>
      </c>
      <c r="I916" s="56">
        <v>71</v>
      </c>
      <c r="J916" s="56">
        <v>50</v>
      </c>
      <c r="K916" s="52">
        <f t="shared" si="46"/>
        <v>443</v>
      </c>
      <c r="L916" s="27">
        <f t="shared" si="44"/>
        <v>50</v>
      </c>
      <c r="M916" s="62">
        <f t="shared" si="45"/>
        <v>858</v>
      </c>
      <c r="N916" s="63" t="s">
        <v>17</v>
      </c>
      <c r="O916" s="26" t="s">
        <v>42</v>
      </c>
    </row>
    <row r="917" spans="1:15">
      <c r="A917" s="56" t="s">
        <v>3153</v>
      </c>
      <c r="B917" s="56" t="s">
        <v>203</v>
      </c>
      <c r="C917" s="56" t="s">
        <v>1124</v>
      </c>
      <c r="D917" s="56" t="s">
        <v>1125</v>
      </c>
      <c r="E917" s="56">
        <v>101</v>
      </c>
      <c r="F917" s="56">
        <v>84</v>
      </c>
      <c r="G917" s="56">
        <v>88</v>
      </c>
      <c r="H917" s="56">
        <v>78</v>
      </c>
      <c r="I917" s="56">
        <v>85</v>
      </c>
      <c r="J917" s="56">
        <v>82</v>
      </c>
      <c r="K917" s="52">
        <f t="shared" si="46"/>
        <v>518</v>
      </c>
      <c r="L917" s="27">
        <f t="shared" si="44"/>
        <v>24</v>
      </c>
      <c r="M917" s="62">
        <f t="shared" si="45"/>
        <v>516</v>
      </c>
      <c r="N917" s="63" t="s">
        <v>17</v>
      </c>
      <c r="O917" s="26" t="s">
        <v>42</v>
      </c>
    </row>
    <row r="918" spans="1:15">
      <c r="A918" s="56" t="s">
        <v>3154</v>
      </c>
      <c r="B918" s="56" t="s">
        <v>203</v>
      </c>
      <c r="C918" s="56" t="s">
        <v>1788</v>
      </c>
      <c r="D918" s="56" t="s">
        <v>1789</v>
      </c>
      <c r="E918" s="56">
        <v>100</v>
      </c>
      <c r="F918" s="56">
        <v>70</v>
      </c>
      <c r="G918" s="56">
        <v>105</v>
      </c>
      <c r="H918" s="56">
        <v>50</v>
      </c>
      <c r="I918" s="56">
        <v>59</v>
      </c>
      <c r="J918" s="56">
        <v>64</v>
      </c>
      <c r="K918" s="52">
        <f t="shared" si="46"/>
        <v>448</v>
      </c>
      <c r="L918" s="27">
        <f t="shared" si="44"/>
        <v>49</v>
      </c>
      <c r="M918" s="62">
        <f t="shared" si="45"/>
        <v>846</v>
      </c>
      <c r="N918" s="63" t="s">
        <v>17</v>
      </c>
      <c r="O918" s="26" t="s">
        <v>2243</v>
      </c>
    </row>
    <row r="919" spans="1:15">
      <c r="A919" s="56" t="s">
        <v>3155</v>
      </c>
      <c r="B919" s="56" t="s">
        <v>203</v>
      </c>
      <c r="C919" s="56" t="s">
        <v>245</v>
      </c>
      <c r="D919" s="56" t="s">
        <v>246</v>
      </c>
      <c r="E919" s="56">
        <v>110</v>
      </c>
      <c r="F919" s="56">
        <v>140</v>
      </c>
      <c r="G919" s="56">
        <v>134.5</v>
      </c>
      <c r="H919" s="56">
        <v>79</v>
      </c>
      <c r="I919" s="56">
        <v>81</v>
      </c>
      <c r="J919" s="56">
        <v>65</v>
      </c>
      <c r="K919" s="52">
        <f t="shared" si="46"/>
        <v>609.5</v>
      </c>
      <c r="L919" s="27">
        <f t="shared" si="44"/>
        <v>3</v>
      </c>
      <c r="M919" s="62">
        <f t="shared" si="45"/>
        <v>74</v>
      </c>
      <c r="N919" s="63" t="s">
        <v>16</v>
      </c>
      <c r="O919" s="26" t="s">
        <v>2243</v>
      </c>
    </row>
    <row r="920" spans="1:15">
      <c r="A920" s="56" t="s">
        <v>3156</v>
      </c>
      <c r="B920" s="56" t="s">
        <v>203</v>
      </c>
      <c r="C920" s="56" t="s">
        <v>1012</v>
      </c>
      <c r="D920" s="56" t="s">
        <v>1013</v>
      </c>
      <c r="E920" s="56">
        <v>107</v>
      </c>
      <c r="F920" s="56">
        <v>103</v>
      </c>
      <c r="G920" s="56">
        <v>92.5</v>
      </c>
      <c r="H920" s="56">
        <v>80</v>
      </c>
      <c r="I920" s="56">
        <v>73</v>
      </c>
      <c r="J920" s="56">
        <v>71</v>
      </c>
      <c r="K920" s="52">
        <f t="shared" si="46"/>
        <v>526.5</v>
      </c>
      <c r="L920" s="27">
        <f t="shared" si="44"/>
        <v>22</v>
      </c>
      <c r="M920" s="62">
        <f t="shared" si="45"/>
        <v>459</v>
      </c>
      <c r="N920" s="63" t="s">
        <v>16</v>
      </c>
      <c r="O920" s="26" t="s">
        <v>2243</v>
      </c>
    </row>
    <row r="921" spans="1:15">
      <c r="A921" s="56" t="s">
        <v>3157</v>
      </c>
      <c r="B921" s="56" t="s">
        <v>203</v>
      </c>
      <c r="C921" s="56" t="s">
        <v>1394</v>
      </c>
      <c r="D921" s="56" t="s">
        <v>1395</v>
      </c>
      <c r="E921" s="56">
        <v>115</v>
      </c>
      <c r="F921" s="56">
        <v>79</v>
      </c>
      <c r="G921" s="56">
        <v>110</v>
      </c>
      <c r="H921" s="56">
        <v>58</v>
      </c>
      <c r="I921" s="56">
        <v>80</v>
      </c>
      <c r="J921" s="56">
        <v>56</v>
      </c>
      <c r="K921" s="52">
        <f t="shared" si="46"/>
        <v>498</v>
      </c>
      <c r="L921" s="27">
        <f t="shared" si="44"/>
        <v>33</v>
      </c>
      <c r="M921" s="62">
        <f t="shared" si="45"/>
        <v>651</v>
      </c>
      <c r="N921" s="63" t="s">
        <v>17</v>
      </c>
      <c r="O921" s="26" t="s">
        <v>2243</v>
      </c>
    </row>
    <row r="922" spans="1:15">
      <c r="A922" s="56" t="s">
        <v>3158</v>
      </c>
      <c r="B922" s="56" t="s">
        <v>203</v>
      </c>
      <c r="C922" s="56" t="s">
        <v>1518</v>
      </c>
      <c r="D922" s="56" t="s">
        <v>1519</v>
      </c>
      <c r="E922" s="56">
        <v>101</v>
      </c>
      <c r="F922" s="56">
        <v>88</v>
      </c>
      <c r="G922" s="56">
        <v>122</v>
      </c>
      <c r="H922" s="56">
        <v>51</v>
      </c>
      <c r="I922" s="56">
        <v>69</v>
      </c>
      <c r="J922" s="56">
        <v>54</v>
      </c>
      <c r="K922" s="52">
        <f t="shared" si="46"/>
        <v>485</v>
      </c>
      <c r="L922" s="27">
        <f t="shared" si="44"/>
        <v>38</v>
      </c>
      <c r="M922" s="62">
        <f t="shared" si="45"/>
        <v>711</v>
      </c>
      <c r="N922" s="63" t="s">
        <v>17</v>
      </c>
      <c r="O922" s="26" t="s">
        <v>2243</v>
      </c>
    </row>
    <row r="923" spans="1:15">
      <c r="A923" s="56" t="s">
        <v>3159</v>
      </c>
      <c r="B923" s="56" t="s">
        <v>203</v>
      </c>
      <c r="C923" s="56" t="s">
        <v>1156</v>
      </c>
      <c r="D923" s="56" t="s">
        <v>1157</v>
      </c>
      <c r="E923" s="56">
        <v>109</v>
      </c>
      <c r="F923" s="56">
        <v>85</v>
      </c>
      <c r="G923" s="56">
        <v>122.5</v>
      </c>
      <c r="H923" s="56">
        <v>47</v>
      </c>
      <c r="I923" s="56">
        <v>79</v>
      </c>
      <c r="J923" s="56">
        <v>74</v>
      </c>
      <c r="K923" s="52">
        <f t="shared" si="46"/>
        <v>516.5</v>
      </c>
      <c r="L923" s="27">
        <f t="shared" si="44"/>
        <v>25</v>
      </c>
      <c r="M923" s="62">
        <f t="shared" si="45"/>
        <v>529</v>
      </c>
      <c r="N923" s="63" t="s">
        <v>17</v>
      </c>
      <c r="O923" s="26" t="s">
        <v>2243</v>
      </c>
    </row>
    <row r="924" spans="1:15">
      <c r="A924" s="56" t="s">
        <v>3160</v>
      </c>
      <c r="B924" s="56" t="s">
        <v>203</v>
      </c>
      <c r="C924" s="56" t="s">
        <v>201</v>
      </c>
      <c r="D924" s="56" t="s">
        <v>202</v>
      </c>
      <c r="E924" s="56">
        <v>109</v>
      </c>
      <c r="F924" s="56">
        <v>124</v>
      </c>
      <c r="G924" s="56">
        <v>118.5</v>
      </c>
      <c r="H924" s="56">
        <v>91</v>
      </c>
      <c r="I924" s="56">
        <v>100</v>
      </c>
      <c r="J924" s="56">
        <v>77</v>
      </c>
      <c r="K924" s="52">
        <f t="shared" si="46"/>
        <v>619.5</v>
      </c>
      <c r="L924" s="27">
        <f t="shared" si="44"/>
        <v>1</v>
      </c>
      <c r="M924" s="62">
        <f t="shared" si="45"/>
        <v>53</v>
      </c>
      <c r="N924" s="63" t="s">
        <v>16</v>
      </c>
      <c r="O924" s="26" t="s">
        <v>42</v>
      </c>
    </row>
    <row r="925" spans="1:15">
      <c r="A925" s="56" t="s">
        <v>3161</v>
      </c>
      <c r="B925" s="56" t="s">
        <v>203</v>
      </c>
      <c r="C925" s="56" t="s">
        <v>1938</v>
      </c>
      <c r="D925" s="56" t="s">
        <v>1939</v>
      </c>
      <c r="E925" s="56">
        <v>107</v>
      </c>
      <c r="F925" s="56">
        <v>48</v>
      </c>
      <c r="G925" s="56">
        <v>105.5</v>
      </c>
      <c r="H925" s="56">
        <v>50</v>
      </c>
      <c r="I925" s="56">
        <v>62</v>
      </c>
      <c r="J925" s="56">
        <v>35</v>
      </c>
      <c r="K925" s="52">
        <f t="shared" si="46"/>
        <v>407.5</v>
      </c>
      <c r="L925" s="27">
        <f t="shared" si="44"/>
        <v>56</v>
      </c>
      <c r="M925" s="62">
        <f t="shared" si="45"/>
        <v>923</v>
      </c>
      <c r="N925" s="63" t="s">
        <v>17</v>
      </c>
      <c r="O925" s="26" t="s">
        <v>2243</v>
      </c>
    </row>
    <row r="926" spans="1:15">
      <c r="A926" s="56" t="s">
        <v>3162</v>
      </c>
      <c r="B926" s="56" t="s">
        <v>203</v>
      </c>
      <c r="C926" s="56" t="s">
        <v>553</v>
      </c>
      <c r="D926" s="56" t="s">
        <v>554</v>
      </c>
      <c r="E926" s="56">
        <v>98</v>
      </c>
      <c r="F926" s="56">
        <v>124</v>
      </c>
      <c r="G926" s="56">
        <v>85</v>
      </c>
      <c r="H926" s="56">
        <v>92</v>
      </c>
      <c r="I926" s="56">
        <v>95</v>
      </c>
      <c r="J926" s="56">
        <v>78</v>
      </c>
      <c r="K926" s="52">
        <f t="shared" si="46"/>
        <v>572</v>
      </c>
      <c r="L926" s="27">
        <f t="shared" si="44"/>
        <v>12</v>
      </c>
      <c r="M926" s="62">
        <f t="shared" si="45"/>
        <v>228</v>
      </c>
      <c r="N926" s="63" t="s">
        <v>16</v>
      </c>
      <c r="O926" s="26" t="s">
        <v>42</v>
      </c>
    </row>
    <row r="927" spans="1:15">
      <c r="A927" s="56" t="s">
        <v>3163</v>
      </c>
      <c r="B927" s="56" t="s">
        <v>203</v>
      </c>
      <c r="C927" s="56" t="s">
        <v>1598</v>
      </c>
      <c r="D927" s="56" t="s">
        <v>1599</v>
      </c>
      <c r="E927" s="56">
        <v>95</v>
      </c>
      <c r="F927" s="56">
        <v>75</v>
      </c>
      <c r="G927" s="56">
        <v>103</v>
      </c>
      <c r="H927" s="56">
        <v>72</v>
      </c>
      <c r="I927" s="56">
        <v>75</v>
      </c>
      <c r="J927" s="56">
        <v>56</v>
      </c>
      <c r="K927" s="52">
        <f t="shared" si="46"/>
        <v>476</v>
      </c>
      <c r="L927" s="27">
        <f t="shared" si="44"/>
        <v>42</v>
      </c>
      <c r="M927" s="62">
        <f t="shared" si="45"/>
        <v>753</v>
      </c>
      <c r="N927" s="63" t="s">
        <v>16</v>
      </c>
      <c r="O927" s="26" t="s">
        <v>44</v>
      </c>
    </row>
    <row r="928" spans="1:15">
      <c r="A928" s="56" t="s">
        <v>3164</v>
      </c>
      <c r="B928" s="56" t="s">
        <v>203</v>
      </c>
      <c r="C928" s="56" t="s">
        <v>412</v>
      </c>
      <c r="D928" s="56" t="s">
        <v>413</v>
      </c>
      <c r="E928" s="56">
        <v>105</v>
      </c>
      <c r="F928" s="56">
        <v>111</v>
      </c>
      <c r="G928" s="56">
        <v>111</v>
      </c>
      <c r="H928" s="56">
        <v>96</v>
      </c>
      <c r="I928" s="56">
        <v>94</v>
      </c>
      <c r="J928" s="56">
        <v>69</v>
      </c>
      <c r="K928" s="52">
        <f t="shared" si="46"/>
        <v>586</v>
      </c>
      <c r="L928" s="27">
        <f t="shared" si="44"/>
        <v>8</v>
      </c>
      <c r="M928" s="62">
        <f t="shared" si="45"/>
        <v>158</v>
      </c>
      <c r="N928" s="63" t="s">
        <v>16</v>
      </c>
      <c r="O928" s="26" t="s">
        <v>44</v>
      </c>
    </row>
    <row r="929" spans="1:15">
      <c r="A929" s="56" t="s">
        <v>3165</v>
      </c>
      <c r="B929" s="56" t="s">
        <v>203</v>
      </c>
      <c r="C929" s="56" t="s">
        <v>1892</v>
      </c>
      <c r="D929" s="56" t="s">
        <v>1893</v>
      </c>
      <c r="E929" s="56">
        <v>116</v>
      </c>
      <c r="F929" s="56">
        <v>46</v>
      </c>
      <c r="G929" s="56">
        <v>93</v>
      </c>
      <c r="H929" s="56">
        <v>52</v>
      </c>
      <c r="I929" s="56">
        <v>70</v>
      </c>
      <c r="J929" s="56">
        <v>50</v>
      </c>
      <c r="K929" s="52">
        <f t="shared" si="46"/>
        <v>427</v>
      </c>
      <c r="L929" s="27">
        <f t="shared" si="44"/>
        <v>53</v>
      </c>
      <c r="M929" s="62">
        <f t="shared" si="45"/>
        <v>900</v>
      </c>
      <c r="N929" s="63" t="s">
        <v>17</v>
      </c>
      <c r="O929" s="26" t="s">
        <v>2243</v>
      </c>
    </row>
    <row r="930" spans="1:15">
      <c r="A930" s="56" t="s">
        <v>3166</v>
      </c>
      <c r="B930" s="56" t="s">
        <v>203</v>
      </c>
      <c r="C930" s="56" t="s">
        <v>1458</v>
      </c>
      <c r="D930" s="56" t="s">
        <v>1459</v>
      </c>
      <c r="E930" s="56">
        <v>103</v>
      </c>
      <c r="F930" s="56">
        <v>83</v>
      </c>
      <c r="G930" s="56">
        <v>107.5</v>
      </c>
      <c r="H930" s="56">
        <v>50</v>
      </c>
      <c r="I930" s="56">
        <v>76</v>
      </c>
      <c r="J930" s="56">
        <v>73</v>
      </c>
      <c r="K930" s="52">
        <f t="shared" si="46"/>
        <v>492.5</v>
      </c>
      <c r="L930" s="27">
        <f t="shared" si="44"/>
        <v>36</v>
      </c>
      <c r="M930" s="62">
        <f t="shared" si="45"/>
        <v>681</v>
      </c>
      <c r="N930" s="63" t="s">
        <v>16</v>
      </c>
      <c r="O930" s="26" t="s">
        <v>2243</v>
      </c>
    </row>
    <row r="931" spans="1:15">
      <c r="A931" s="56" t="s">
        <v>3167</v>
      </c>
      <c r="B931" s="56" t="s">
        <v>203</v>
      </c>
      <c r="C931" s="56" t="s">
        <v>262</v>
      </c>
      <c r="D931" s="56" t="s">
        <v>263</v>
      </c>
      <c r="E931" s="56">
        <v>117</v>
      </c>
      <c r="F931" s="56">
        <v>127</v>
      </c>
      <c r="G931" s="56">
        <v>112</v>
      </c>
      <c r="H931" s="56">
        <v>77</v>
      </c>
      <c r="I931" s="56">
        <v>97</v>
      </c>
      <c r="J931" s="56">
        <v>78</v>
      </c>
      <c r="K931" s="52">
        <f t="shared" si="46"/>
        <v>608</v>
      </c>
      <c r="L931" s="27">
        <f t="shared" si="44"/>
        <v>4</v>
      </c>
      <c r="M931" s="62">
        <f t="shared" si="45"/>
        <v>81</v>
      </c>
      <c r="N931" s="63" t="s">
        <v>16</v>
      </c>
      <c r="O931" s="26" t="s">
        <v>2243</v>
      </c>
    </row>
    <row r="932" spans="1:15">
      <c r="A932" s="56" t="s">
        <v>3168</v>
      </c>
      <c r="B932" s="56" t="s">
        <v>203</v>
      </c>
      <c r="C932" s="56" t="s">
        <v>834</v>
      </c>
      <c r="D932" s="56" t="s">
        <v>835</v>
      </c>
      <c r="E932" s="56">
        <v>107</v>
      </c>
      <c r="F932" s="56">
        <v>94</v>
      </c>
      <c r="G932" s="56">
        <v>108</v>
      </c>
      <c r="H932" s="56">
        <v>79</v>
      </c>
      <c r="I932" s="56">
        <v>87</v>
      </c>
      <c r="J932" s="56">
        <v>67</v>
      </c>
      <c r="K932" s="52">
        <f t="shared" si="46"/>
        <v>542</v>
      </c>
      <c r="L932" s="27">
        <f t="shared" si="44"/>
        <v>18</v>
      </c>
      <c r="M932" s="62">
        <f t="shared" si="45"/>
        <v>367</v>
      </c>
      <c r="N932" s="63" t="s">
        <v>16</v>
      </c>
      <c r="O932" s="26" t="s">
        <v>44</v>
      </c>
    </row>
    <row r="933" spans="1:15">
      <c r="A933" s="56" t="s">
        <v>3169</v>
      </c>
      <c r="B933" s="56" t="s">
        <v>203</v>
      </c>
      <c r="C933" s="56" t="s">
        <v>206</v>
      </c>
      <c r="D933" s="56" t="s">
        <v>207</v>
      </c>
      <c r="E933" s="56">
        <v>127</v>
      </c>
      <c r="F933" s="56">
        <v>128</v>
      </c>
      <c r="G933" s="56">
        <v>124.5</v>
      </c>
      <c r="H933" s="56">
        <v>82</v>
      </c>
      <c r="I933" s="56">
        <v>97</v>
      </c>
      <c r="J933" s="56">
        <v>59</v>
      </c>
      <c r="K933" s="52">
        <f t="shared" si="46"/>
        <v>617.5</v>
      </c>
      <c r="L933" s="27">
        <f t="shared" si="44"/>
        <v>2</v>
      </c>
      <c r="M933" s="62">
        <f t="shared" si="45"/>
        <v>57</v>
      </c>
      <c r="N933" s="63" t="s">
        <v>16</v>
      </c>
      <c r="O933" s="26" t="s">
        <v>44</v>
      </c>
    </row>
    <row r="934" spans="1:15">
      <c r="A934" s="56" t="s">
        <v>3170</v>
      </c>
      <c r="B934" s="56" t="s">
        <v>203</v>
      </c>
      <c r="C934" s="56" t="s">
        <v>810</v>
      </c>
      <c r="D934" s="56" t="s">
        <v>811</v>
      </c>
      <c r="E934" s="56">
        <v>115</v>
      </c>
      <c r="F934" s="56">
        <v>95</v>
      </c>
      <c r="G934" s="56">
        <v>118.5</v>
      </c>
      <c r="H934" s="56">
        <v>61</v>
      </c>
      <c r="I934" s="56">
        <v>86</v>
      </c>
      <c r="J934" s="56">
        <v>69</v>
      </c>
      <c r="K934" s="52">
        <f t="shared" si="46"/>
        <v>544.5</v>
      </c>
      <c r="L934" s="27">
        <f t="shared" si="44"/>
        <v>17</v>
      </c>
      <c r="M934" s="62">
        <f t="shared" si="45"/>
        <v>358</v>
      </c>
      <c r="N934" s="63" t="s">
        <v>16</v>
      </c>
      <c r="O934" s="26" t="s">
        <v>42</v>
      </c>
    </row>
    <row r="935" spans="1:15">
      <c r="A935" s="56" t="s">
        <v>3171</v>
      </c>
      <c r="B935" s="56" t="s">
        <v>203</v>
      </c>
      <c r="C935" s="56" t="s">
        <v>1220</v>
      </c>
      <c r="D935" s="56" t="s">
        <v>1221</v>
      </c>
      <c r="E935" s="56">
        <v>107</v>
      </c>
      <c r="F935" s="56">
        <v>82</v>
      </c>
      <c r="G935" s="56">
        <v>83</v>
      </c>
      <c r="H935" s="56">
        <v>78</v>
      </c>
      <c r="I935" s="56">
        <v>87</v>
      </c>
      <c r="J935" s="56">
        <v>75</v>
      </c>
      <c r="K935" s="52">
        <f t="shared" si="46"/>
        <v>512</v>
      </c>
      <c r="L935" s="27">
        <f t="shared" si="44"/>
        <v>26</v>
      </c>
      <c r="M935" s="62">
        <f t="shared" si="45"/>
        <v>562</v>
      </c>
      <c r="N935" s="63" t="s">
        <v>16</v>
      </c>
      <c r="O935" s="26" t="s">
        <v>44</v>
      </c>
    </row>
    <row r="936" spans="1:15">
      <c r="A936" s="56" t="s">
        <v>3172</v>
      </c>
      <c r="B936" s="56" t="s">
        <v>203</v>
      </c>
      <c r="C936" s="56" t="s">
        <v>1000</v>
      </c>
      <c r="D936" s="56" t="s">
        <v>1001</v>
      </c>
      <c r="E936" s="56">
        <v>105</v>
      </c>
      <c r="F936" s="56">
        <v>71</v>
      </c>
      <c r="G936" s="56">
        <v>116</v>
      </c>
      <c r="H936" s="56">
        <v>72</v>
      </c>
      <c r="I936" s="56">
        <v>88</v>
      </c>
      <c r="J936" s="56">
        <v>76</v>
      </c>
      <c r="K936" s="52">
        <f t="shared" si="46"/>
        <v>528</v>
      </c>
      <c r="L936" s="27">
        <f t="shared" si="44"/>
        <v>21</v>
      </c>
      <c r="M936" s="62">
        <f t="shared" si="45"/>
        <v>449</v>
      </c>
      <c r="N936" s="63" t="s">
        <v>16</v>
      </c>
      <c r="O936" s="26" t="s">
        <v>2243</v>
      </c>
    </row>
    <row r="937" spans="1:15">
      <c r="A937" s="56" t="s">
        <v>3173</v>
      </c>
      <c r="B937" s="56" t="s">
        <v>203</v>
      </c>
      <c r="C937" s="56" t="s">
        <v>1456</v>
      </c>
      <c r="D937" s="56" t="s">
        <v>1457</v>
      </c>
      <c r="E937" s="56">
        <v>112</v>
      </c>
      <c r="F937" s="56">
        <v>64</v>
      </c>
      <c r="G937" s="56">
        <v>94.5</v>
      </c>
      <c r="H937" s="56">
        <v>79</v>
      </c>
      <c r="I937" s="56">
        <v>72</v>
      </c>
      <c r="J937" s="56">
        <v>71</v>
      </c>
      <c r="K937" s="52">
        <f t="shared" si="46"/>
        <v>492.5</v>
      </c>
      <c r="L937" s="27">
        <f t="shared" si="44"/>
        <v>36</v>
      </c>
      <c r="M937" s="62">
        <f t="shared" si="45"/>
        <v>681</v>
      </c>
      <c r="N937" s="63" t="s">
        <v>17</v>
      </c>
      <c r="O937" s="26" t="s">
        <v>2243</v>
      </c>
    </row>
    <row r="938" spans="1:15">
      <c r="A938" s="56" t="s">
        <v>3174</v>
      </c>
      <c r="B938" s="56" t="s">
        <v>203</v>
      </c>
      <c r="C938" s="56" t="s">
        <v>1572</v>
      </c>
      <c r="D938" s="56" t="s">
        <v>1573</v>
      </c>
      <c r="E938" s="56">
        <v>95</v>
      </c>
      <c r="F938" s="56">
        <v>76</v>
      </c>
      <c r="G938" s="56">
        <v>87.5</v>
      </c>
      <c r="H938" s="56">
        <v>75</v>
      </c>
      <c r="I938" s="56">
        <v>84</v>
      </c>
      <c r="J938" s="56">
        <v>62</v>
      </c>
      <c r="K938" s="52">
        <f t="shared" si="46"/>
        <v>479.5</v>
      </c>
      <c r="L938" s="27">
        <f t="shared" si="44"/>
        <v>40</v>
      </c>
      <c r="M938" s="62">
        <f t="shared" si="45"/>
        <v>740</v>
      </c>
      <c r="N938" s="63" t="s">
        <v>17</v>
      </c>
      <c r="O938" s="26" t="s">
        <v>2243</v>
      </c>
    </row>
    <row r="939" spans="1:15">
      <c r="A939" s="56" t="s">
        <v>3175</v>
      </c>
      <c r="B939" s="56" t="s">
        <v>203</v>
      </c>
      <c r="C939" s="56" t="s">
        <v>426</v>
      </c>
      <c r="D939" s="56" t="s">
        <v>427</v>
      </c>
      <c r="E939" s="56">
        <v>108</v>
      </c>
      <c r="F939" s="56">
        <v>129</v>
      </c>
      <c r="G939" s="56">
        <v>120</v>
      </c>
      <c r="H939" s="56">
        <v>85</v>
      </c>
      <c r="I939" s="56">
        <v>75</v>
      </c>
      <c r="J939" s="56">
        <v>67</v>
      </c>
      <c r="K939" s="52">
        <f t="shared" si="46"/>
        <v>584</v>
      </c>
      <c r="L939" s="27">
        <f t="shared" si="44"/>
        <v>9</v>
      </c>
      <c r="M939" s="62">
        <f t="shared" si="45"/>
        <v>164</v>
      </c>
      <c r="N939" s="63" t="s">
        <v>16</v>
      </c>
      <c r="O939" s="26" t="s">
        <v>44</v>
      </c>
    </row>
    <row r="940" spans="1:15">
      <c r="A940" s="56" t="s">
        <v>3176</v>
      </c>
      <c r="B940" s="56" t="s">
        <v>203</v>
      </c>
      <c r="C940" s="56" t="s">
        <v>492</v>
      </c>
      <c r="D940" s="56" t="s">
        <v>493</v>
      </c>
      <c r="E940" s="56">
        <v>111</v>
      </c>
      <c r="F940" s="56">
        <v>118</v>
      </c>
      <c r="G940" s="56">
        <v>102</v>
      </c>
      <c r="H940" s="56">
        <v>73</v>
      </c>
      <c r="I940" s="56">
        <v>90</v>
      </c>
      <c r="J940" s="56">
        <v>83</v>
      </c>
      <c r="K940" s="52">
        <f t="shared" si="46"/>
        <v>577</v>
      </c>
      <c r="L940" s="27">
        <f t="shared" si="44"/>
        <v>11</v>
      </c>
      <c r="M940" s="62">
        <f t="shared" si="45"/>
        <v>197</v>
      </c>
      <c r="N940" s="63" t="s">
        <v>16</v>
      </c>
      <c r="O940" s="26" t="s">
        <v>2243</v>
      </c>
    </row>
    <row r="941" spans="1:15">
      <c r="A941" s="56" t="s">
        <v>3177</v>
      </c>
      <c r="B941" s="56" t="s">
        <v>203</v>
      </c>
      <c r="C941" s="56" t="s">
        <v>1618</v>
      </c>
      <c r="D941" s="56" t="s">
        <v>1619</v>
      </c>
      <c r="E941" s="56">
        <v>96</v>
      </c>
      <c r="F941" s="56">
        <v>79</v>
      </c>
      <c r="G941" s="56">
        <v>98.5</v>
      </c>
      <c r="H941" s="56">
        <v>72</v>
      </c>
      <c r="I941" s="56">
        <v>77</v>
      </c>
      <c r="J941" s="56">
        <v>52</v>
      </c>
      <c r="K941" s="52">
        <f t="shared" si="46"/>
        <v>474.5</v>
      </c>
      <c r="L941" s="27">
        <f t="shared" si="44"/>
        <v>43</v>
      </c>
      <c r="M941" s="62">
        <f t="shared" si="45"/>
        <v>762</v>
      </c>
      <c r="N941" s="63" t="s">
        <v>17</v>
      </c>
      <c r="O941" s="26" t="s">
        <v>2243</v>
      </c>
    </row>
    <row r="942" spans="1:15">
      <c r="A942" s="56" t="s">
        <v>3178</v>
      </c>
      <c r="B942" s="56" t="s">
        <v>203</v>
      </c>
      <c r="C942" s="56" t="s">
        <v>1222</v>
      </c>
      <c r="D942" s="56" t="s">
        <v>1223</v>
      </c>
      <c r="E942" s="56">
        <v>118</v>
      </c>
      <c r="F942" s="56">
        <v>93</v>
      </c>
      <c r="G942" s="56">
        <v>132.5</v>
      </c>
      <c r="H942" s="56">
        <v>61</v>
      </c>
      <c r="I942" s="56">
        <v>65</v>
      </c>
      <c r="J942" s="56">
        <v>42</v>
      </c>
      <c r="K942" s="52">
        <f t="shared" si="46"/>
        <v>511.5</v>
      </c>
      <c r="L942" s="27">
        <f t="shared" si="44"/>
        <v>27</v>
      </c>
      <c r="M942" s="62">
        <f t="shared" si="45"/>
        <v>565</v>
      </c>
      <c r="N942" s="63" t="s">
        <v>16</v>
      </c>
      <c r="O942" s="26" t="s">
        <v>2243</v>
      </c>
    </row>
    <row r="943" spans="1:15">
      <c r="A943" s="56" t="s">
        <v>3179</v>
      </c>
      <c r="B943" s="56" t="s">
        <v>203</v>
      </c>
      <c r="C943" s="56" t="s">
        <v>1426</v>
      </c>
      <c r="D943" s="56" t="s">
        <v>1427</v>
      </c>
      <c r="E943" s="56">
        <v>89</v>
      </c>
      <c r="F943" s="56">
        <v>89</v>
      </c>
      <c r="G943" s="56">
        <v>91.5</v>
      </c>
      <c r="H943" s="56">
        <v>75</v>
      </c>
      <c r="I943" s="56">
        <v>92</v>
      </c>
      <c r="J943" s="56">
        <v>59</v>
      </c>
      <c r="K943" s="52">
        <f t="shared" si="46"/>
        <v>495.5</v>
      </c>
      <c r="L943" s="27">
        <f t="shared" si="44"/>
        <v>35</v>
      </c>
      <c r="M943" s="62">
        <f t="shared" si="45"/>
        <v>665</v>
      </c>
      <c r="N943" s="63" t="s">
        <v>17</v>
      </c>
      <c r="O943" s="26" t="s">
        <v>2243</v>
      </c>
    </row>
    <row r="944" spans="1:15">
      <c r="A944" s="56" t="s">
        <v>3180</v>
      </c>
      <c r="B944" s="56" t="s">
        <v>203</v>
      </c>
      <c r="C944" s="56" t="s">
        <v>1692</v>
      </c>
      <c r="D944" s="56" t="s">
        <v>1693</v>
      </c>
      <c r="E944" s="56">
        <v>96</v>
      </c>
      <c r="F944" s="56">
        <v>58</v>
      </c>
      <c r="G944" s="56">
        <v>118.5</v>
      </c>
      <c r="H944" s="56">
        <v>61</v>
      </c>
      <c r="I944" s="56">
        <v>77</v>
      </c>
      <c r="J944" s="56">
        <v>54</v>
      </c>
      <c r="K944" s="52">
        <f t="shared" si="46"/>
        <v>464.5</v>
      </c>
      <c r="L944" s="27">
        <f t="shared" si="44"/>
        <v>45</v>
      </c>
      <c r="M944" s="62">
        <f t="shared" si="45"/>
        <v>800</v>
      </c>
      <c r="N944" s="26" t="s">
        <v>17</v>
      </c>
      <c r="O944" s="26" t="s">
        <v>2243</v>
      </c>
    </row>
    <row r="945" spans="1:15">
      <c r="A945" s="56" t="s">
        <v>3181</v>
      </c>
      <c r="B945" s="56" t="s">
        <v>203</v>
      </c>
      <c r="C945" s="56" t="s">
        <v>1762</v>
      </c>
      <c r="D945" s="56" t="s">
        <v>1763</v>
      </c>
      <c r="E945" s="56">
        <v>98</v>
      </c>
      <c r="F945" s="56">
        <v>70</v>
      </c>
      <c r="G945" s="56">
        <v>110.5</v>
      </c>
      <c r="H945" s="56">
        <v>47</v>
      </c>
      <c r="I945" s="56">
        <v>61</v>
      </c>
      <c r="J945" s="56">
        <v>67</v>
      </c>
      <c r="K945" s="52">
        <f t="shared" si="46"/>
        <v>453.5</v>
      </c>
      <c r="L945" s="27">
        <f t="shared" si="44"/>
        <v>47</v>
      </c>
      <c r="M945" s="62">
        <f t="shared" si="45"/>
        <v>833</v>
      </c>
      <c r="N945" s="63" t="s">
        <v>17</v>
      </c>
      <c r="O945" s="26" t="s">
        <v>2243</v>
      </c>
    </row>
    <row r="946" spans="1:15">
      <c r="A946" s="56" t="s">
        <v>3182</v>
      </c>
      <c r="B946" s="56" t="s">
        <v>203</v>
      </c>
      <c r="C946" s="56" t="s">
        <v>1256</v>
      </c>
      <c r="D946" s="56" t="s">
        <v>1257</v>
      </c>
      <c r="E946" s="56">
        <v>107</v>
      </c>
      <c r="F946" s="56">
        <v>89</v>
      </c>
      <c r="G946" s="56">
        <v>103.5</v>
      </c>
      <c r="H946" s="56">
        <v>69</v>
      </c>
      <c r="I946" s="56">
        <v>73</v>
      </c>
      <c r="J946" s="56">
        <v>68</v>
      </c>
      <c r="K946" s="52">
        <f t="shared" si="46"/>
        <v>509.5</v>
      </c>
      <c r="L946" s="27">
        <f t="shared" si="44"/>
        <v>29</v>
      </c>
      <c r="M946" s="62">
        <f t="shared" si="45"/>
        <v>581</v>
      </c>
      <c r="N946" s="63" t="s">
        <v>16</v>
      </c>
      <c r="O946" s="26" t="s">
        <v>2243</v>
      </c>
    </row>
    <row r="947" spans="1:15">
      <c r="A947" s="56" t="s">
        <v>3183</v>
      </c>
      <c r="B947" s="56" t="s">
        <v>203</v>
      </c>
      <c r="C947" s="56" t="s">
        <v>286</v>
      </c>
      <c r="D947" s="56" t="s">
        <v>287</v>
      </c>
      <c r="E947" s="56">
        <v>119</v>
      </c>
      <c r="F947" s="56">
        <v>115</v>
      </c>
      <c r="G947" s="56">
        <v>121.5</v>
      </c>
      <c r="H947" s="56">
        <v>75</v>
      </c>
      <c r="I947" s="56">
        <v>93</v>
      </c>
      <c r="J947" s="56">
        <v>80</v>
      </c>
      <c r="K947" s="52">
        <f t="shared" si="46"/>
        <v>603.5</v>
      </c>
      <c r="L947" s="27">
        <f t="shared" si="44"/>
        <v>6</v>
      </c>
      <c r="M947" s="62">
        <f t="shared" si="45"/>
        <v>93</v>
      </c>
      <c r="N947" s="63" t="s">
        <v>16</v>
      </c>
      <c r="O947" s="26" t="s">
        <v>42</v>
      </c>
    </row>
    <row r="948" spans="1:15">
      <c r="A948" s="56" t="s">
        <v>3184</v>
      </c>
      <c r="B948" s="56" t="s">
        <v>203</v>
      </c>
      <c r="C948" s="56" t="s">
        <v>1414</v>
      </c>
      <c r="D948" s="56" t="s">
        <v>1415</v>
      </c>
      <c r="E948" s="56">
        <v>117</v>
      </c>
      <c r="F948" s="56">
        <v>104</v>
      </c>
      <c r="G948" s="56">
        <v>114</v>
      </c>
      <c r="H948" s="56">
        <v>64</v>
      </c>
      <c r="I948" s="56">
        <v>66</v>
      </c>
      <c r="J948" s="56">
        <v>31</v>
      </c>
      <c r="K948" s="52">
        <f t="shared" si="46"/>
        <v>496</v>
      </c>
      <c r="L948" s="27">
        <f t="shared" si="44"/>
        <v>34</v>
      </c>
      <c r="M948" s="62">
        <f t="shared" si="45"/>
        <v>661</v>
      </c>
      <c r="N948" s="63" t="s">
        <v>16</v>
      </c>
      <c r="O948" s="26" t="s">
        <v>2243</v>
      </c>
    </row>
    <row r="949" spans="1:15">
      <c r="A949" s="56" t="s">
        <v>3185</v>
      </c>
      <c r="B949" s="56" t="s">
        <v>203</v>
      </c>
      <c r="C949" s="56" t="s">
        <v>264</v>
      </c>
      <c r="D949" s="56" t="s">
        <v>265</v>
      </c>
      <c r="E949" s="56">
        <v>121</v>
      </c>
      <c r="F949" s="56">
        <v>122</v>
      </c>
      <c r="G949" s="56">
        <v>116.5</v>
      </c>
      <c r="H949" s="56">
        <v>86</v>
      </c>
      <c r="I949" s="56">
        <v>89</v>
      </c>
      <c r="J949" s="56">
        <v>73</v>
      </c>
      <c r="K949" s="52">
        <f t="shared" si="46"/>
        <v>607.5</v>
      </c>
      <c r="L949" s="27">
        <f t="shared" si="44"/>
        <v>5</v>
      </c>
      <c r="M949" s="62">
        <f t="shared" si="45"/>
        <v>84</v>
      </c>
      <c r="N949" s="63" t="s">
        <v>16</v>
      </c>
      <c r="O949" s="26" t="s">
        <v>44</v>
      </c>
    </row>
    <row r="950" spans="1:15">
      <c r="A950" s="56" t="s">
        <v>3186</v>
      </c>
      <c r="B950" s="56" t="s">
        <v>203</v>
      </c>
      <c r="C950" s="56" t="s">
        <v>691</v>
      </c>
      <c r="D950" s="56" t="s">
        <v>692</v>
      </c>
      <c r="E950" s="56">
        <v>115</v>
      </c>
      <c r="F950" s="56">
        <v>101</v>
      </c>
      <c r="G950" s="56">
        <v>113.5</v>
      </c>
      <c r="H950" s="56">
        <v>69</v>
      </c>
      <c r="I950" s="56">
        <v>96</v>
      </c>
      <c r="J950" s="56">
        <v>61</v>
      </c>
      <c r="K950" s="52">
        <f t="shared" si="46"/>
        <v>555.5</v>
      </c>
      <c r="L950" s="27">
        <f t="shared" si="44"/>
        <v>14</v>
      </c>
      <c r="M950" s="62">
        <f t="shared" si="45"/>
        <v>299</v>
      </c>
      <c r="N950" s="63" t="s">
        <v>16</v>
      </c>
      <c r="O950" s="26" t="s">
        <v>2243</v>
      </c>
    </row>
    <row r="951" spans="1:15" ht="16.5" customHeight="1">
      <c r="A951" s="56" t="s">
        <v>3187</v>
      </c>
      <c r="B951" s="56" t="s">
        <v>203</v>
      </c>
      <c r="C951" s="56" t="s">
        <v>1686</v>
      </c>
      <c r="D951" s="56" t="s">
        <v>1687</v>
      </c>
      <c r="E951" s="56">
        <v>91</v>
      </c>
      <c r="F951" s="56">
        <v>73</v>
      </c>
      <c r="G951" s="56">
        <v>111.5</v>
      </c>
      <c r="H951" s="56">
        <v>66</v>
      </c>
      <c r="I951" s="56">
        <v>74</v>
      </c>
      <c r="J951" s="56">
        <v>50</v>
      </c>
      <c r="K951" s="52">
        <f t="shared" si="46"/>
        <v>465.5</v>
      </c>
      <c r="L951" s="27">
        <f t="shared" si="44"/>
        <v>44</v>
      </c>
      <c r="M951" s="62">
        <f t="shared" si="45"/>
        <v>797</v>
      </c>
      <c r="N951" s="63" t="s">
        <v>17</v>
      </c>
      <c r="O951" s="26" t="s">
        <v>2243</v>
      </c>
    </row>
    <row r="952" spans="1:15" ht="16.5" customHeight="1">
      <c r="A952" s="56" t="s">
        <v>3188</v>
      </c>
      <c r="B952" s="56" t="s">
        <v>203</v>
      </c>
      <c r="C952" s="56" t="s">
        <v>693</v>
      </c>
      <c r="D952" s="56" t="s">
        <v>694</v>
      </c>
      <c r="E952" s="56">
        <v>120</v>
      </c>
      <c r="F952" s="56">
        <v>104</v>
      </c>
      <c r="G952" s="56">
        <v>104.5</v>
      </c>
      <c r="H952" s="56">
        <v>84</v>
      </c>
      <c r="I952" s="56">
        <v>86</v>
      </c>
      <c r="J952" s="56">
        <v>57</v>
      </c>
      <c r="K952" s="52">
        <f t="shared" si="46"/>
        <v>555.5</v>
      </c>
      <c r="L952" s="27">
        <f t="shared" si="44"/>
        <v>14</v>
      </c>
      <c r="M952" s="62">
        <f t="shared" si="45"/>
        <v>299</v>
      </c>
      <c r="N952" s="63" t="s">
        <v>17</v>
      </c>
      <c r="O952" s="26" t="s">
        <v>2243</v>
      </c>
    </row>
    <row r="953" spans="1:15">
      <c r="A953" s="56"/>
      <c r="B953" s="56" t="s">
        <v>203</v>
      </c>
      <c r="C953" s="56" t="s">
        <v>1994</v>
      </c>
      <c r="D953" s="56" t="s">
        <v>1995</v>
      </c>
      <c r="E953" s="56">
        <v>97</v>
      </c>
      <c r="F953" s="56">
        <v>15</v>
      </c>
      <c r="G953" s="56">
        <v>35</v>
      </c>
      <c r="H953" s="56">
        <v>26</v>
      </c>
      <c r="I953" s="56">
        <v>21</v>
      </c>
      <c r="J953" s="56">
        <v>33</v>
      </c>
      <c r="K953" s="52">
        <f t="shared" si="46"/>
        <v>227</v>
      </c>
      <c r="L953" s="27">
        <f t="shared" si="44"/>
        <v>57</v>
      </c>
      <c r="M953" s="62">
        <f t="shared" si="45"/>
        <v>951</v>
      </c>
      <c r="N953" s="63"/>
      <c r="O953" s="26" t="s">
        <v>69</v>
      </c>
    </row>
    <row r="954" spans="1:15">
      <c r="A954" s="56" t="s">
        <v>3189</v>
      </c>
      <c r="B954" s="56" t="s">
        <v>1998</v>
      </c>
      <c r="C954" s="56" t="s">
        <v>2011</v>
      </c>
      <c r="D954" s="56" t="s">
        <v>2012</v>
      </c>
      <c r="E954" s="56">
        <v>110</v>
      </c>
      <c r="F954" s="56">
        <v>119</v>
      </c>
      <c r="G954" s="56">
        <v>132.5</v>
      </c>
      <c r="H954" s="56">
        <v>86</v>
      </c>
      <c r="I954" s="56">
        <v>79</v>
      </c>
      <c r="J954" s="56">
        <v>72</v>
      </c>
      <c r="K954" s="52">
        <f t="shared" si="46"/>
        <v>598.5</v>
      </c>
      <c r="L954" s="27">
        <f t="shared" ref="L954:L985" si="47">RANK(K954,$K$954:$K$1005)</f>
        <v>7</v>
      </c>
      <c r="M954" s="25">
        <f>RANK(K954,$K$954:$K$1073)</f>
        <v>8</v>
      </c>
      <c r="N954" s="63" t="s">
        <v>16</v>
      </c>
      <c r="O954" s="26" t="s">
        <v>42</v>
      </c>
    </row>
    <row r="955" spans="1:15">
      <c r="A955" s="56" t="s">
        <v>3190</v>
      </c>
      <c r="B955" s="56" t="s">
        <v>1998</v>
      </c>
      <c r="C955" s="56" t="s">
        <v>2084</v>
      </c>
      <c r="D955" s="56" t="s">
        <v>2085</v>
      </c>
      <c r="E955" s="56">
        <v>108</v>
      </c>
      <c r="F955" s="56">
        <v>83</v>
      </c>
      <c r="G955" s="56">
        <v>124</v>
      </c>
      <c r="H955" s="56">
        <v>88</v>
      </c>
      <c r="I955" s="56">
        <v>69</v>
      </c>
      <c r="J955" s="56">
        <v>47</v>
      </c>
      <c r="K955" s="52">
        <f t="shared" si="46"/>
        <v>519</v>
      </c>
      <c r="L955" s="27">
        <f t="shared" si="47"/>
        <v>34</v>
      </c>
      <c r="M955" s="25">
        <f t="shared" ref="M955:M1018" si="48">RANK(K955,$K$954:$K$1073)</f>
        <v>44</v>
      </c>
      <c r="N955" s="63" t="s">
        <v>16</v>
      </c>
      <c r="O955" s="26" t="s">
        <v>44</v>
      </c>
    </row>
    <row r="956" spans="1:15">
      <c r="A956" s="56" t="s">
        <v>3191</v>
      </c>
      <c r="B956" s="56" t="s">
        <v>1998</v>
      </c>
      <c r="C956" s="56" t="s">
        <v>2132</v>
      </c>
      <c r="D956" s="56" t="s">
        <v>2133</v>
      </c>
      <c r="E956" s="56">
        <v>102</v>
      </c>
      <c r="F956" s="56">
        <v>78</v>
      </c>
      <c r="G956" s="56">
        <v>105.5</v>
      </c>
      <c r="H956" s="56">
        <v>79</v>
      </c>
      <c r="I956" s="56">
        <v>73</v>
      </c>
      <c r="J956" s="56">
        <v>56</v>
      </c>
      <c r="K956" s="52">
        <f t="shared" si="46"/>
        <v>493.5</v>
      </c>
      <c r="L956" s="27">
        <f t="shared" si="47"/>
        <v>45</v>
      </c>
      <c r="M956" s="25">
        <f t="shared" si="48"/>
        <v>68</v>
      </c>
      <c r="N956" s="63" t="s">
        <v>16</v>
      </c>
      <c r="O956" s="26" t="s">
        <v>2243</v>
      </c>
    </row>
    <row r="957" spans="1:15">
      <c r="A957" s="56" t="s">
        <v>3192</v>
      </c>
      <c r="B957" s="56" t="s">
        <v>1998</v>
      </c>
      <c r="C957" s="56" t="s">
        <v>2066</v>
      </c>
      <c r="D957" s="56" t="s">
        <v>2067</v>
      </c>
      <c r="E957" s="56">
        <v>112</v>
      </c>
      <c r="F957" s="56">
        <v>73</v>
      </c>
      <c r="G957" s="56">
        <v>117</v>
      </c>
      <c r="H957" s="56">
        <v>81</v>
      </c>
      <c r="I957" s="56">
        <v>82</v>
      </c>
      <c r="J957" s="56">
        <v>65</v>
      </c>
      <c r="K957" s="52">
        <f t="shared" si="46"/>
        <v>530</v>
      </c>
      <c r="L957" s="27">
        <f t="shared" si="47"/>
        <v>29</v>
      </c>
      <c r="M957" s="25">
        <f t="shared" si="48"/>
        <v>35</v>
      </c>
      <c r="N957" s="63" t="s">
        <v>16</v>
      </c>
      <c r="O957" s="26" t="s">
        <v>44</v>
      </c>
    </row>
    <row r="958" spans="1:15">
      <c r="A958" s="56" t="s">
        <v>3193</v>
      </c>
      <c r="B958" s="56" t="s">
        <v>1998</v>
      </c>
      <c r="C958" s="56" t="s">
        <v>2120</v>
      </c>
      <c r="D958" s="56" t="s">
        <v>2121</v>
      </c>
      <c r="E958" s="56">
        <v>100</v>
      </c>
      <c r="F958" s="56">
        <v>87</v>
      </c>
      <c r="G958" s="56">
        <v>100.5</v>
      </c>
      <c r="H958" s="56">
        <v>75</v>
      </c>
      <c r="I958" s="56">
        <v>81</v>
      </c>
      <c r="J958" s="56">
        <v>55</v>
      </c>
      <c r="K958" s="52">
        <f t="shared" si="46"/>
        <v>498.5</v>
      </c>
      <c r="L958" s="27">
        <f t="shared" si="47"/>
        <v>43</v>
      </c>
      <c r="M958" s="25">
        <f t="shared" si="48"/>
        <v>61</v>
      </c>
      <c r="N958" s="63" t="s">
        <v>16</v>
      </c>
      <c r="O958" s="26" t="s">
        <v>42</v>
      </c>
    </row>
    <row r="959" spans="1:15">
      <c r="A959" s="56" t="s">
        <v>3194</v>
      </c>
      <c r="B959" s="56" t="s">
        <v>1998</v>
      </c>
      <c r="C959" s="56" t="s">
        <v>2100</v>
      </c>
      <c r="D959" s="56" t="s">
        <v>2101</v>
      </c>
      <c r="E959" s="56">
        <v>111</v>
      </c>
      <c r="F959" s="56">
        <v>64</v>
      </c>
      <c r="G959" s="56">
        <v>121.5</v>
      </c>
      <c r="H959" s="56">
        <v>78</v>
      </c>
      <c r="I959" s="56">
        <v>81</v>
      </c>
      <c r="J959" s="56">
        <v>59</v>
      </c>
      <c r="K959" s="52">
        <f t="shared" si="46"/>
        <v>514.5</v>
      </c>
      <c r="L959" s="27">
        <f t="shared" si="47"/>
        <v>39</v>
      </c>
      <c r="M959" s="25">
        <f t="shared" si="48"/>
        <v>52</v>
      </c>
      <c r="N959" s="63" t="s">
        <v>16</v>
      </c>
      <c r="O959" s="26" t="s">
        <v>2243</v>
      </c>
    </row>
    <row r="960" spans="1:15">
      <c r="A960" s="56" t="s">
        <v>3195</v>
      </c>
      <c r="B960" s="56" t="s">
        <v>1998</v>
      </c>
      <c r="C960" s="56" t="s">
        <v>2144</v>
      </c>
      <c r="D960" s="56" t="s">
        <v>2145</v>
      </c>
      <c r="E960" s="56">
        <v>108</v>
      </c>
      <c r="F960" s="56">
        <v>53</v>
      </c>
      <c r="G960" s="56">
        <v>128</v>
      </c>
      <c r="H960" s="56">
        <v>70</v>
      </c>
      <c r="I960" s="56">
        <v>73</v>
      </c>
      <c r="J960" s="56">
        <v>52</v>
      </c>
      <c r="K960" s="52">
        <f t="shared" si="46"/>
        <v>484</v>
      </c>
      <c r="L960" s="27">
        <f t="shared" si="47"/>
        <v>47</v>
      </c>
      <c r="M960" s="25">
        <f t="shared" si="48"/>
        <v>74</v>
      </c>
      <c r="N960" s="63" t="s">
        <v>16</v>
      </c>
      <c r="O960" s="26" t="s">
        <v>2243</v>
      </c>
    </row>
    <row r="961" spans="1:15">
      <c r="A961" s="56" t="s">
        <v>3196</v>
      </c>
      <c r="B961" s="56" t="s">
        <v>1998</v>
      </c>
      <c r="C961" s="56" t="s">
        <v>2025</v>
      </c>
      <c r="D961" s="56" t="s">
        <v>2026</v>
      </c>
      <c r="E961" s="56">
        <v>114</v>
      </c>
      <c r="F961" s="56">
        <v>106</v>
      </c>
      <c r="G961" s="56">
        <v>127</v>
      </c>
      <c r="H961" s="56">
        <v>78</v>
      </c>
      <c r="I961" s="56">
        <v>81</v>
      </c>
      <c r="J961" s="56">
        <v>63</v>
      </c>
      <c r="K961" s="52">
        <f t="shared" si="46"/>
        <v>569</v>
      </c>
      <c r="L961" s="27">
        <f t="shared" si="47"/>
        <v>14</v>
      </c>
      <c r="M961" s="25">
        <f t="shared" si="48"/>
        <v>15</v>
      </c>
      <c r="N961" s="63" t="s">
        <v>16</v>
      </c>
      <c r="O961" s="26" t="s">
        <v>2243</v>
      </c>
    </row>
    <row r="962" spans="1:15">
      <c r="A962" s="56" t="s">
        <v>3197</v>
      </c>
      <c r="B962" s="56" t="s">
        <v>1998</v>
      </c>
      <c r="C962" s="56" t="s">
        <v>2118</v>
      </c>
      <c r="D962" s="56" t="s">
        <v>2119</v>
      </c>
      <c r="E962" s="56">
        <v>109</v>
      </c>
      <c r="F962" s="56">
        <v>66</v>
      </c>
      <c r="G962" s="56">
        <v>108.5</v>
      </c>
      <c r="H962" s="56">
        <v>81</v>
      </c>
      <c r="I962" s="56">
        <v>86</v>
      </c>
      <c r="J962" s="56">
        <v>48</v>
      </c>
      <c r="K962" s="52">
        <f t="shared" si="46"/>
        <v>498.5</v>
      </c>
      <c r="L962" s="27">
        <f t="shared" si="47"/>
        <v>43</v>
      </c>
      <c r="M962" s="25">
        <f t="shared" si="48"/>
        <v>61</v>
      </c>
      <c r="N962" s="63" t="s">
        <v>16</v>
      </c>
      <c r="O962" s="26" t="s">
        <v>2243</v>
      </c>
    </row>
    <row r="963" spans="1:15">
      <c r="A963" s="56" t="s">
        <v>3198</v>
      </c>
      <c r="B963" s="56" t="s">
        <v>1998</v>
      </c>
      <c r="C963" s="56" t="s">
        <v>2015</v>
      </c>
      <c r="D963" s="56" t="s">
        <v>2016</v>
      </c>
      <c r="E963" s="56">
        <v>115</v>
      </c>
      <c r="F963" s="56">
        <v>110</v>
      </c>
      <c r="G963" s="56">
        <v>132.5</v>
      </c>
      <c r="H963" s="56">
        <v>84</v>
      </c>
      <c r="I963" s="56">
        <v>84</v>
      </c>
      <c r="J963" s="56">
        <v>66</v>
      </c>
      <c r="K963" s="52">
        <f t="shared" si="46"/>
        <v>591.5</v>
      </c>
      <c r="L963" s="27">
        <f t="shared" si="47"/>
        <v>9</v>
      </c>
      <c r="M963" s="25">
        <f t="shared" si="48"/>
        <v>10</v>
      </c>
      <c r="N963" s="63" t="s">
        <v>16</v>
      </c>
      <c r="O963" s="26" t="s">
        <v>42</v>
      </c>
    </row>
    <row r="964" spans="1:15">
      <c r="A964" s="56" t="s">
        <v>3199</v>
      </c>
      <c r="B964" s="56" t="s">
        <v>1998</v>
      </c>
      <c r="C964" s="56" t="s">
        <v>2106</v>
      </c>
      <c r="D964" s="56" t="s">
        <v>2107</v>
      </c>
      <c r="E964" s="56">
        <v>113</v>
      </c>
      <c r="F964" s="56">
        <v>63</v>
      </c>
      <c r="G964" s="56">
        <v>121.5</v>
      </c>
      <c r="H964" s="56">
        <v>81</v>
      </c>
      <c r="I964" s="56">
        <v>71</v>
      </c>
      <c r="J964" s="56">
        <v>62</v>
      </c>
      <c r="K964" s="52">
        <f t="shared" ref="K964:K1027" si="49">SUM(E964:J964)</f>
        <v>511.5</v>
      </c>
      <c r="L964" s="27">
        <f t="shared" si="47"/>
        <v>41</v>
      </c>
      <c r="M964" s="25">
        <f t="shared" si="48"/>
        <v>55</v>
      </c>
      <c r="N964" s="63" t="s">
        <v>16</v>
      </c>
      <c r="O964" s="26" t="s">
        <v>2243</v>
      </c>
    </row>
    <row r="965" spans="1:15">
      <c r="A965" s="56" t="s">
        <v>3200</v>
      </c>
      <c r="B965" s="56" t="s">
        <v>1998</v>
      </c>
      <c r="C965" s="56" t="s">
        <v>2134</v>
      </c>
      <c r="D965" s="56" t="s">
        <v>2135</v>
      </c>
      <c r="E965" s="56">
        <v>117</v>
      </c>
      <c r="F965" s="56">
        <v>81</v>
      </c>
      <c r="G965" s="56">
        <v>105.5</v>
      </c>
      <c r="H965" s="56">
        <v>63</v>
      </c>
      <c r="I965" s="56">
        <v>71</v>
      </c>
      <c r="J965" s="56">
        <v>51</v>
      </c>
      <c r="K965" s="52">
        <f t="shared" si="49"/>
        <v>488.5</v>
      </c>
      <c r="L965" s="27">
        <f t="shared" si="47"/>
        <v>46</v>
      </c>
      <c r="M965" s="25">
        <f t="shared" si="48"/>
        <v>69</v>
      </c>
      <c r="N965" s="63" t="s">
        <v>16</v>
      </c>
      <c r="O965" s="26" t="s">
        <v>44</v>
      </c>
    </row>
    <row r="966" spans="1:15">
      <c r="A966" s="56" t="s">
        <v>3201</v>
      </c>
      <c r="B966" s="56" t="s">
        <v>1998</v>
      </c>
      <c r="C966" s="56" t="s">
        <v>2040</v>
      </c>
      <c r="D966" s="56" t="s">
        <v>2041</v>
      </c>
      <c r="E966" s="56">
        <v>120</v>
      </c>
      <c r="F966" s="56">
        <v>107</v>
      </c>
      <c r="G966" s="56">
        <v>120</v>
      </c>
      <c r="H966" s="56">
        <v>77</v>
      </c>
      <c r="I966" s="56">
        <v>74</v>
      </c>
      <c r="J966" s="56">
        <v>64</v>
      </c>
      <c r="K966" s="52">
        <f t="shared" si="49"/>
        <v>562</v>
      </c>
      <c r="L966" s="27">
        <f t="shared" si="47"/>
        <v>20</v>
      </c>
      <c r="M966" s="25">
        <f t="shared" si="48"/>
        <v>22</v>
      </c>
      <c r="N966" s="63" t="s">
        <v>16</v>
      </c>
      <c r="O966" s="26" t="s">
        <v>42</v>
      </c>
    </row>
    <row r="967" spans="1:15">
      <c r="A967" s="56" t="s">
        <v>3202</v>
      </c>
      <c r="B967" s="56" t="s">
        <v>1998</v>
      </c>
      <c r="C967" s="56" t="s">
        <v>2017</v>
      </c>
      <c r="D967" s="56" t="s">
        <v>2018</v>
      </c>
      <c r="E967" s="56">
        <v>116</v>
      </c>
      <c r="F967" s="56">
        <v>98</v>
      </c>
      <c r="G967" s="56">
        <v>139.5</v>
      </c>
      <c r="H967" s="56">
        <v>84</v>
      </c>
      <c r="I967" s="56">
        <v>83</v>
      </c>
      <c r="J967" s="56">
        <v>58</v>
      </c>
      <c r="K967" s="52">
        <f t="shared" si="49"/>
        <v>578.5</v>
      </c>
      <c r="L967" s="27">
        <f t="shared" si="47"/>
        <v>10</v>
      </c>
      <c r="M967" s="25">
        <f t="shared" si="48"/>
        <v>11</v>
      </c>
      <c r="N967" s="63" t="s">
        <v>16</v>
      </c>
      <c r="O967" s="26" t="s">
        <v>2243</v>
      </c>
    </row>
    <row r="968" spans="1:15">
      <c r="A968" s="56" t="s">
        <v>3203</v>
      </c>
      <c r="B968" s="56" t="s">
        <v>1998</v>
      </c>
      <c r="C968" s="56" t="s">
        <v>2110</v>
      </c>
      <c r="D968" s="56" t="s">
        <v>2111</v>
      </c>
      <c r="E968" s="56">
        <v>120</v>
      </c>
      <c r="F968" s="56">
        <v>60</v>
      </c>
      <c r="G968" s="56">
        <v>128.5</v>
      </c>
      <c r="H968" s="56">
        <v>73</v>
      </c>
      <c r="I968" s="56">
        <v>65</v>
      </c>
      <c r="J968" s="56">
        <v>56</v>
      </c>
      <c r="K968" s="52">
        <f t="shared" si="49"/>
        <v>502.5</v>
      </c>
      <c r="L968" s="27">
        <f t="shared" si="47"/>
        <v>42</v>
      </c>
      <c r="M968" s="25">
        <f t="shared" si="48"/>
        <v>57</v>
      </c>
      <c r="N968" s="63" t="s">
        <v>16</v>
      </c>
      <c r="O968" s="26" t="s">
        <v>2243</v>
      </c>
    </row>
    <row r="969" spans="1:15">
      <c r="A969" s="56" t="s">
        <v>3204</v>
      </c>
      <c r="B969" s="56" t="s">
        <v>1998</v>
      </c>
      <c r="C969" s="56" t="s">
        <v>2003</v>
      </c>
      <c r="D969" s="56" t="s">
        <v>2004</v>
      </c>
      <c r="E969" s="56">
        <v>129</v>
      </c>
      <c r="F969" s="56">
        <v>121</v>
      </c>
      <c r="G969" s="56">
        <v>131.5</v>
      </c>
      <c r="H969" s="56">
        <v>83</v>
      </c>
      <c r="I969" s="56">
        <v>81</v>
      </c>
      <c r="J969" s="56">
        <v>70</v>
      </c>
      <c r="K969" s="52">
        <f t="shared" si="49"/>
        <v>615.5</v>
      </c>
      <c r="L969" s="27">
        <f t="shared" si="47"/>
        <v>4</v>
      </c>
      <c r="M969" s="25">
        <f t="shared" si="48"/>
        <v>4</v>
      </c>
      <c r="N969" s="63" t="s">
        <v>16</v>
      </c>
      <c r="O969" s="26" t="s">
        <v>42</v>
      </c>
    </row>
    <row r="970" spans="1:15">
      <c r="A970" s="56" t="s">
        <v>3205</v>
      </c>
      <c r="B970" s="56" t="s">
        <v>1998</v>
      </c>
      <c r="C970" s="56" t="s">
        <v>2027</v>
      </c>
      <c r="D970" s="56" t="s">
        <v>2028</v>
      </c>
      <c r="E970" s="56">
        <v>120</v>
      </c>
      <c r="F970" s="56">
        <v>116</v>
      </c>
      <c r="G970" s="56">
        <v>127.5</v>
      </c>
      <c r="H970" s="56">
        <v>75</v>
      </c>
      <c r="I970" s="56">
        <v>72</v>
      </c>
      <c r="J970" s="56">
        <v>58</v>
      </c>
      <c r="K970" s="52">
        <f t="shared" si="49"/>
        <v>568.5</v>
      </c>
      <c r="L970" s="27">
        <f t="shared" si="47"/>
        <v>15</v>
      </c>
      <c r="M970" s="25">
        <f t="shared" si="48"/>
        <v>16</v>
      </c>
      <c r="N970" s="63" t="s">
        <v>16</v>
      </c>
      <c r="O970" s="26" t="s">
        <v>42</v>
      </c>
    </row>
    <row r="971" spans="1:15">
      <c r="A971" s="56" t="s">
        <v>3206</v>
      </c>
      <c r="B971" s="56" t="s">
        <v>1998</v>
      </c>
      <c r="C971" s="56" t="s">
        <v>2160</v>
      </c>
      <c r="D971" s="56" t="s">
        <v>2161</v>
      </c>
      <c r="E971" s="56">
        <v>97</v>
      </c>
      <c r="F971" s="56">
        <v>71</v>
      </c>
      <c r="G971" s="56">
        <v>114.5</v>
      </c>
      <c r="H971" s="56">
        <v>68</v>
      </c>
      <c r="I971" s="56">
        <v>73</v>
      </c>
      <c r="J971" s="56">
        <v>52</v>
      </c>
      <c r="K971" s="52">
        <f t="shared" si="49"/>
        <v>475.5</v>
      </c>
      <c r="L971" s="27">
        <f t="shared" si="47"/>
        <v>50</v>
      </c>
      <c r="M971" s="25">
        <f t="shared" si="48"/>
        <v>82</v>
      </c>
      <c r="N971" s="63" t="s">
        <v>16</v>
      </c>
      <c r="O971" s="26" t="s">
        <v>44</v>
      </c>
    </row>
    <row r="972" spans="1:15">
      <c r="A972" s="56" t="s">
        <v>3207</v>
      </c>
      <c r="B972" s="56" t="s">
        <v>1998</v>
      </c>
      <c r="C972" s="56" t="s">
        <v>2023</v>
      </c>
      <c r="D972" s="56" t="s">
        <v>2024</v>
      </c>
      <c r="E972" s="56">
        <v>110</v>
      </c>
      <c r="F972" s="56">
        <v>118</v>
      </c>
      <c r="G972" s="56">
        <v>129</v>
      </c>
      <c r="H972" s="56">
        <v>76</v>
      </c>
      <c r="I972" s="56">
        <v>80</v>
      </c>
      <c r="J972" s="56">
        <v>58</v>
      </c>
      <c r="K972" s="52">
        <f t="shared" si="49"/>
        <v>571</v>
      </c>
      <c r="L972" s="27">
        <f t="shared" si="47"/>
        <v>13</v>
      </c>
      <c r="M972" s="25">
        <f t="shared" si="48"/>
        <v>14</v>
      </c>
      <c r="N972" s="63" t="s">
        <v>16</v>
      </c>
      <c r="O972" s="26" t="s">
        <v>42</v>
      </c>
    </row>
    <row r="973" spans="1:15" ht="16.5" customHeight="1">
      <c r="A973" s="56" t="s">
        <v>3208</v>
      </c>
      <c r="B973" s="56" t="s">
        <v>1998</v>
      </c>
      <c r="C973" s="56" t="s">
        <v>2080</v>
      </c>
      <c r="D973" s="56" t="s">
        <v>2081</v>
      </c>
      <c r="E973" s="56">
        <v>115</v>
      </c>
      <c r="F973" s="56">
        <v>74</v>
      </c>
      <c r="G973" s="56">
        <v>110.5</v>
      </c>
      <c r="H973" s="56">
        <v>80</v>
      </c>
      <c r="I973" s="56">
        <v>83</v>
      </c>
      <c r="J973" s="56">
        <v>58</v>
      </c>
      <c r="K973" s="52">
        <f t="shared" si="49"/>
        <v>520.5</v>
      </c>
      <c r="L973" s="27">
        <f t="shared" si="47"/>
        <v>33</v>
      </c>
      <c r="M973" s="25">
        <f t="shared" si="48"/>
        <v>42</v>
      </c>
      <c r="N973" s="63" t="s">
        <v>16</v>
      </c>
      <c r="O973" s="26" t="s">
        <v>2243</v>
      </c>
    </row>
    <row r="974" spans="1:15" ht="15.75" customHeight="1">
      <c r="A974" s="56" t="s">
        <v>3209</v>
      </c>
      <c r="B974" s="56" t="s">
        <v>1998</v>
      </c>
      <c r="C974" s="56" t="s">
        <v>2007</v>
      </c>
      <c r="D974" s="56" t="s">
        <v>2008</v>
      </c>
      <c r="E974" s="56">
        <v>123</v>
      </c>
      <c r="F974" s="56">
        <v>118</v>
      </c>
      <c r="G974" s="56">
        <v>129</v>
      </c>
      <c r="H974" s="56">
        <v>79</v>
      </c>
      <c r="I974" s="56">
        <v>90</v>
      </c>
      <c r="J974" s="56">
        <v>71</v>
      </c>
      <c r="K974" s="52">
        <f t="shared" si="49"/>
        <v>610</v>
      </c>
      <c r="L974" s="27">
        <f t="shared" si="47"/>
        <v>6</v>
      </c>
      <c r="M974" s="25">
        <f t="shared" si="48"/>
        <v>6</v>
      </c>
      <c r="N974" s="63" t="s">
        <v>16</v>
      </c>
      <c r="O974" s="26" t="s">
        <v>42</v>
      </c>
    </row>
    <row r="975" spans="1:15">
      <c r="A975" s="56" t="s">
        <v>3210</v>
      </c>
      <c r="B975" s="56" t="s">
        <v>1998</v>
      </c>
      <c r="C975" s="56" t="s">
        <v>2019</v>
      </c>
      <c r="D975" s="56" t="s">
        <v>2020</v>
      </c>
      <c r="E975" s="56">
        <v>124</v>
      </c>
      <c r="F975" s="56">
        <v>111</v>
      </c>
      <c r="G975" s="56">
        <v>125.5</v>
      </c>
      <c r="H975" s="56">
        <v>83</v>
      </c>
      <c r="I975" s="56">
        <v>77</v>
      </c>
      <c r="J975" s="56">
        <v>56</v>
      </c>
      <c r="K975" s="52">
        <f t="shared" si="49"/>
        <v>576.5</v>
      </c>
      <c r="L975" s="27">
        <f t="shared" si="47"/>
        <v>11</v>
      </c>
      <c r="M975" s="25">
        <f t="shared" si="48"/>
        <v>12</v>
      </c>
      <c r="N975" s="63"/>
      <c r="O975" s="26" t="s">
        <v>44</v>
      </c>
    </row>
    <row r="976" spans="1:15">
      <c r="A976" s="56" t="s">
        <v>3211</v>
      </c>
      <c r="B976" s="56" t="s">
        <v>1998</v>
      </c>
      <c r="C976" s="56" t="s">
        <v>2046</v>
      </c>
      <c r="D976" s="56" t="s">
        <v>2047</v>
      </c>
      <c r="E976" s="56">
        <v>108</v>
      </c>
      <c r="F976" s="56">
        <v>119</v>
      </c>
      <c r="G976" s="56">
        <v>118.5</v>
      </c>
      <c r="H976" s="56">
        <v>74</v>
      </c>
      <c r="I976" s="56">
        <v>77</v>
      </c>
      <c r="J976" s="56">
        <v>53</v>
      </c>
      <c r="K976" s="52">
        <f t="shared" si="49"/>
        <v>549.5</v>
      </c>
      <c r="L976" s="27">
        <f t="shared" si="47"/>
        <v>23</v>
      </c>
      <c r="M976" s="25">
        <f t="shared" si="48"/>
        <v>25</v>
      </c>
      <c r="N976" s="63" t="s">
        <v>16</v>
      </c>
      <c r="O976" s="26" t="s">
        <v>44</v>
      </c>
    </row>
    <row r="977" spans="1:15">
      <c r="A977" s="56" t="s">
        <v>3212</v>
      </c>
      <c r="B977" s="56" t="s">
        <v>1998</v>
      </c>
      <c r="C977" s="56" t="s">
        <v>2021</v>
      </c>
      <c r="D977" s="56" t="s">
        <v>2022</v>
      </c>
      <c r="E977" s="56">
        <v>121</v>
      </c>
      <c r="F977" s="56">
        <v>118</v>
      </c>
      <c r="G977" s="56">
        <v>120</v>
      </c>
      <c r="H977" s="56">
        <v>76</v>
      </c>
      <c r="I977" s="56">
        <v>63</v>
      </c>
      <c r="J977" s="56">
        <v>78</v>
      </c>
      <c r="K977" s="52">
        <f t="shared" si="49"/>
        <v>576</v>
      </c>
      <c r="L977" s="27">
        <f t="shared" si="47"/>
        <v>12</v>
      </c>
      <c r="M977" s="25">
        <f t="shared" si="48"/>
        <v>13</v>
      </c>
      <c r="N977" s="63" t="s">
        <v>16</v>
      </c>
      <c r="O977" s="26" t="s">
        <v>42</v>
      </c>
    </row>
    <row r="978" spans="1:15">
      <c r="A978" s="56" t="s">
        <v>3213</v>
      </c>
      <c r="B978" s="56" t="s">
        <v>1998</v>
      </c>
      <c r="C978" s="56" t="s">
        <v>2058</v>
      </c>
      <c r="D978" s="56" t="s">
        <v>2059</v>
      </c>
      <c r="E978" s="56">
        <v>120</v>
      </c>
      <c r="F978" s="56">
        <v>90</v>
      </c>
      <c r="G978" s="56">
        <v>118.5</v>
      </c>
      <c r="H978" s="56">
        <v>73</v>
      </c>
      <c r="I978" s="56">
        <v>82</v>
      </c>
      <c r="J978" s="56">
        <v>49</v>
      </c>
      <c r="K978" s="52">
        <f t="shared" si="49"/>
        <v>532.5</v>
      </c>
      <c r="L978" s="27">
        <f t="shared" si="47"/>
        <v>28</v>
      </c>
      <c r="M978" s="25">
        <f t="shared" si="48"/>
        <v>31</v>
      </c>
      <c r="N978" s="63" t="s">
        <v>16</v>
      </c>
      <c r="O978" s="26" t="s">
        <v>2243</v>
      </c>
    </row>
    <row r="979" spans="1:15">
      <c r="A979" s="56" t="s">
        <v>3214</v>
      </c>
      <c r="B979" s="56" t="s">
        <v>1998</v>
      </c>
      <c r="C979" s="56" t="s">
        <v>2056</v>
      </c>
      <c r="D979" s="56" t="s">
        <v>2057</v>
      </c>
      <c r="E979" s="56">
        <v>118</v>
      </c>
      <c r="F979" s="56">
        <v>93</v>
      </c>
      <c r="G979" s="56">
        <v>101.5</v>
      </c>
      <c r="H979" s="56">
        <v>80</v>
      </c>
      <c r="I979" s="56">
        <v>77</v>
      </c>
      <c r="J979" s="56">
        <v>65</v>
      </c>
      <c r="K979" s="52">
        <f t="shared" si="49"/>
        <v>534.5</v>
      </c>
      <c r="L979" s="27">
        <f t="shared" si="47"/>
        <v>27</v>
      </c>
      <c r="M979" s="25">
        <f t="shared" si="48"/>
        <v>30</v>
      </c>
      <c r="N979" s="63" t="s">
        <v>16</v>
      </c>
      <c r="O979" s="26" t="s">
        <v>2243</v>
      </c>
    </row>
    <row r="980" spans="1:15">
      <c r="A980" s="56" t="s">
        <v>3215</v>
      </c>
      <c r="B980" s="56" t="s">
        <v>1998</v>
      </c>
      <c r="C980" s="56" t="s">
        <v>2096</v>
      </c>
      <c r="D980" s="56" t="s">
        <v>2097</v>
      </c>
      <c r="E980" s="56">
        <v>115</v>
      </c>
      <c r="F980" s="56">
        <v>93</v>
      </c>
      <c r="G980" s="56">
        <v>87</v>
      </c>
      <c r="H980" s="56">
        <v>77</v>
      </c>
      <c r="I980" s="56">
        <v>88</v>
      </c>
      <c r="J980" s="56">
        <v>57</v>
      </c>
      <c r="K980" s="52">
        <f t="shared" si="49"/>
        <v>517</v>
      </c>
      <c r="L980" s="27">
        <f t="shared" si="47"/>
        <v>37</v>
      </c>
      <c r="M980" s="25">
        <f t="shared" si="48"/>
        <v>50</v>
      </c>
      <c r="N980" s="63" t="s">
        <v>16</v>
      </c>
      <c r="O980" s="26" t="s">
        <v>2243</v>
      </c>
    </row>
    <row r="981" spans="1:15">
      <c r="A981" s="56" t="s">
        <v>3216</v>
      </c>
      <c r="B981" s="56" t="s">
        <v>1998</v>
      </c>
      <c r="C981" s="56" t="s">
        <v>2098</v>
      </c>
      <c r="D981" s="56" t="s">
        <v>2099</v>
      </c>
      <c r="E981" s="56">
        <v>111</v>
      </c>
      <c r="F981" s="56">
        <v>59</v>
      </c>
      <c r="G981" s="56">
        <v>126</v>
      </c>
      <c r="H981" s="56">
        <v>79</v>
      </c>
      <c r="I981" s="56">
        <v>85</v>
      </c>
      <c r="J981" s="56">
        <v>56</v>
      </c>
      <c r="K981" s="52">
        <f t="shared" si="49"/>
        <v>516</v>
      </c>
      <c r="L981" s="27">
        <f t="shared" si="47"/>
        <v>38</v>
      </c>
      <c r="M981" s="25">
        <f t="shared" si="48"/>
        <v>51</v>
      </c>
      <c r="N981" s="63" t="s">
        <v>16</v>
      </c>
      <c r="O981" s="26" t="s">
        <v>2243</v>
      </c>
    </row>
    <row r="982" spans="1:15">
      <c r="A982" s="56" t="s">
        <v>3217</v>
      </c>
      <c r="B982" s="56" t="s">
        <v>1998</v>
      </c>
      <c r="C982" s="56" t="s">
        <v>2068</v>
      </c>
      <c r="D982" s="56" t="s">
        <v>2069</v>
      </c>
      <c r="E982" s="56">
        <v>120</v>
      </c>
      <c r="F982" s="56">
        <v>84</v>
      </c>
      <c r="G982" s="56">
        <v>115.5</v>
      </c>
      <c r="H982" s="56">
        <v>84</v>
      </c>
      <c r="I982" s="56">
        <v>79</v>
      </c>
      <c r="J982" s="56">
        <v>47</v>
      </c>
      <c r="K982" s="52">
        <f t="shared" si="49"/>
        <v>529.5</v>
      </c>
      <c r="L982" s="27">
        <f t="shared" si="47"/>
        <v>30</v>
      </c>
      <c r="M982" s="25">
        <f t="shared" si="48"/>
        <v>36</v>
      </c>
      <c r="N982" s="63" t="s">
        <v>16</v>
      </c>
      <c r="O982" s="26" t="s">
        <v>44</v>
      </c>
    </row>
    <row r="983" spans="1:15">
      <c r="A983" s="56" t="s">
        <v>3218</v>
      </c>
      <c r="B983" s="56" t="s">
        <v>1998</v>
      </c>
      <c r="C983" s="56" t="s">
        <v>2005</v>
      </c>
      <c r="D983" s="56" t="s">
        <v>2006</v>
      </c>
      <c r="E983" s="56">
        <v>114</v>
      </c>
      <c r="F983" s="56">
        <v>143</v>
      </c>
      <c r="G983" s="56">
        <v>118</v>
      </c>
      <c r="H983" s="56">
        <v>90</v>
      </c>
      <c r="I983" s="56">
        <v>77</v>
      </c>
      <c r="J983" s="56">
        <v>73</v>
      </c>
      <c r="K983" s="52">
        <f t="shared" si="49"/>
        <v>615</v>
      </c>
      <c r="L983" s="27">
        <f t="shared" si="47"/>
        <v>5</v>
      </c>
      <c r="M983" s="25">
        <f t="shared" si="48"/>
        <v>5</v>
      </c>
      <c r="N983" s="63"/>
      <c r="O983" s="26" t="s">
        <v>44</v>
      </c>
    </row>
    <row r="984" spans="1:15">
      <c r="A984" s="56" t="s">
        <v>3219</v>
      </c>
      <c r="B984" s="56" t="s">
        <v>1998</v>
      </c>
      <c r="C984" s="56" t="s">
        <v>2182</v>
      </c>
      <c r="D984" s="56" t="s">
        <v>2183</v>
      </c>
      <c r="E984" s="56">
        <v>93</v>
      </c>
      <c r="F984" s="56">
        <v>69</v>
      </c>
      <c r="G984" s="56">
        <v>108</v>
      </c>
      <c r="H984" s="56">
        <v>68</v>
      </c>
      <c r="I984" s="56">
        <v>69</v>
      </c>
      <c r="J984" s="56">
        <v>53</v>
      </c>
      <c r="K984" s="52">
        <f t="shared" si="49"/>
        <v>460</v>
      </c>
      <c r="L984" s="27">
        <f t="shared" si="47"/>
        <v>51</v>
      </c>
      <c r="M984" s="25">
        <f t="shared" si="48"/>
        <v>93</v>
      </c>
      <c r="N984" s="63" t="s">
        <v>16</v>
      </c>
      <c r="O984" s="26" t="s">
        <v>44</v>
      </c>
    </row>
    <row r="985" spans="1:15">
      <c r="A985" s="56" t="s">
        <v>3220</v>
      </c>
      <c r="B985" s="56" t="s">
        <v>1998</v>
      </c>
      <c r="C985" s="56" t="s">
        <v>2072</v>
      </c>
      <c r="D985" s="56" t="s">
        <v>2073</v>
      </c>
      <c r="E985" s="56">
        <v>118</v>
      </c>
      <c r="F985" s="56">
        <v>80</v>
      </c>
      <c r="G985" s="56">
        <v>121.5</v>
      </c>
      <c r="H985" s="56">
        <v>77</v>
      </c>
      <c r="I985" s="56">
        <v>76</v>
      </c>
      <c r="J985" s="56">
        <v>55</v>
      </c>
      <c r="K985" s="52">
        <f t="shared" si="49"/>
        <v>527.5</v>
      </c>
      <c r="L985" s="27">
        <f t="shared" si="47"/>
        <v>31</v>
      </c>
      <c r="M985" s="25">
        <f t="shared" si="48"/>
        <v>38</v>
      </c>
      <c r="N985" s="63" t="s">
        <v>16</v>
      </c>
      <c r="O985" s="26" t="s">
        <v>2243</v>
      </c>
    </row>
    <row r="986" spans="1:15">
      <c r="A986" s="56" t="s">
        <v>3221</v>
      </c>
      <c r="B986" s="56" t="s">
        <v>1998</v>
      </c>
      <c r="C986" s="56" t="s">
        <v>2156</v>
      </c>
      <c r="D986" s="56" t="s">
        <v>2157</v>
      </c>
      <c r="E986" s="56">
        <v>103</v>
      </c>
      <c r="F986" s="56">
        <v>87</v>
      </c>
      <c r="G986" s="56">
        <v>110</v>
      </c>
      <c r="H986" s="56">
        <v>68</v>
      </c>
      <c r="I986" s="56">
        <v>56</v>
      </c>
      <c r="J986" s="56">
        <v>53</v>
      </c>
      <c r="K986" s="52">
        <f t="shared" si="49"/>
        <v>477</v>
      </c>
      <c r="L986" s="27">
        <f t="shared" ref="L986:L1005" si="50">RANK(K986,$K$954:$K$1005)</f>
        <v>49</v>
      </c>
      <c r="M986" s="25">
        <f t="shared" si="48"/>
        <v>79</v>
      </c>
      <c r="N986" s="63" t="s">
        <v>16</v>
      </c>
      <c r="O986" s="26" t="s">
        <v>44</v>
      </c>
    </row>
    <row r="987" spans="1:15">
      <c r="A987" s="56" t="s">
        <v>3222</v>
      </c>
      <c r="B987" s="56" t="s">
        <v>1998</v>
      </c>
      <c r="C987" s="56" t="s">
        <v>2094</v>
      </c>
      <c r="D987" s="56" t="s">
        <v>2095</v>
      </c>
      <c r="E987" s="56">
        <v>118</v>
      </c>
      <c r="F987" s="56">
        <v>85</v>
      </c>
      <c r="G987" s="56">
        <v>125.5</v>
      </c>
      <c r="H987" s="56">
        <v>78</v>
      </c>
      <c r="I987" s="56">
        <v>68</v>
      </c>
      <c r="J987" s="56">
        <v>43</v>
      </c>
      <c r="K987" s="52">
        <f t="shared" si="49"/>
        <v>517.5</v>
      </c>
      <c r="L987" s="27">
        <f t="shared" si="50"/>
        <v>36</v>
      </c>
      <c r="M987" s="25">
        <f t="shared" si="48"/>
        <v>49</v>
      </c>
      <c r="N987" s="63" t="s">
        <v>16</v>
      </c>
      <c r="O987" s="26" t="s">
        <v>44</v>
      </c>
    </row>
    <row r="988" spans="1:15">
      <c r="A988" s="56" t="s">
        <v>3223</v>
      </c>
      <c r="B988" s="56" t="s">
        <v>1998</v>
      </c>
      <c r="C988" s="56" t="s">
        <v>1999</v>
      </c>
      <c r="D988" s="56" t="s">
        <v>2000</v>
      </c>
      <c r="E988" s="56">
        <v>119</v>
      </c>
      <c r="F988" s="56">
        <v>126</v>
      </c>
      <c r="G988" s="56">
        <v>141</v>
      </c>
      <c r="H988" s="56">
        <v>98</v>
      </c>
      <c r="I988" s="56">
        <v>90</v>
      </c>
      <c r="J988" s="56">
        <v>67</v>
      </c>
      <c r="K988" s="52">
        <f t="shared" si="49"/>
        <v>641</v>
      </c>
      <c r="L988" s="27">
        <f t="shared" si="50"/>
        <v>2</v>
      </c>
      <c r="M988" s="25">
        <f t="shared" si="48"/>
        <v>2</v>
      </c>
      <c r="N988" s="63" t="s">
        <v>16</v>
      </c>
      <c r="O988" s="26" t="s">
        <v>2243</v>
      </c>
    </row>
    <row r="989" spans="1:15">
      <c r="A989" s="56" t="s">
        <v>3224</v>
      </c>
      <c r="B989" s="56" t="s">
        <v>1998</v>
      </c>
      <c r="C989" s="56" t="s">
        <v>2042</v>
      </c>
      <c r="D989" s="56" t="s">
        <v>2043</v>
      </c>
      <c r="E989" s="56">
        <v>116</v>
      </c>
      <c r="F989" s="56">
        <v>98</v>
      </c>
      <c r="G989" s="56">
        <v>126.5</v>
      </c>
      <c r="H989" s="56">
        <v>73</v>
      </c>
      <c r="I989" s="56">
        <v>83</v>
      </c>
      <c r="J989" s="56">
        <v>61</v>
      </c>
      <c r="K989" s="52">
        <f t="shared" si="49"/>
        <v>557.5</v>
      </c>
      <c r="L989" s="27">
        <f t="shared" si="50"/>
        <v>21</v>
      </c>
      <c r="M989" s="25">
        <f t="shared" si="48"/>
        <v>23</v>
      </c>
      <c r="N989" s="63" t="s">
        <v>16</v>
      </c>
      <c r="O989" s="26" t="s">
        <v>44</v>
      </c>
    </row>
    <row r="990" spans="1:15">
      <c r="A990" s="56" t="s">
        <v>3225</v>
      </c>
      <c r="B990" s="56" t="s">
        <v>1998</v>
      </c>
      <c r="C990" s="56" t="s">
        <v>2184</v>
      </c>
      <c r="D990" s="56" t="s">
        <v>2185</v>
      </c>
      <c r="E990" s="56">
        <v>112</v>
      </c>
      <c r="F990" s="56">
        <v>58</v>
      </c>
      <c r="G990" s="56">
        <v>88.5</v>
      </c>
      <c r="H990" s="56">
        <v>73</v>
      </c>
      <c r="I990" s="56">
        <v>72</v>
      </c>
      <c r="J990" s="56">
        <v>54</v>
      </c>
      <c r="K990" s="52">
        <f t="shared" si="49"/>
        <v>457.5</v>
      </c>
      <c r="L990" s="27">
        <f t="shared" si="50"/>
        <v>52</v>
      </c>
      <c r="M990" s="25">
        <f t="shared" si="48"/>
        <v>94</v>
      </c>
      <c r="N990" s="63" t="s">
        <v>16</v>
      </c>
      <c r="O990" s="26" t="s">
        <v>2243</v>
      </c>
    </row>
    <row r="991" spans="1:15">
      <c r="A991" s="56" t="s">
        <v>3226</v>
      </c>
      <c r="B991" s="56" t="s">
        <v>1998</v>
      </c>
      <c r="C991" s="56" t="s">
        <v>2029</v>
      </c>
      <c r="D991" s="56" t="s">
        <v>2030</v>
      </c>
      <c r="E991" s="56">
        <v>120</v>
      </c>
      <c r="F991" s="56">
        <v>105</v>
      </c>
      <c r="G991" s="56">
        <v>125</v>
      </c>
      <c r="H991" s="56">
        <v>86</v>
      </c>
      <c r="I991" s="56">
        <v>77</v>
      </c>
      <c r="J991" s="56">
        <v>55</v>
      </c>
      <c r="K991" s="52">
        <f t="shared" si="49"/>
        <v>568</v>
      </c>
      <c r="L991" s="27">
        <f t="shared" si="50"/>
        <v>16</v>
      </c>
      <c r="M991" s="25">
        <f t="shared" si="48"/>
        <v>17</v>
      </c>
      <c r="N991" s="63" t="s">
        <v>16</v>
      </c>
      <c r="O991" s="26" t="s">
        <v>42</v>
      </c>
    </row>
    <row r="992" spans="1:15">
      <c r="A992" s="56" t="s">
        <v>3227</v>
      </c>
      <c r="B992" s="56" t="s">
        <v>1998</v>
      </c>
      <c r="C992" s="56" t="s">
        <v>2086</v>
      </c>
      <c r="D992" s="56" t="s">
        <v>2087</v>
      </c>
      <c r="E992" s="56">
        <v>112</v>
      </c>
      <c r="F992" s="56">
        <v>92</v>
      </c>
      <c r="G992" s="56">
        <v>109</v>
      </c>
      <c r="H992" s="56">
        <v>69</v>
      </c>
      <c r="I992" s="56">
        <v>80</v>
      </c>
      <c r="J992" s="56">
        <v>57</v>
      </c>
      <c r="K992" s="52">
        <f t="shared" si="49"/>
        <v>519</v>
      </c>
      <c r="L992" s="27">
        <f t="shared" si="50"/>
        <v>34</v>
      </c>
      <c r="M992" s="25">
        <f t="shared" si="48"/>
        <v>44</v>
      </c>
      <c r="N992" s="63" t="s">
        <v>16</v>
      </c>
      <c r="O992" s="26" t="s">
        <v>2243</v>
      </c>
    </row>
    <row r="993" spans="1:15">
      <c r="A993" s="56" t="s">
        <v>3228</v>
      </c>
      <c r="B993" s="56" t="s">
        <v>1998</v>
      </c>
      <c r="C993" s="56" t="s">
        <v>2150</v>
      </c>
      <c r="D993" s="56" t="s">
        <v>2151</v>
      </c>
      <c r="E993" s="56">
        <v>107</v>
      </c>
      <c r="F993" s="56">
        <v>63</v>
      </c>
      <c r="G993" s="56">
        <v>111.5</v>
      </c>
      <c r="H993" s="56">
        <v>70</v>
      </c>
      <c r="I993" s="56">
        <v>74</v>
      </c>
      <c r="J993" s="56">
        <v>55</v>
      </c>
      <c r="K993" s="52">
        <f t="shared" si="49"/>
        <v>480.5</v>
      </c>
      <c r="L993" s="27">
        <f t="shared" si="50"/>
        <v>48</v>
      </c>
      <c r="M993" s="25">
        <f t="shared" si="48"/>
        <v>77</v>
      </c>
      <c r="N993" s="63" t="s">
        <v>16</v>
      </c>
      <c r="O993" s="26" t="s">
        <v>2243</v>
      </c>
    </row>
    <row r="994" spans="1:15">
      <c r="A994" s="56" t="s">
        <v>3229</v>
      </c>
      <c r="B994" s="56" t="s">
        <v>1998</v>
      </c>
      <c r="C994" s="56" t="s">
        <v>2001</v>
      </c>
      <c r="D994" s="56" t="s">
        <v>2002</v>
      </c>
      <c r="E994" s="56">
        <v>117</v>
      </c>
      <c r="F994" s="56">
        <v>137</v>
      </c>
      <c r="G994" s="56">
        <v>129.5</v>
      </c>
      <c r="H994" s="56">
        <v>87</v>
      </c>
      <c r="I994" s="56">
        <v>96</v>
      </c>
      <c r="J994" s="56">
        <v>71</v>
      </c>
      <c r="K994" s="52">
        <f t="shared" si="49"/>
        <v>637.5</v>
      </c>
      <c r="L994" s="27">
        <f t="shared" si="50"/>
        <v>3</v>
      </c>
      <c r="M994" s="25">
        <f t="shared" si="48"/>
        <v>3</v>
      </c>
      <c r="N994" s="63" t="s">
        <v>16</v>
      </c>
      <c r="O994" s="26" t="s">
        <v>42</v>
      </c>
    </row>
    <row r="995" spans="1:15">
      <c r="A995" s="56" t="s">
        <v>3230</v>
      </c>
      <c r="B995" s="56" t="s">
        <v>1998</v>
      </c>
      <c r="C995" s="56" t="s">
        <v>2052</v>
      </c>
      <c r="D995" s="56" t="s">
        <v>2053</v>
      </c>
      <c r="E995" s="56">
        <v>117</v>
      </c>
      <c r="F995" s="56">
        <v>97</v>
      </c>
      <c r="G995" s="56">
        <v>106.5</v>
      </c>
      <c r="H995" s="56">
        <v>84</v>
      </c>
      <c r="I995" s="56">
        <v>74</v>
      </c>
      <c r="J995" s="56">
        <v>60</v>
      </c>
      <c r="K995" s="52">
        <f t="shared" si="49"/>
        <v>538.5</v>
      </c>
      <c r="L995" s="27">
        <f t="shared" si="50"/>
        <v>25</v>
      </c>
      <c r="M995" s="25">
        <f t="shared" si="48"/>
        <v>28</v>
      </c>
      <c r="N995" s="63" t="s">
        <v>16</v>
      </c>
      <c r="O995" s="26" t="s">
        <v>2243</v>
      </c>
    </row>
    <row r="996" spans="1:15">
      <c r="A996" s="56" t="s">
        <v>3231</v>
      </c>
      <c r="B996" s="56" t="s">
        <v>1998</v>
      </c>
      <c r="C996" s="56" t="s">
        <v>2102</v>
      </c>
      <c r="D996" s="56" t="s">
        <v>2103</v>
      </c>
      <c r="E996" s="56">
        <v>113</v>
      </c>
      <c r="F996" s="56">
        <v>80</v>
      </c>
      <c r="G996" s="56">
        <v>114.5</v>
      </c>
      <c r="H996" s="56">
        <v>75</v>
      </c>
      <c r="I996" s="56">
        <v>79</v>
      </c>
      <c r="J996" s="56">
        <v>52</v>
      </c>
      <c r="K996" s="52">
        <f t="shared" si="49"/>
        <v>513.5</v>
      </c>
      <c r="L996" s="27">
        <f t="shared" si="50"/>
        <v>40</v>
      </c>
      <c r="M996" s="25">
        <f t="shared" si="48"/>
        <v>53</v>
      </c>
      <c r="N996" s="63" t="s">
        <v>16</v>
      </c>
      <c r="O996" s="26" t="s">
        <v>42</v>
      </c>
    </row>
    <row r="997" spans="1:15">
      <c r="A997" s="56" t="s">
        <v>3232</v>
      </c>
      <c r="B997" s="56" t="s">
        <v>1998</v>
      </c>
      <c r="C997" s="56" t="s">
        <v>2035</v>
      </c>
      <c r="D997" s="56" t="s">
        <v>2036</v>
      </c>
      <c r="E997" s="56">
        <v>123</v>
      </c>
      <c r="F997" s="56">
        <v>89</v>
      </c>
      <c r="G997" s="56">
        <v>128</v>
      </c>
      <c r="H997" s="56">
        <v>82</v>
      </c>
      <c r="I997" s="56">
        <v>79</v>
      </c>
      <c r="J997" s="56">
        <v>63</v>
      </c>
      <c r="K997" s="52">
        <f t="shared" si="49"/>
        <v>564</v>
      </c>
      <c r="L997" s="27">
        <f t="shared" si="50"/>
        <v>19</v>
      </c>
      <c r="M997" s="25">
        <f t="shared" si="48"/>
        <v>20</v>
      </c>
      <c r="N997" s="63" t="s">
        <v>16</v>
      </c>
      <c r="O997" s="26" t="s">
        <v>42</v>
      </c>
    </row>
    <row r="998" spans="1:15">
      <c r="A998" s="56" t="s">
        <v>3233</v>
      </c>
      <c r="B998" s="56" t="s">
        <v>1998</v>
      </c>
      <c r="C998" s="56" t="s">
        <v>2013</v>
      </c>
      <c r="D998" s="56" t="s">
        <v>2014</v>
      </c>
      <c r="E998" s="56">
        <v>117</v>
      </c>
      <c r="F998" s="56">
        <v>117</v>
      </c>
      <c r="G998" s="56">
        <v>129.5</v>
      </c>
      <c r="H998" s="56">
        <v>83</v>
      </c>
      <c r="I998" s="56">
        <v>83</v>
      </c>
      <c r="J998" s="56">
        <v>66</v>
      </c>
      <c r="K998" s="52">
        <f t="shared" si="49"/>
        <v>595.5</v>
      </c>
      <c r="L998" s="27">
        <f t="shared" si="50"/>
        <v>8</v>
      </c>
      <c r="M998" s="25">
        <f t="shared" si="48"/>
        <v>9</v>
      </c>
      <c r="N998" s="63" t="s">
        <v>16</v>
      </c>
      <c r="O998" s="26" t="s">
        <v>42</v>
      </c>
    </row>
    <row r="999" spans="1:15">
      <c r="A999" s="56" t="s">
        <v>3234</v>
      </c>
      <c r="B999" s="56" t="s">
        <v>1998</v>
      </c>
      <c r="C999" s="56" t="s">
        <v>2044</v>
      </c>
      <c r="D999" s="56" t="s">
        <v>2045</v>
      </c>
      <c r="E999" s="56">
        <v>115</v>
      </c>
      <c r="F999" s="56">
        <v>103</v>
      </c>
      <c r="G999" s="56">
        <v>114.5</v>
      </c>
      <c r="H999" s="56">
        <v>89</v>
      </c>
      <c r="I999" s="56">
        <v>61</v>
      </c>
      <c r="J999" s="56">
        <v>68</v>
      </c>
      <c r="K999" s="52">
        <f t="shared" si="49"/>
        <v>550.5</v>
      </c>
      <c r="L999" s="27">
        <f t="shared" si="50"/>
        <v>22</v>
      </c>
      <c r="M999" s="25">
        <f t="shared" si="48"/>
        <v>24</v>
      </c>
      <c r="N999" s="63" t="s">
        <v>16</v>
      </c>
      <c r="O999" s="26" t="s">
        <v>2243</v>
      </c>
    </row>
    <row r="1000" spans="1:15">
      <c r="A1000" s="56" t="s">
        <v>3235</v>
      </c>
      <c r="B1000" s="56" t="s">
        <v>1998</v>
      </c>
      <c r="C1000" s="56" t="s">
        <v>2048</v>
      </c>
      <c r="D1000" s="56" t="s">
        <v>2049</v>
      </c>
      <c r="E1000" s="56">
        <v>120</v>
      </c>
      <c r="F1000" s="56">
        <v>84</v>
      </c>
      <c r="G1000" s="56">
        <v>125.5</v>
      </c>
      <c r="H1000" s="56">
        <v>76</v>
      </c>
      <c r="I1000" s="56">
        <v>85</v>
      </c>
      <c r="J1000" s="56">
        <v>57</v>
      </c>
      <c r="K1000" s="52">
        <f t="shared" si="49"/>
        <v>547.5</v>
      </c>
      <c r="L1000" s="27">
        <f t="shared" si="50"/>
        <v>24</v>
      </c>
      <c r="M1000" s="25">
        <f t="shared" si="48"/>
        <v>26</v>
      </c>
      <c r="N1000" s="26" t="s">
        <v>16</v>
      </c>
      <c r="O1000" s="26" t="s">
        <v>44</v>
      </c>
    </row>
    <row r="1001" spans="1:15">
      <c r="A1001" s="56" t="s">
        <v>3236</v>
      </c>
      <c r="B1001" s="56" t="s">
        <v>1998</v>
      </c>
      <c r="C1001" s="56" t="s">
        <v>2076</v>
      </c>
      <c r="D1001" s="56" t="s">
        <v>2077</v>
      </c>
      <c r="E1001" s="56">
        <v>108</v>
      </c>
      <c r="F1001" s="56">
        <v>90</v>
      </c>
      <c r="G1001" s="56">
        <v>108</v>
      </c>
      <c r="H1001" s="56">
        <v>82</v>
      </c>
      <c r="I1001" s="56">
        <v>79</v>
      </c>
      <c r="J1001" s="56">
        <v>55</v>
      </c>
      <c r="K1001" s="52">
        <f t="shared" si="49"/>
        <v>522</v>
      </c>
      <c r="L1001" s="27">
        <f t="shared" si="50"/>
        <v>32</v>
      </c>
      <c r="M1001" s="25">
        <f t="shared" si="48"/>
        <v>40</v>
      </c>
      <c r="N1001" s="26" t="s">
        <v>16</v>
      </c>
      <c r="O1001" s="26" t="s">
        <v>44</v>
      </c>
    </row>
    <row r="1002" spans="1:15">
      <c r="A1002" s="56" t="s">
        <v>3237</v>
      </c>
      <c r="B1002" s="56" t="s">
        <v>1998</v>
      </c>
      <c r="C1002" s="56" t="s">
        <v>1996</v>
      </c>
      <c r="D1002" s="56" t="s">
        <v>1997</v>
      </c>
      <c r="E1002" s="56">
        <v>126</v>
      </c>
      <c r="F1002" s="56">
        <v>142</v>
      </c>
      <c r="G1002" s="56">
        <v>133.5</v>
      </c>
      <c r="H1002" s="56">
        <v>88</v>
      </c>
      <c r="I1002" s="56">
        <v>88</v>
      </c>
      <c r="J1002" s="56">
        <v>76</v>
      </c>
      <c r="K1002" s="52">
        <f t="shared" si="49"/>
        <v>653.5</v>
      </c>
      <c r="L1002" s="27">
        <f t="shared" si="50"/>
        <v>1</v>
      </c>
      <c r="M1002" s="25">
        <f t="shared" si="48"/>
        <v>1</v>
      </c>
      <c r="N1002" s="26" t="s">
        <v>16</v>
      </c>
      <c r="O1002" s="26" t="s">
        <v>42</v>
      </c>
    </row>
    <row r="1003" spans="1:15" ht="16.5" customHeight="1">
      <c r="A1003" s="56" t="s">
        <v>3238</v>
      </c>
      <c r="B1003" s="56" t="s">
        <v>1998</v>
      </c>
      <c r="C1003" s="56" t="s">
        <v>2054</v>
      </c>
      <c r="D1003" s="56" t="s">
        <v>2055</v>
      </c>
      <c r="E1003" s="56">
        <v>119</v>
      </c>
      <c r="F1003" s="56">
        <v>71</v>
      </c>
      <c r="G1003" s="56">
        <v>127.5</v>
      </c>
      <c r="H1003" s="56">
        <v>81</v>
      </c>
      <c r="I1003" s="56">
        <v>83</v>
      </c>
      <c r="J1003" s="56">
        <v>57</v>
      </c>
      <c r="K1003" s="52">
        <f t="shared" si="49"/>
        <v>538.5</v>
      </c>
      <c r="L1003" s="27">
        <f t="shared" si="50"/>
        <v>25</v>
      </c>
      <c r="M1003" s="25">
        <f t="shared" si="48"/>
        <v>28</v>
      </c>
      <c r="N1003" s="63" t="s">
        <v>16</v>
      </c>
      <c r="O1003" s="26" t="s">
        <v>2243</v>
      </c>
    </row>
    <row r="1004" spans="1:15">
      <c r="A1004" s="56" t="s">
        <v>3239</v>
      </c>
      <c r="B1004" s="56" t="s">
        <v>1998</v>
      </c>
      <c r="C1004" s="56" t="s">
        <v>2033</v>
      </c>
      <c r="D1004" s="56" t="s">
        <v>2034</v>
      </c>
      <c r="E1004" s="56">
        <v>112</v>
      </c>
      <c r="F1004" s="56">
        <v>107</v>
      </c>
      <c r="G1004" s="56">
        <v>128.5</v>
      </c>
      <c r="H1004" s="64">
        <v>75</v>
      </c>
      <c r="I1004" s="56">
        <v>87</v>
      </c>
      <c r="J1004" s="56">
        <v>58</v>
      </c>
      <c r="K1004" s="52">
        <f t="shared" si="49"/>
        <v>567.5</v>
      </c>
      <c r="L1004" s="27">
        <f t="shared" si="50"/>
        <v>18</v>
      </c>
      <c r="M1004" s="25">
        <f t="shared" si="48"/>
        <v>19</v>
      </c>
      <c r="N1004" s="26" t="s">
        <v>16</v>
      </c>
      <c r="O1004" s="26" t="s">
        <v>2243</v>
      </c>
    </row>
    <row r="1005" spans="1:15">
      <c r="A1005" s="56" t="s">
        <v>3240</v>
      </c>
      <c r="B1005" s="56" t="s">
        <v>1998</v>
      </c>
      <c r="C1005" s="56" t="s">
        <v>2031</v>
      </c>
      <c r="D1005" s="56" t="s">
        <v>2032</v>
      </c>
      <c r="E1005" s="56">
        <v>110</v>
      </c>
      <c r="F1005" s="56">
        <v>103</v>
      </c>
      <c r="G1005" s="56">
        <v>123</v>
      </c>
      <c r="H1005" s="64">
        <v>87</v>
      </c>
      <c r="I1005" s="56">
        <v>81</v>
      </c>
      <c r="J1005" s="56">
        <v>64</v>
      </c>
      <c r="K1005" s="52">
        <f t="shared" si="49"/>
        <v>568</v>
      </c>
      <c r="L1005" s="27">
        <f t="shared" si="50"/>
        <v>16</v>
      </c>
      <c r="M1005" s="25">
        <f t="shared" si="48"/>
        <v>17</v>
      </c>
      <c r="N1005" s="26" t="s">
        <v>16</v>
      </c>
      <c r="O1005" s="26" t="s">
        <v>42</v>
      </c>
    </row>
    <row r="1006" spans="1:15">
      <c r="A1006" s="56" t="s">
        <v>3241</v>
      </c>
      <c r="B1006" s="56" t="s">
        <v>2039</v>
      </c>
      <c r="C1006" s="56" t="s">
        <v>2114</v>
      </c>
      <c r="D1006" s="56" t="s">
        <v>2115</v>
      </c>
      <c r="E1006" s="56">
        <v>110</v>
      </c>
      <c r="F1006" s="56">
        <v>86</v>
      </c>
      <c r="G1006" s="56">
        <v>102.5</v>
      </c>
      <c r="H1006" s="64">
        <v>83</v>
      </c>
      <c r="I1006" s="56">
        <v>70</v>
      </c>
      <c r="J1006" s="56">
        <v>50</v>
      </c>
      <c r="K1006" s="52">
        <f t="shared" si="49"/>
        <v>501.5</v>
      </c>
      <c r="L1006" s="27">
        <f t="shared" ref="L1006:L1039" si="51">RANK(K1006,$K$1006:$K$1039)</f>
        <v>8</v>
      </c>
      <c r="M1006" s="25">
        <f t="shared" si="48"/>
        <v>59</v>
      </c>
      <c r="N1006" s="26" t="s">
        <v>16</v>
      </c>
      <c r="O1006" s="26" t="s">
        <v>44</v>
      </c>
    </row>
    <row r="1007" spans="1:15">
      <c r="A1007" s="56" t="s">
        <v>3242</v>
      </c>
      <c r="B1007" s="56" t="s">
        <v>2039</v>
      </c>
      <c r="C1007" s="56" t="s">
        <v>2176</v>
      </c>
      <c r="D1007" s="56" t="s">
        <v>2177</v>
      </c>
      <c r="E1007" s="56">
        <v>112</v>
      </c>
      <c r="F1007" s="56">
        <v>85</v>
      </c>
      <c r="G1007" s="56">
        <v>99</v>
      </c>
      <c r="H1007" s="64">
        <v>74</v>
      </c>
      <c r="I1007" s="56">
        <v>53</v>
      </c>
      <c r="J1007" s="56">
        <v>42</v>
      </c>
      <c r="K1007" s="52">
        <f t="shared" si="49"/>
        <v>465</v>
      </c>
      <c r="L1007" s="27">
        <f t="shared" si="51"/>
        <v>19</v>
      </c>
      <c r="M1007" s="25">
        <f t="shared" si="48"/>
        <v>90</v>
      </c>
      <c r="N1007" s="26" t="s">
        <v>17</v>
      </c>
      <c r="O1007" s="26" t="s">
        <v>2243</v>
      </c>
    </row>
    <row r="1008" spans="1:15">
      <c r="A1008" s="56" t="s">
        <v>3243</v>
      </c>
      <c r="B1008" s="56" t="s">
        <v>2039</v>
      </c>
      <c r="C1008" s="56" t="s">
        <v>2136</v>
      </c>
      <c r="D1008" s="56" t="s">
        <v>2137</v>
      </c>
      <c r="E1008" s="56">
        <v>108</v>
      </c>
      <c r="F1008" s="56">
        <v>74</v>
      </c>
      <c r="G1008" s="56">
        <v>103.5</v>
      </c>
      <c r="H1008" s="64">
        <v>72</v>
      </c>
      <c r="I1008" s="56">
        <v>79</v>
      </c>
      <c r="J1008" s="56">
        <v>50</v>
      </c>
      <c r="K1008" s="52">
        <f t="shared" si="49"/>
        <v>486.5</v>
      </c>
      <c r="L1008" s="27">
        <f t="shared" si="51"/>
        <v>13</v>
      </c>
      <c r="M1008" s="25">
        <f t="shared" si="48"/>
        <v>70</v>
      </c>
      <c r="N1008" s="26" t="s">
        <v>17</v>
      </c>
      <c r="O1008" s="26" t="s">
        <v>2243</v>
      </c>
    </row>
    <row r="1009" spans="1:15">
      <c r="A1009" s="56" t="s">
        <v>3244</v>
      </c>
      <c r="B1009" s="56" t="s">
        <v>2039</v>
      </c>
      <c r="C1009" s="56" t="s">
        <v>2228</v>
      </c>
      <c r="D1009" s="56" t="s">
        <v>2229</v>
      </c>
      <c r="E1009" s="56">
        <v>94</v>
      </c>
      <c r="F1009" s="56">
        <v>82</v>
      </c>
      <c r="G1009" s="56">
        <v>69.5</v>
      </c>
      <c r="H1009" s="64">
        <v>76</v>
      </c>
      <c r="I1009" s="56">
        <v>56</v>
      </c>
      <c r="J1009" s="56">
        <v>47</v>
      </c>
      <c r="K1009" s="52">
        <f t="shared" si="49"/>
        <v>424.5</v>
      </c>
      <c r="L1009" s="27">
        <f t="shared" si="51"/>
        <v>30</v>
      </c>
      <c r="M1009" s="25">
        <f t="shared" si="48"/>
        <v>116</v>
      </c>
      <c r="N1009" s="26" t="s">
        <v>17</v>
      </c>
      <c r="O1009" s="26" t="s">
        <v>42</v>
      </c>
    </row>
    <row r="1010" spans="1:15">
      <c r="A1010" s="56" t="s">
        <v>3245</v>
      </c>
      <c r="B1010" s="56" t="s">
        <v>2039</v>
      </c>
      <c r="C1010" s="56" t="s">
        <v>2174</v>
      </c>
      <c r="D1010" s="56" t="s">
        <v>2175</v>
      </c>
      <c r="E1010" s="56">
        <v>113</v>
      </c>
      <c r="F1010" s="56">
        <v>43</v>
      </c>
      <c r="G1010" s="56">
        <v>124.5</v>
      </c>
      <c r="H1010" s="64">
        <v>80</v>
      </c>
      <c r="I1010" s="56">
        <v>64</v>
      </c>
      <c r="J1010" s="56">
        <v>42</v>
      </c>
      <c r="K1010" s="52">
        <f t="shared" si="49"/>
        <v>466.5</v>
      </c>
      <c r="L1010" s="27">
        <f t="shared" si="51"/>
        <v>18</v>
      </c>
      <c r="M1010" s="25">
        <f t="shared" si="48"/>
        <v>89</v>
      </c>
      <c r="N1010" s="26" t="s">
        <v>17</v>
      </c>
      <c r="O1010" s="26" t="s">
        <v>2243</v>
      </c>
    </row>
    <row r="1011" spans="1:15">
      <c r="A1011" s="56" t="s">
        <v>3246</v>
      </c>
      <c r="B1011" s="56" t="s">
        <v>2039</v>
      </c>
      <c r="C1011" s="56" t="s">
        <v>2236</v>
      </c>
      <c r="D1011" s="56" t="s">
        <v>2237</v>
      </c>
      <c r="E1011" s="56">
        <v>92</v>
      </c>
      <c r="F1011" s="56">
        <v>42</v>
      </c>
      <c r="G1011" s="56">
        <v>107.5</v>
      </c>
      <c r="H1011" s="64">
        <v>61</v>
      </c>
      <c r="I1011" s="56">
        <v>52</v>
      </c>
      <c r="J1011" s="56">
        <v>45</v>
      </c>
      <c r="K1011" s="52">
        <f t="shared" si="49"/>
        <v>399.5</v>
      </c>
      <c r="L1011" s="27">
        <f t="shared" si="51"/>
        <v>34</v>
      </c>
      <c r="M1011" s="25">
        <f t="shared" si="48"/>
        <v>120</v>
      </c>
      <c r="N1011" s="26" t="s">
        <v>17</v>
      </c>
      <c r="O1011" s="26" t="s">
        <v>42</v>
      </c>
    </row>
    <row r="1012" spans="1:15">
      <c r="A1012" s="56" t="s">
        <v>3247</v>
      </c>
      <c r="B1012" s="56" t="s">
        <v>2039</v>
      </c>
      <c r="C1012" s="56" t="s">
        <v>2140</v>
      </c>
      <c r="D1012" s="56" t="s">
        <v>2141</v>
      </c>
      <c r="E1012" s="56">
        <v>109</v>
      </c>
      <c r="F1012" s="56">
        <v>68</v>
      </c>
      <c r="G1012" s="56">
        <v>106</v>
      </c>
      <c r="H1012" s="64">
        <v>73</v>
      </c>
      <c r="I1012" s="56">
        <v>76</v>
      </c>
      <c r="J1012" s="56">
        <v>53</v>
      </c>
      <c r="K1012" s="52">
        <f t="shared" si="49"/>
        <v>485</v>
      </c>
      <c r="L1012" s="27">
        <f t="shared" si="51"/>
        <v>15</v>
      </c>
      <c r="M1012" s="25">
        <f t="shared" si="48"/>
        <v>72</v>
      </c>
      <c r="N1012" s="26" t="s">
        <v>17</v>
      </c>
      <c r="O1012" s="26" t="s">
        <v>2243</v>
      </c>
    </row>
    <row r="1013" spans="1:15">
      <c r="A1013" s="56" t="s">
        <v>3248</v>
      </c>
      <c r="B1013" s="56" t="s">
        <v>2039</v>
      </c>
      <c r="C1013" s="56" t="s">
        <v>2064</v>
      </c>
      <c r="D1013" s="56" t="s">
        <v>2065</v>
      </c>
      <c r="E1013" s="56">
        <v>109</v>
      </c>
      <c r="F1013" s="56">
        <v>113</v>
      </c>
      <c r="G1013" s="56">
        <v>103.5</v>
      </c>
      <c r="H1013" s="64">
        <v>78</v>
      </c>
      <c r="I1013" s="56">
        <v>75</v>
      </c>
      <c r="J1013" s="56">
        <v>52</v>
      </c>
      <c r="K1013" s="52">
        <f t="shared" si="49"/>
        <v>530.5</v>
      </c>
      <c r="L1013" s="27">
        <f t="shared" si="51"/>
        <v>2</v>
      </c>
      <c r="M1013" s="25">
        <f t="shared" si="48"/>
        <v>34</v>
      </c>
      <c r="N1013" s="26" t="s">
        <v>17</v>
      </c>
      <c r="O1013" s="26" t="s">
        <v>44</v>
      </c>
    </row>
    <row r="1014" spans="1:15">
      <c r="A1014" s="56" t="s">
        <v>3249</v>
      </c>
      <c r="B1014" s="56" t="s">
        <v>2039</v>
      </c>
      <c r="C1014" s="56" t="s">
        <v>2206</v>
      </c>
      <c r="D1014" s="56" t="s">
        <v>2207</v>
      </c>
      <c r="E1014" s="56">
        <v>100</v>
      </c>
      <c r="F1014" s="56">
        <v>55</v>
      </c>
      <c r="G1014" s="56">
        <v>104.5</v>
      </c>
      <c r="H1014" s="64">
        <v>69</v>
      </c>
      <c r="I1014" s="56">
        <v>75</v>
      </c>
      <c r="J1014" s="56">
        <v>40</v>
      </c>
      <c r="K1014" s="52">
        <f t="shared" si="49"/>
        <v>443.5</v>
      </c>
      <c r="L1014" s="27">
        <f t="shared" si="51"/>
        <v>24</v>
      </c>
      <c r="M1014" s="25">
        <f t="shared" si="48"/>
        <v>105</v>
      </c>
      <c r="N1014" s="26" t="s">
        <v>17</v>
      </c>
      <c r="O1014" s="26" t="s">
        <v>2243</v>
      </c>
    </row>
    <row r="1015" spans="1:15">
      <c r="A1015" s="56" t="s">
        <v>3250</v>
      </c>
      <c r="B1015" s="56" t="s">
        <v>2039</v>
      </c>
      <c r="C1015" s="56" t="s">
        <v>2088</v>
      </c>
      <c r="D1015" s="56" t="s">
        <v>2089</v>
      </c>
      <c r="E1015" s="56">
        <v>116</v>
      </c>
      <c r="F1015" s="56">
        <v>75</v>
      </c>
      <c r="G1015" s="56">
        <v>94.5</v>
      </c>
      <c r="H1015" s="64">
        <v>81</v>
      </c>
      <c r="I1015" s="56">
        <v>80</v>
      </c>
      <c r="J1015" s="56">
        <v>72</v>
      </c>
      <c r="K1015" s="52">
        <f t="shared" si="49"/>
        <v>518.5</v>
      </c>
      <c r="L1015" s="27">
        <f t="shared" si="51"/>
        <v>6</v>
      </c>
      <c r="M1015" s="25">
        <f t="shared" si="48"/>
        <v>46</v>
      </c>
      <c r="N1015" s="26" t="s">
        <v>16</v>
      </c>
      <c r="O1015" s="26" t="s">
        <v>2243</v>
      </c>
    </row>
    <row r="1016" spans="1:15">
      <c r="A1016" s="56" t="s">
        <v>3251</v>
      </c>
      <c r="B1016" s="56" t="s">
        <v>2039</v>
      </c>
      <c r="C1016" s="56" t="s">
        <v>2037</v>
      </c>
      <c r="D1016" s="56" t="s">
        <v>2038</v>
      </c>
      <c r="E1016" s="56">
        <v>120</v>
      </c>
      <c r="F1016" s="56">
        <v>105</v>
      </c>
      <c r="G1016" s="56">
        <v>103.5</v>
      </c>
      <c r="H1016" s="64">
        <v>85</v>
      </c>
      <c r="I1016" s="56">
        <v>79</v>
      </c>
      <c r="J1016" s="56">
        <v>70</v>
      </c>
      <c r="K1016" s="52">
        <f t="shared" si="49"/>
        <v>562.5</v>
      </c>
      <c r="L1016" s="27">
        <f t="shared" si="51"/>
        <v>1</v>
      </c>
      <c r="M1016" s="25">
        <f t="shared" si="48"/>
        <v>21</v>
      </c>
      <c r="N1016" s="26" t="s">
        <v>16</v>
      </c>
      <c r="O1016" s="26" t="s">
        <v>44</v>
      </c>
    </row>
    <row r="1017" spans="1:15">
      <c r="A1017" s="56" t="s">
        <v>3252</v>
      </c>
      <c r="B1017" s="56" t="s">
        <v>2039</v>
      </c>
      <c r="C1017" s="56" t="s">
        <v>2194</v>
      </c>
      <c r="D1017" s="56" t="s">
        <v>2195</v>
      </c>
      <c r="E1017" s="56">
        <v>106</v>
      </c>
      <c r="F1017" s="56">
        <v>38</v>
      </c>
      <c r="G1017" s="56">
        <v>108.5</v>
      </c>
      <c r="H1017" s="64">
        <v>71</v>
      </c>
      <c r="I1017" s="56">
        <v>80</v>
      </c>
      <c r="J1017" s="56">
        <v>50</v>
      </c>
      <c r="K1017" s="52">
        <f t="shared" si="49"/>
        <v>453.5</v>
      </c>
      <c r="L1017" s="27">
        <f t="shared" si="51"/>
        <v>22</v>
      </c>
      <c r="M1017" s="25">
        <f t="shared" si="48"/>
        <v>99</v>
      </c>
      <c r="N1017" s="26" t="s">
        <v>17</v>
      </c>
      <c r="O1017" s="26" t="s">
        <v>42</v>
      </c>
    </row>
    <row r="1018" spans="1:15">
      <c r="A1018" s="56" t="s">
        <v>3253</v>
      </c>
      <c r="B1018" s="56" t="s">
        <v>2039</v>
      </c>
      <c r="C1018" s="56" t="s">
        <v>2130</v>
      </c>
      <c r="D1018" s="56" t="s">
        <v>2131</v>
      </c>
      <c r="E1018" s="56">
        <v>121</v>
      </c>
      <c r="F1018" s="56">
        <v>60</v>
      </c>
      <c r="G1018" s="56">
        <v>99</v>
      </c>
      <c r="H1018" s="64">
        <v>79</v>
      </c>
      <c r="I1018" s="56">
        <v>78</v>
      </c>
      <c r="J1018" s="56">
        <v>57</v>
      </c>
      <c r="K1018" s="52">
        <f t="shared" si="49"/>
        <v>494</v>
      </c>
      <c r="L1018" s="27">
        <f t="shared" si="51"/>
        <v>11</v>
      </c>
      <c r="M1018" s="25">
        <f t="shared" si="48"/>
        <v>66</v>
      </c>
      <c r="N1018" s="26" t="s">
        <v>17</v>
      </c>
      <c r="O1018" s="26" t="s">
        <v>2243</v>
      </c>
    </row>
    <row r="1019" spans="1:15">
      <c r="A1019" s="56" t="s">
        <v>3254</v>
      </c>
      <c r="B1019" s="56" t="s">
        <v>2039</v>
      </c>
      <c r="C1019" s="56" t="s">
        <v>2146</v>
      </c>
      <c r="D1019" s="56" t="s">
        <v>2147</v>
      </c>
      <c r="E1019" s="56">
        <v>113</v>
      </c>
      <c r="F1019" s="56">
        <v>43</v>
      </c>
      <c r="G1019" s="56">
        <v>124.5</v>
      </c>
      <c r="H1019" s="64">
        <v>77</v>
      </c>
      <c r="I1019" s="56">
        <v>66</v>
      </c>
      <c r="J1019" s="56">
        <v>60</v>
      </c>
      <c r="K1019" s="52">
        <f t="shared" si="49"/>
        <v>483.5</v>
      </c>
      <c r="L1019" s="27">
        <f t="shared" si="51"/>
        <v>16</v>
      </c>
      <c r="M1019" s="25">
        <f t="shared" ref="M1019:M1073" si="52">RANK(K1019,$K$954:$K$1073)</f>
        <v>75</v>
      </c>
      <c r="N1019" s="26" t="s">
        <v>17</v>
      </c>
      <c r="O1019" s="26" t="s">
        <v>42</v>
      </c>
    </row>
    <row r="1020" spans="1:15">
      <c r="A1020" s="56" t="s">
        <v>3255</v>
      </c>
      <c r="B1020" s="56" t="s">
        <v>2039</v>
      </c>
      <c r="C1020" s="56" t="s">
        <v>2186</v>
      </c>
      <c r="D1020" s="56" t="s">
        <v>2187</v>
      </c>
      <c r="E1020" s="56">
        <v>111</v>
      </c>
      <c r="F1020" s="56">
        <v>57</v>
      </c>
      <c r="G1020" s="56">
        <v>98.5</v>
      </c>
      <c r="H1020" s="64">
        <v>76</v>
      </c>
      <c r="I1020" s="56">
        <v>62</v>
      </c>
      <c r="J1020" s="56">
        <v>53</v>
      </c>
      <c r="K1020" s="52">
        <f t="shared" si="49"/>
        <v>457.5</v>
      </c>
      <c r="L1020" s="27">
        <f t="shared" si="51"/>
        <v>21</v>
      </c>
      <c r="M1020" s="25">
        <f t="shared" si="52"/>
        <v>94</v>
      </c>
      <c r="N1020" s="26" t="s">
        <v>17</v>
      </c>
      <c r="O1020" s="26" t="s">
        <v>2243</v>
      </c>
    </row>
    <row r="1021" spans="1:15">
      <c r="A1021" s="56" t="s">
        <v>3256</v>
      </c>
      <c r="B1021" s="56" t="s">
        <v>2039</v>
      </c>
      <c r="C1021" s="56" t="s">
        <v>2232</v>
      </c>
      <c r="D1021" s="56" t="s">
        <v>2233</v>
      </c>
      <c r="E1021" s="56">
        <v>94</v>
      </c>
      <c r="F1021" s="56">
        <v>61</v>
      </c>
      <c r="G1021" s="56">
        <v>97.5</v>
      </c>
      <c r="H1021" s="64">
        <v>61</v>
      </c>
      <c r="I1021" s="56">
        <v>61</v>
      </c>
      <c r="J1021" s="56">
        <v>39</v>
      </c>
      <c r="K1021" s="52">
        <f t="shared" si="49"/>
        <v>413.5</v>
      </c>
      <c r="L1021" s="27">
        <f t="shared" si="51"/>
        <v>32</v>
      </c>
      <c r="M1021" s="25">
        <f t="shared" si="52"/>
        <v>118</v>
      </c>
      <c r="N1021" s="26" t="s">
        <v>16</v>
      </c>
      <c r="O1021" s="26" t="s">
        <v>44</v>
      </c>
    </row>
    <row r="1022" spans="1:15">
      <c r="A1022" s="56" t="s">
        <v>3257</v>
      </c>
      <c r="B1022" s="56" t="s">
        <v>2039</v>
      </c>
      <c r="C1022" s="56" t="s">
        <v>2234</v>
      </c>
      <c r="D1022" s="56" t="s">
        <v>2235</v>
      </c>
      <c r="E1022" s="56">
        <v>93</v>
      </c>
      <c r="F1022" s="56">
        <v>37</v>
      </c>
      <c r="G1022" s="56">
        <v>95.5</v>
      </c>
      <c r="H1022" s="64">
        <v>70</v>
      </c>
      <c r="I1022" s="56">
        <v>68</v>
      </c>
      <c r="J1022" s="56">
        <v>45</v>
      </c>
      <c r="K1022" s="52">
        <f t="shared" si="49"/>
        <v>408.5</v>
      </c>
      <c r="L1022" s="27">
        <f t="shared" si="51"/>
        <v>33</v>
      </c>
      <c r="M1022" s="25">
        <f t="shared" si="52"/>
        <v>119</v>
      </c>
      <c r="N1022" s="26" t="s">
        <v>17</v>
      </c>
      <c r="O1022" s="26" t="s">
        <v>2243</v>
      </c>
    </row>
    <row r="1023" spans="1:15">
      <c r="A1023" s="56" t="s">
        <v>3258</v>
      </c>
      <c r="B1023" s="56" t="s">
        <v>2039</v>
      </c>
      <c r="C1023" s="56" t="s">
        <v>2210</v>
      </c>
      <c r="D1023" s="56" t="s">
        <v>2211</v>
      </c>
      <c r="E1023" s="56">
        <v>104</v>
      </c>
      <c r="F1023" s="56">
        <v>34</v>
      </c>
      <c r="G1023" s="56">
        <v>102</v>
      </c>
      <c r="H1023" s="64">
        <v>62</v>
      </c>
      <c r="I1023" s="56">
        <v>83</v>
      </c>
      <c r="J1023" s="56">
        <v>55</v>
      </c>
      <c r="K1023" s="52">
        <f t="shared" si="49"/>
        <v>440</v>
      </c>
      <c r="L1023" s="27">
        <f t="shared" si="51"/>
        <v>26</v>
      </c>
      <c r="M1023" s="25">
        <f t="shared" si="52"/>
        <v>107</v>
      </c>
      <c r="N1023" s="26" t="s">
        <v>17</v>
      </c>
      <c r="O1023" s="26" t="s">
        <v>42</v>
      </c>
    </row>
    <row r="1024" spans="1:15">
      <c r="A1024" s="56" t="s">
        <v>3259</v>
      </c>
      <c r="B1024" s="56" t="s">
        <v>2039</v>
      </c>
      <c r="C1024" s="56" t="s">
        <v>2214</v>
      </c>
      <c r="D1024" s="56" t="s">
        <v>2215</v>
      </c>
      <c r="E1024" s="56">
        <v>101</v>
      </c>
      <c r="F1024" s="56">
        <v>50</v>
      </c>
      <c r="G1024" s="56">
        <v>106</v>
      </c>
      <c r="H1024" s="64">
        <v>77</v>
      </c>
      <c r="I1024" s="56">
        <v>64</v>
      </c>
      <c r="J1024" s="56">
        <v>41</v>
      </c>
      <c r="K1024" s="52">
        <f t="shared" si="49"/>
        <v>439</v>
      </c>
      <c r="L1024" s="27">
        <f t="shared" si="51"/>
        <v>27</v>
      </c>
      <c r="M1024" s="25">
        <f t="shared" si="52"/>
        <v>109</v>
      </c>
      <c r="N1024" s="26" t="s">
        <v>17</v>
      </c>
      <c r="O1024" s="26" t="s">
        <v>2243</v>
      </c>
    </row>
    <row r="1025" spans="1:15">
      <c r="A1025" s="56" t="s">
        <v>3260</v>
      </c>
      <c r="B1025" s="56" t="s">
        <v>2039</v>
      </c>
      <c r="C1025" s="56" t="s">
        <v>2204</v>
      </c>
      <c r="D1025" s="56" t="s">
        <v>2205</v>
      </c>
      <c r="E1025" s="56">
        <v>115</v>
      </c>
      <c r="F1025" s="56">
        <v>45</v>
      </c>
      <c r="G1025" s="56">
        <v>105</v>
      </c>
      <c r="H1025" s="64">
        <v>74</v>
      </c>
      <c r="I1025" s="56">
        <v>72</v>
      </c>
      <c r="J1025" s="56">
        <v>35</v>
      </c>
      <c r="K1025" s="52">
        <f t="shared" si="49"/>
        <v>446</v>
      </c>
      <c r="L1025" s="27">
        <f t="shared" si="51"/>
        <v>23</v>
      </c>
      <c r="M1025" s="25">
        <f t="shared" si="52"/>
        <v>104</v>
      </c>
      <c r="N1025" s="26" t="s">
        <v>17</v>
      </c>
      <c r="O1025" s="26" t="s">
        <v>2243</v>
      </c>
    </row>
    <row r="1026" spans="1:15">
      <c r="A1026" s="56" t="s">
        <v>3261</v>
      </c>
      <c r="B1026" s="56" t="s">
        <v>2039</v>
      </c>
      <c r="C1026" s="56" t="s">
        <v>2208</v>
      </c>
      <c r="D1026" s="56" t="s">
        <v>2209</v>
      </c>
      <c r="E1026" s="56">
        <v>87</v>
      </c>
      <c r="F1026" s="56">
        <v>34</v>
      </c>
      <c r="G1026" s="56">
        <v>126.5</v>
      </c>
      <c r="H1026" s="64">
        <v>66</v>
      </c>
      <c r="I1026" s="56">
        <v>73</v>
      </c>
      <c r="J1026" s="56">
        <v>55</v>
      </c>
      <c r="K1026" s="52">
        <f t="shared" si="49"/>
        <v>441.5</v>
      </c>
      <c r="L1026" s="27">
        <f t="shared" si="51"/>
        <v>25</v>
      </c>
      <c r="M1026" s="25">
        <f t="shared" si="52"/>
        <v>106</v>
      </c>
      <c r="N1026" s="26" t="s">
        <v>17</v>
      </c>
      <c r="O1026" s="26" t="s">
        <v>2243</v>
      </c>
    </row>
    <row r="1027" spans="1:15">
      <c r="A1027" s="56" t="s">
        <v>3262</v>
      </c>
      <c r="B1027" s="56" t="s">
        <v>2039</v>
      </c>
      <c r="C1027" s="56" t="s">
        <v>2178</v>
      </c>
      <c r="D1027" s="56" t="s">
        <v>2179</v>
      </c>
      <c r="E1027" s="56">
        <v>109</v>
      </c>
      <c r="F1027" s="56">
        <v>56</v>
      </c>
      <c r="G1027" s="56">
        <v>105.5</v>
      </c>
      <c r="H1027" s="64">
        <v>76</v>
      </c>
      <c r="I1027" s="56">
        <v>70</v>
      </c>
      <c r="J1027" s="56">
        <v>48</v>
      </c>
      <c r="K1027" s="52">
        <f t="shared" si="49"/>
        <v>464.5</v>
      </c>
      <c r="L1027" s="27">
        <f t="shared" si="51"/>
        <v>20</v>
      </c>
      <c r="M1027" s="25">
        <f t="shared" si="52"/>
        <v>91</v>
      </c>
      <c r="N1027" s="26" t="s">
        <v>17</v>
      </c>
      <c r="O1027" s="26" t="s">
        <v>42</v>
      </c>
    </row>
    <row r="1028" spans="1:15">
      <c r="A1028" s="56" t="s">
        <v>3263</v>
      </c>
      <c r="B1028" s="56" t="s">
        <v>2039</v>
      </c>
      <c r="C1028" s="56" t="s">
        <v>2162</v>
      </c>
      <c r="D1028" s="56" t="s">
        <v>2163</v>
      </c>
      <c r="E1028" s="56">
        <v>105</v>
      </c>
      <c r="F1028" s="56">
        <v>84</v>
      </c>
      <c r="G1028" s="56">
        <v>95</v>
      </c>
      <c r="H1028" s="64">
        <v>70</v>
      </c>
      <c r="I1028" s="56">
        <v>59</v>
      </c>
      <c r="J1028" s="56">
        <v>62</v>
      </c>
      <c r="K1028" s="52">
        <f t="shared" ref="K1028:K1073" si="53">SUM(E1028:J1028)</f>
        <v>475</v>
      </c>
      <c r="L1028" s="27">
        <f t="shared" si="51"/>
        <v>17</v>
      </c>
      <c r="M1028" s="25">
        <f t="shared" si="52"/>
        <v>83</v>
      </c>
      <c r="N1028" s="26" t="s">
        <v>17</v>
      </c>
      <c r="O1028" s="26" t="s">
        <v>2243</v>
      </c>
    </row>
    <row r="1029" spans="1:15">
      <c r="A1029" s="56">
        <v>20181079</v>
      </c>
      <c r="B1029" s="56" t="s">
        <v>2039</v>
      </c>
      <c r="C1029" s="56" t="s">
        <v>2070</v>
      </c>
      <c r="D1029" s="56" t="s">
        <v>2071</v>
      </c>
      <c r="E1029" s="56">
        <v>117</v>
      </c>
      <c r="F1029" s="56">
        <v>98</v>
      </c>
      <c r="G1029" s="56">
        <v>129.5</v>
      </c>
      <c r="H1029" s="64">
        <v>82</v>
      </c>
      <c r="I1029" s="56">
        <v>59</v>
      </c>
      <c r="J1029" s="56">
        <v>44</v>
      </c>
      <c r="K1029" s="52">
        <f t="shared" si="53"/>
        <v>529.5</v>
      </c>
      <c r="L1029" s="27">
        <f t="shared" si="51"/>
        <v>3</v>
      </c>
      <c r="M1029" s="25">
        <f t="shared" si="52"/>
        <v>36</v>
      </c>
      <c r="N1029" s="26"/>
      <c r="O1029" s="26" t="s">
        <v>44</v>
      </c>
    </row>
    <row r="1030" spans="1:15">
      <c r="A1030" s="56" t="s">
        <v>3264</v>
      </c>
      <c r="B1030" s="56" t="s">
        <v>2039</v>
      </c>
      <c r="C1030" s="56" t="s">
        <v>2128</v>
      </c>
      <c r="D1030" s="56" t="s">
        <v>2129</v>
      </c>
      <c r="E1030" s="56">
        <v>99</v>
      </c>
      <c r="F1030" s="56">
        <v>80</v>
      </c>
      <c r="G1030" s="56">
        <v>115</v>
      </c>
      <c r="H1030" s="64">
        <v>75</v>
      </c>
      <c r="I1030" s="56">
        <v>69</v>
      </c>
      <c r="J1030" s="56">
        <v>56</v>
      </c>
      <c r="K1030" s="52">
        <f t="shared" si="53"/>
        <v>494</v>
      </c>
      <c r="L1030" s="27">
        <f t="shared" si="51"/>
        <v>11</v>
      </c>
      <c r="M1030" s="25">
        <f t="shared" si="52"/>
        <v>66</v>
      </c>
      <c r="N1030" s="26" t="s">
        <v>17</v>
      </c>
      <c r="O1030" s="26" t="s">
        <v>2243</v>
      </c>
    </row>
    <row r="1031" spans="1:15">
      <c r="A1031" s="56" t="s">
        <v>3265</v>
      </c>
      <c r="B1031" s="56" t="s">
        <v>2039</v>
      </c>
      <c r="C1031" s="56" t="s">
        <v>2138</v>
      </c>
      <c r="D1031" s="56" t="s">
        <v>2139</v>
      </c>
      <c r="E1031" s="56">
        <v>115</v>
      </c>
      <c r="F1031" s="56">
        <v>46</v>
      </c>
      <c r="G1031" s="56">
        <v>128.5</v>
      </c>
      <c r="H1031" s="64">
        <v>72</v>
      </c>
      <c r="I1031" s="56">
        <v>76</v>
      </c>
      <c r="J1031" s="56">
        <v>48</v>
      </c>
      <c r="K1031" s="52">
        <f t="shared" si="53"/>
        <v>485.5</v>
      </c>
      <c r="L1031" s="27">
        <f t="shared" si="51"/>
        <v>14</v>
      </c>
      <c r="M1031" s="25">
        <f t="shared" si="52"/>
        <v>71</v>
      </c>
      <c r="N1031" s="26" t="s">
        <v>17</v>
      </c>
      <c r="O1031" s="26" t="s">
        <v>2243</v>
      </c>
    </row>
    <row r="1032" spans="1:15">
      <c r="A1032" s="56" t="s">
        <v>3266</v>
      </c>
      <c r="B1032" s="56" t="s">
        <v>2039</v>
      </c>
      <c r="C1032" s="56" t="s">
        <v>2074</v>
      </c>
      <c r="D1032" s="56" t="s">
        <v>2075</v>
      </c>
      <c r="E1032" s="56">
        <v>112</v>
      </c>
      <c r="F1032" s="56">
        <v>80</v>
      </c>
      <c r="G1032" s="56">
        <v>115.5</v>
      </c>
      <c r="H1032" s="64">
        <v>87</v>
      </c>
      <c r="I1032" s="56">
        <v>73</v>
      </c>
      <c r="J1032" s="56">
        <v>59</v>
      </c>
      <c r="K1032" s="52">
        <f t="shared" si="53"/>
        <v>526.5</v>
      </c>
      <c r="L1032" s="27">
        <f t="shared" si="51"/>
        <v>4</v>
      </c>
      <c r="M1032" s="25">
        <f t="shared" si="52"/>
        <v>39</v>
      </c>
      <c r="N1032" s="26" t="s">
        <v>16</v>
      </c>
      <c r="O1032" s="26" t="s">
        <v>2243</v>
      </c>
    </row>
    <row r="1033" spans="1:15">
      <c r="A1033" s="56" t="s">
        <v>3267</v>
      </c>
      <c r="B1033" s="56" t="s">
        <v>2039</v>
      </c>
      <c r="C1033" s="56" t="s">
        <v>2220</v>
      </c>
      <c r="D1033" s="56" t="s">
        <v>2221</v>
      </c>
      <c r="E1033" s="56">
        <v>105</v>
      </c>
      <c r="F1033" s="56">
        <v>46</v>
      </c>
      <c r="G1033" s="56">
        <v>96.5</v>
      </c>
      <c r="H1033" s="64">
        <v>76</v>
      </c>
      <c r="I1033" s="56">
        <v>72</v>
      </c>
      <c r="J1033" s="56">
        <v>38</v>
      </c>
      <c r="K1033" s="52">
        <f t="shared" si="53"/>
        <v>433.5</v>
      </c>
      <c r="L1033" s="27">
        <f t="shared" si="51"/>
        <v>29</v>
      </c>
      <c r="M1033" s="25">
        <f t="shared" si="52"/>
        <v>112</v>
      </c>
      <c r="N1033" s="26" t="s">
        <v>17</v>
      </c>
      <c r="O1033" s="26" t="s">
        <v>2243</v>
      </c>
    </row>
    <row r="1034" spans="1:15">
      <c r="A1034" s="56" t="s">
        <v>3268</v>
      </c>
      <c r="B1034" s="56" t="s">
        <v>2039</v>
      </c>
      <c r="C1034" s="56" t="s">
        <v>2230</v>
      </c>
      <c r="D1034" s="56" t="s">
        <v>2231</v>
      </c>
      <c r="E1034" s="56">
        <v>107</v>
      </c>
      <c r="F1034" s="56">
        <v>35</v>
      </c>
      <c r="G1034" s="56">
        <v>96.5</v>
      </c>
      <c r="H1034" s="64">
        <v>64</v>
      </c>
      <c r="I1034" s="56">
        <v>80</v>
      </c>
      <c r="J1034" s="56">
        <v>36</v>
      </c>
      <c r="K1034" s="52">
        <f t="shared" si="53"/>
        <v>418.5</v>
      </c>
      <c r="L1034" s="27">
        <f t="shared" si="51"/>
        <v>31</v>
      </c>
      <c r="M1034" s="25">
        <f t="shared" si="52"/>
        <v>117</v>
      </c>
      <c r="N1034" s="26" t="s">
        <v>17</v>
      </c>
      <c r="O1034" s="26" t="s">
        <v>2243</v>
      </c>
    </row>
    <row r="1035" spans="1:15">
      <c r="A1035" s="56" t="s">
        <v>3269</v>
      </c>
      <c r="B1035" s="56" t="s">
        <v>2039</v>
      </c>
      <c r="C1035" s="56" t="s">
        <v>2116</v>
      </c>
      <c r="D1035" s="56" t="s">
        <v>2117</v>
      </c>
      <c r="E1035" s="56">
        <v>121</v>
      </c>
      <c r="F1035" s="56">
        <v>65</v>
      </c>
      <c r="G1035" s="56">
        <v>128.5</v>
      </c>
      <c r="H1035" s="64">
        <v>67</v>
      </c>
      <c r="I1035" s="56">
        <v>69</v>
      </c>
      <c r="J1035" s="56">
        <v>50</v>
      </c>
      <c r="K1035" s="52">
        <f t="shared" si="53"/>
        <v>500.5</v>
      </c>
      <c r="L1035" s="27">
        <f t="shared" si="51"/>
        <v>9</v>
      </c>
      <c r="M1035" s="25">
        <f t="shared" si="52"/>
        <v>60</v>
      </c>
      <c r="N1035" s="26" t="s">
        <v>17</v>
      </c>
      <c r="O1035" s="26" t="s">
        <v>42</v>
      </c>
    </row>
    <row r="1036" spans="1:15">
      <c r="A1036" s="56" t="s">
        <v>3270</v>
      </c>
      <c r="B1036" s="56" t="s">
        <v>2039</v>
      </c>
      <c r="C1036" s="56" t="s">
        <v>2082</v>
      </c>
      <c r="D1036" s="56" t="s">
        <v>2083</v>
      </c>
      <c r="E1036" s="56">
        <v>120</v>
      </c>
      <c r="F1036" s="56">
        <v>78</v>
      </c>
      <c r="G1036" s="56">
        <v>104</v>
      </c>
      <c r="H1036" s="64">
        <v>79</v>
      </c>
      <c r="I1036" s="56">
        <v>74</v>
      </c>
      <c r="J1036" s="56">
        <v>65</v>
      </c>
      <c r="K1036" s="52">
        <f t="shared" si="53"/>
        <v>520</v>
      </c>
      <c r="L1036" s="27">
        <f t="shared" si="51"/>
        <v>5</v>
      </c>
      <c r="M1036" s="25">
        <f t="shared" si="52"/>
        <v>43</v>
      </c>
      <c r="N1036" s="26" t="s">
        <v>17</v>
      </c>
      <c r="O1036" s="26" t="s">
        <v>2243</v>
      </c>
    </row>
    <row r="1037" spans="1:15">
      <c r="A1037" s="56" t="s">
        <v>3271</v>
      </c>
      <c r="B1037" s="56" t="s">
        <v>2039</v>
      </c>
      <c r="C1037" s="56" t="s">
        <v>2218</v>
      </c>
      <c r="D1037" s="56" t="s">
        <v>2219</v>
      </c>
      <c r="E1037" s="56">
        <v>98</v>
      </c>
      <c r="F1037" s="56">
        <v>46</v>
      </c>
      <c r="G1037" s="56">
        <v>107.5</v>
      </c>
      <c r="H1037" s="64">
        <v>73</v>
      </c>
      <c r="I1037" s="56">
        <v>66</v>
      </c>
      <c r="J1037" s="56">
        <v>44</v>
      </c>
      <c r="K1037" s="52">
        <f t="shared" si="53"/>
        <v>434.5</v>
      </c>
      <c r="L1037" s="27">
        <f t="shared" si="51"/>
        <v>28</v>
      </c>
      <c r="M1037" s="25">
        <f t="shared" si="52"/>
        <v>111</v>
      </c>
      <c r="N1037" s="26" t="s">
        <v>17</v>
      </c>
      <c r="O1037" s="26" t="s">
        <v>2243</v>
      </c>
    </row>
    <row r="1038" spans="1:15">
      <c r="A1038" s="56" t="s">
        <v>3272</v>
      </c>
      <c r="B1038" s="56" t="s">
        <v>2039</v>
      </c>
      <c r="C1038" s="56" t="s">
        <v>2092</v>
      </c>
      <c r="D1038" s="56" t="s">
        <v>2093</v>
      </c>
      <c r="E1038" s="56">
        <v>100</v>
      </c>
      <c r="F1038" s="56">
        <v>103</v>
      </c>
      <c r="G1038" s="56">
        <v>113</v>
      </c>
      <c r="H1038" s="64">
        <v>68</v>
      </c>
      <c r="I1038" s="56">
        <v>78</v>
      </c>
      <c r="J1038" s="56">
        <v>56</v>
      </c>
      <c r="K1038" s="52">
        <f t="shared" si="53"/>
        <v>518</v>
      </c>
      <c r="L1038" s="27">
        <f t="shared" si="51"/>
        <v>7</v>
      </c>
      <c r="M1038" s="25">
        <f t="shared" si="52"/>
        <v>48</v>
      </c>
      <c r="N1038" s="26" t="s">
        <v>17</v>
      </c>
      <c r="O1038" s="26" t="s">
        <v>2243</v>
      </c>
    </row>
    <row r="1039" spans="1:15">
      <c r="A1039" s="56" t="s">
        <v>3273</v>
      </c>
      <c r="B1039" s="56" t="s">
        <v>2039</v>
      </c>
      <c r="C1039" s="56" t="s">
        <v>2122</v>
      </c>
      <c r="D1039" s="56" t="s">
        <v>2123</v>
      </c>
      <c r="E1039" s="56">
        <v>112</v>
      </c>
      <c r="F1039" s="56">
        <v>81</v>
      </c>
      <c r="G1039" s="56">
        <v>115</v>
      </c>
      <c r="H1039" s="64">
        <v>77</v>
      </c>
      <c r="I1039" s="56">
        <v>61</v>
      </c>
      <c r="J1039" s="56">
        <v>52</v>
      </c>
      <c r="K1039" s="52">
        <f t="shared" si="53"/>
        <v>498</v>
      </c>
      <c r="L1039" s="27">
        <f t="shared" si="51"/>
        <v>10</v>
      </c>
      <c r="M1039" s="25">
        <f t="shared" si="52"/>
        <v>63</v>
      </c>
      <c r="N1039" s="26" t="s">
        <v>17</v>
      </c>
      <c r="O1039" s="26" t="s">
        <v>2243</v>
      </c>
    </row>
    <row r="1040" spans="1:15">
      <c r="A1040" s="56" t="s">
        <v>3274</v>
      </c>
      <c r="B1040" s="56" t="s">
        <v>2010</v>
      </c>
      <c r="C1040" s="56" t="s">
        <v>2202</v>
      </c>
      <c r="D1040" s="56" t="s">
        <v>2203</v>
      </c>
      <c r="E1040" s="56">
        <v>103</v>
      </c>
      <c r="F1040" s="56">
        <v>46</v>
      </c>
      <c r="G1040" s="56">
        <v>127</v>
      </c>
      <c r="H1040" s="64">
        <v>72</v>
      </c>
      <c r="I1040" s="56">
        <v>66</v>
      </c>
      <c r="J1040" s="56">
        <v>33</v>
      </c>
      <c r="K1040" s="52">
        <f t="shared" si="53"/>
        <v>447</v>
      </c>
      <c r="L1040" s="27">
        <f>RANK(K1040,$K$1040:$K$1073)</f>
        <v>29</v>
      </c>
      <c r="M1040" s="25">
        <f t="shared" si="52"/>
        <v>103</v>
      </c>
      <c r="N1040" s="26" t="s">
        <v>17</v>
      </c>
      <c r="O1040" s="26" t="s">
        <v>2243</v>
      </c>
    </row>
    <row r="1041" spans="1:15">
      <c r="A1041" s="56" t="s">
        <v>3275</v>
      </c>
      <c r="B1041" s="56" t="s">
        <v>2010</v>
      </c>
      <c r="C1041" s="56" t="s">
        <v>2148</v>
      </c>
      <c r="D1041" s="56" t="s">
        <v>2149</v>
      </c>
      <c r="E1041" s="56">
        <v>106</v>
      </c>
      <c r="F1041" s="56">
        <v>48</v>
      </c>
      <c r="G1041" s="56">
        <v>123</v>
      </c>
      <c r="H1041" s="64">
        <v>81</v>
      </c>
      <c r="I1041" s="56">
        <v>79</v>
      </c>
      <c r="J1041" s="56">
        <v>46</v>
      </c>
      <c r="K1041" s="52">
        <f t="shared" si="53"/>
        <v>483</v>
      </c>
      <c r="L1041" s="27">
        <f t="shared" ref="L1041:L1073" si="54">RANK(K1041,$K$1040:$K$1073)</f>
        <v>13</v>
      </c>
      <c r="M1041" s="25">
        <f t="shared" si="52"/>
        <v>76</v>
      </c>
      <c r="N1041" s="26" t="s">
        <v>16</v>
      </c>
      <c r="O1041" s="26" t="s">
        <v>44</v>
      </c>
    </row>
    <row r="1042" spans="1:15">
      <c r="A1042" s="56" t="s">
        <v>3276</v>
      </c>
      <c r="B1042" s="56" t="s">
        <v>2010</v>
      </c>
      <c r="C1042" s="56" t="s">
        <v>2009</v>
      </c>
      <c r="D1042" s="56" t="s">
        <v>38</v>
      </c>
      <c r="E1042" s="56">
        <v>121</v>
      </c>
      <c r="F1042" s="56">
        <v>112</v>
      </c>
      <c r="G1042" s="56">
        <v>125</v>
      </c>
      <c r="H1042" s="64">
        <v>78</v>
      </c>
      <c r="I1042" s="56">
        <v>84</v>
      </c>
      <c r="J1042" s="56">
        <v>79</v>
      </c>
      <c r="K1042" s="52">
        <f t="shared" si="53"/>
        <v>599</v>
      </c>
      <c r="L1042" s="27">
        <f t="shared" si="54"/>
        <v>1</v>
      </c>
      <c r="M1042" s="25">
        <f t="shared" si="52"/>
        <v>7</v>
      </c>
      <c r="N1042" s="26"/>
      <c r="O1042" s="26" t="s">
        <v>44</v>
      </c>
    </row>
    <row r="1043" spans="1:15">
      <c r="A1043" s="56" t="s">
        <v>3277</v>
      </c>
      <c r="B1043" s="56" t="s">
        <v>2010</v>
      </c>
      <c r="C1043" s="56" t="s">
        <v>2222</v>
      </c>
      <c r="D1043" s="56" t="s">
        <v>2223</v>
      </c>
      <c r="E1043" s="56">
        <v>103</v>
      </c>
      <c r="F1043" s="56">
        <v>41</v>
      </c>
      <c r="G1043" s="56">
        <v>107</v>
      </c>
      <c r="H1043" s="64">
        <v>65</v>
      </c>
      <c r="I1043" s="56">
        <v>72</v>
      </c>
      <c r="J1043" s="56">
        <v>45</v>
      </c>
      <c r="K1043" s="52">
        <f t="shared" si="53"/>
        <v>433</v>
      </c>
      <c r="L1043" s="27">
        <f t="shared" si="54"/>
        <v>32</v>
      </c>
      <c r="M1043" s="25">
        <f t="shared" si="52"/>
        <v>113</v>
      </c>
      <c r="N1043" s="26" t="s">
        <v>17</v>
      </c>
      <c r="O1043" s="26" t="s">
        <v>42</v>
      </c>
    </row>
    <row r="1044" spans="1:15">
      <c r="A1044" s="56" t="s">
        <v>3278</v>
      </c>
      <c r="B1044" s="56" t="s">
        <v>2010</v>
      </c>
      <c r="C1044" s="56" t="s">
        <v>2216</v>
      </c>
      <c r="D1044" s="56" t="s">
        <v>2217</v>
      </c>
      <c r="E1044" s="56">
        <v>78</v>
      </c>
      <c r="F1044" s="56">
        <v>57</v>
      </c>
      <c r="G1044" s="56">
        <v>113</v>
      </c>
      <c r="H1044" s="64">
        <v>66</v>
      </c>
      <c r="I1044" s="56">
        <v>70</v>
      </c>
      <c r="J1044" s="56">
        <v>52</v>
      </c>
      <c r="K1044" s="52">
        <f t="shared" si="53"/>
        <v>436</v>
      </c>
      <c r="L1044" s="27">
        <f t="shared" si="54"/>
        <v>31</v>
      </c>
      <c r="M1044" s="25">
        <f t="shared" si="52"/>
        <v>110</v>
      </c>
      <c r="N1044" s="26" t="s">
        <v>16</v>
      </c>
      <c r="O1044" s="26" t="s">
        <v>44</v>
      </c>
    </row>
    <row r="1045" spans="1:15">
      <c r="A1045" s="56" t="s">
        <v>3279</v>
      </c>
      <c r="B1045" s="56" t="s">
        <v>2010</v>
      </c>
      <c r="C1045" s="56" t="s">
        <v>2226</v>
      </c>
      <c r="D1045" s="56" t="s">
        <v>2227</v>
      </c>
      <c r="E1045" s="56">
        <v>111</v>
      </c>
      <c r="F1045" s="56">
        <v>31</v>
      </c>
      <c r="G1045" s="56">
        <v>100</v>
      </c>
      <c r="H1045" s="64">
        <v>61</v>
      </c>
      <c r="I1045" s="56">
        <v>81</v>
      </c>
      <c r="J1045" s="56">
        <v>41</v>
      </c>
      <c r="K1045" s="52">
        <f t="shared" si="53"/>
        <v>425</v>
      </c>
      <c r="L1045" s="27">
        <f t="shared" si="54"/>
        <v>34</v>
      </c>
      <c r="M1045" s="25">
        <f t="shared" si="52"/>
        <v>115</v>
      </c>
      <c r="N1045" s="26" t="s">
        <v>17</v>
      </c>
      <c r="O1045" s="26" t="s">
        <v>2243</v>
      </c>
    </row>
    <row r="1046" spans="1:15">
      <c r="A1046" s="56" t="s">
        <v>3280</v>
      </c>
      <c r="B1046" s="56" t="s">
        <v>2010</v>
      </c>
      <c r="C1046" s="56" t="s">
        <v>2154</v>
      </c>
      <c r="D1046" s="56" t="s">
        <v>2155</v>
      </c>
      <c r="E1046" s="56">
        <v>112</v>
      </c>
      <c r="F1046" s="56">
        <v>61</v>
      </c>
      <c r="G1046" s="56">
        <v>120</v>
      </c>
      <c r="H1046" s="64">
        <v>74</v>
      </c>
      <c r="I1046" s="56">
        <v>67</v>
      </c>
      <c r="J1046" s="56">
        <v>43</v>
      </c>
      <c r="K1046" s="52">
        <f t="shared" si="53"/>
        <v>477</v>
      </c>
      <c r="L1046" s="27">
        <f t="shared" si="54"/>
        <v>15</v>
      </c>
      <c r="M1046" s="25">
        <f t="shared" si="52"/>
        <v>79</v>
      </c>
      <c r="N1046" s="26" t="s">
        <v>17</v>
      </c>
      <c r="O1046" s="26" t="s">
        <v>2243</v>
      </c>
    </row>
    <row r="1047" spans="1:15">
      <c r="A1047" s="56" t="s">
        <v>3281</v>
      </c>
      <c r="B1047" s="56" t="s">
        <v>2010</v>
      </c>
      <c r="C1047" s="56" t="s">
        <v>2198</v>
      </c>
      <c r="D1047" s="56" t="s">
        <v>2199</v>
      </c>
      <c r="E1047" s="56">
        <v>111</v>
      </c>
      <c r="F1047" s="56">
        <v>64</v>
      </c>
      <c r="G1047" s="56">
        <v>90</v>
      </c>
      <c r="H1047" s="64">
        <v>79</v>
      </c>
      <c r="I1047" s="56">
        <v>68</v>
      </c>
      <c r="J1047" s="56">
        <v>40</v>
      </c>
      <c r="K1047" s="52">
        <f t="shared" si="53"/>
        <v>452</v>
      </c>
      <c r="L1047" s="27">
        <f t="shared" si="54"/>
        <v>27</v>
      </c>
      <c r="M1047" s="25">
        <f t="shared" si="52"/>
        <v>101</v>
      </c>
      <c r="N1047" s="26" t="s">
        <v>17</v>
      </c>
      <c r="O1047" s="26" t="s">
        <v>42</v>
      </c>
    </row>
    <row r="1048" spans="1:15">
      <c r="A1048" s="56" t="s">
        <v>3282</v>
      </c>
      <c r="B1048" s="56" t="s">
        <v>2010</v>
      </c>
      <c r="C1048" s="56" t="s">
        <v>2152</v>
      </c>
      <c r="D1048" s="56" t="s">
        <v>2153</v>
      </c>
      <c r="E1048" s="56">
        <v>100</v>
      </c>
      <c r="F1048" s="56">
        <v>85</v>
      </c>
      <c r="G1048" s="56">
        <v>96.5</v>
      </c>
      <c r="H1048" s="64">
        <v>81</v>
      </c>
      <c r="I1048" s="56">
        <v>67</v>
      </c>
      <c r="J1048" s="56">
        <v>49</v>
      </c>
      <c r="K1048" s="52">
        <f t="shared" si="53"/>
        <v>478.5</v>
      </c>
      <c r="L1048" s="27">
        <f t="shared" si="54"/>
        <v>14</v>
      </c>
      <c r="M1048" s="25">
        <f t="shared" si="52"/>
        <v>78</v>
      </c>
      <c r="N1048" s="26" t="s">
        <v>17</v>
      </c>
      <c r="O1048" s="26" t="s">
        <v>2243</v>
      </c>
    </row>
    <row r="1049" spans="1:15">
      <c r="A1049" s="56" t="s">
        <v>3283</v>
      </c>
      <c r="B1049" s="56" t="s">
        <v>2010</v>
      </c>
      <c r="C1049" s="56" t="s">
        <v>2192</v>
      </c>
      <c r="D1049" s="56" t="s">
        <v>2193</v>
      </c>
      <c r="E1049" s="56">
        <v>104</v>
      </c>
      <c r="F1049" s="56">
        <v>50</v>
      </c>
      <c r="G1049" s="56">
        <v>112</v>
      </c>
      <c r="H1049" s="64">
        <v>72</v>
      </c>
      <c r="I1049" s="56">
        <v>70</v>
      </c>
      <c r="J1049" s="56">
        <v>46</v>
      </c>
      <c r="K1049" s="52">
        <f t="shared" si="53"/>
        <v>454</v>
      </c>
      <c r="L1049" s="27">
        <f t="shared" si="54"/>
        <v>25</v>
      </c>
      <c r="M1049" s="25">
        <f t="shared" si="52"/>
        <v>98</v>
      </c>
      <c r="N1049" s="26" t="s">
        <v>17</v>
      </c>
      <c r="O1049" s="26" t="s">
        <v>2243</v>
      </c>
    </row>
    <row r="1050" spans="1:15">
      <c r="A1050" s="56" t="s">
        <v>3284</v>
      </c>
      <c r="B1050" s="56" t="s">
        <v>2010</v>
      </c>
      <c r="C1050" s="56" t="s">
        <v>2188</v>
      </c>
      <c r="D1050" s="56" t="s">
        <v>2189</v>
      </c>
      <c r="E1050" s="56">
        <v>111</v>
      </c>
      <c r="F1050" s="56">
        <v>74</v>
      </c>
      <c r="G1050" s="56">
        <v>112</v>
      </c>
      <c r="H1050" s="64">
        <v>55</v>
      </c>
      <c r="I1050" s="56">
        <v>51</v>
      </c>
      <c r="J1050" s="56">
        <v>53</v>
      </c>
      <c r="K1050" s="52">
        <f t="shared" si="53"/>
        <v>456</v>
      </c>
      <c r="L1050" s="27">
        <f t="shared" si="54"/>
        <v>23</v>
      </c>
      <c r="M1050" s="25">
        <f t="shared" si="52"/>
        <v>96</v>
      </c>
      <c r="N1050" s="26" t="s">
        <v>17</v>
      </c>
      <c r="O1050" s="26" t="s">
        <v>42</v>
      </c>
    </row>
    <row r="1051" spans="1:15">
      <c r="A1051" s="56" t="s">
        <v>3285</v>
      </c>
      <c r="B1051" s="56" t="s">
        <v>2010</v>
      </c>
      <c r="C1051" s="56" t="s">
        <v>2124</v>
      </c>
      <c r="D1051" s="56" t="s">
        <v>2125</v>
      </c>
      <c r="E1051" s="56">
        <v>112</v>
      </c>
      <c r="F1051" s="56">
        <v>67</v>
      </c>
      <c r="G1051" s="56">
        <v>97.5</v>
      </c>
      <c r="H1051" s="64">
        <v>80</v>
      </c>
      <c r="I1051" s="56">
        <v>79</v>
      </c>
      <c r="J1051" s="56">
        <v>62</v>
      </c>
      <c r="K1051" s="52">
        <f t="shared" si="53"/>
        <v>497.5</v>
      </c>
      <c r="L1051" s="27">
        <f t="shared" si="54"/>
        <v>10</v>
      </c>
      <c r="M1051" s="25">
        <f t="shared" si="52"/>
        <v>64</v>
      </c>
      <c r="N1051" s="26" t="s">
        <v>17</v>
      </c>
      <c r="O1051" s="26" t="s">
        <v>2243</v>
      </c>
    </row>
    <row r="1052" spans="1:15">
      <c r="A1052" s="56" t="s">
        <v>3286</v>
      </c>
      <c r="B1052" s="56" t="s">
        <v>2010</v>
      </c>
      <c r="C1052" s="56" t="s">
        <v>2112</v>
      </c>
      <c r="D1052" s="56" t="s">
        <v>2113</v>
      </c>
      <c r="E1052" s="56">
        <v>116</v>
      </c>
      <c r="F1052" s="56">
        <v>82</v>
      </c>
      <c r="G1052" s="56">
        <v>114</v>
      </c>
      <c r="H1052" s="64">
        <v>75</v>
      </c>
      <c r="I1052" s="56">
        <v>70</v>
      </c>
      <c r="J1052" s="56">
        <v>45</v>
      </c>
      <c r="K1052" s="52">
        <f t="shared" si="53"/>
        <v>502</v>
      </c>
      <c r="L1052" s="27">
        <f t="shared" si="54"/>
        <v>9</v>
      </c>
      <c r="M1052" s="25">
        <f t="shared" si="52"/>
        <v>58</v>
      </c>
      <c r="N1052" s="26" t="s">
        <v>17</v>
      </c>
      <c r="O1052" s="26" t="s">
        <v>2243</v>
      </c>
    </row>
    <row r="1053" spans="1:15">
      <c r="A1053" s="56" t="s">
        <v>3287</v>
      </c>
      <c r="B1053" s="56" t="s">
        <v>2010</v>
      </c>
      <c r="C1053" s="56" t="s">
        <v>2196</v>
      </c>
      <c r="D1053" s="56" t="s">
        <v>2197</v>
      </c>
      <c r="E1053" s="56">
        <v>111</v>
      </c>
      <c r="F1053" s="56">
        <v>39</v>
      </c>
      <c r="G1053" s="56">
        <v>107.5</v>
      </c>
      <c r="H1053" s="64">
        <v>75</v>
      </c>
      <c r="I1053" s="56">
        <v>75</v>
      </c>
      <c r="J1053" s="56">
        <v>45</v>
      </c>
      <c r="K1053" s="52">
        <f t="shared" si="53"/>
        <v>452.5</v>
      </c>
      <c r="L1053" s="27">
        <f t="shared" si="54"/>
        <v>26</v>
      </c>
      <c r="M1053" s="25">
        <f t="shared" si="52"/>
        <v>100</v>
      </c>
      <c r="N1053" s="26" t="s">
        <v>17</v>
      </c>
      <c r="O1053" s="26" t="s">
        <v>2243</v>
      </c>
    </row>
    <row r="1054" spans="1:15">
      <c r="A1054" s="56" t="s">
        <v>3288</v>
      </c>
      <c r="B1054" s="56" t="s">
        <v>2010</v>
      </c>
      <c r="C1054" s="56" t="s">
        <v>2164</v>
      </c>
      <c r="D1054" s="56" t="s">
        <v>2165</v>
      </c>
      <c r="E1054" s="56">
        <v>116</v>
      </c>
      <c r="F1054" s="56">
        <v>54</v>
      </c>
      <c r="G1054" s="56">
        <v>102.5</v>
      </c>
      <c r="H1054" s="64">
        <v>72</v>
      </c>
      <c r="I1054" s="56">
        <v>79</v>
      </c>
      <c r="J1054" s="56">
        <v>49</v>
      </c>
      <c r="K1054" s="52">
        <f t="shared" si="53"/>
        <v>472.5</v>
      </c>
      <c r="L1054" s="27">
        <f t="shared" si="54"/>
        <v>17</v>
      </c>
      <c r="M1054" s="25">
        <f t="shared" si="52"/>
        <v>84</v>
      </c>
      <c r="N1054" s="26" t="s">
        <v>16</v>
      </c>
      <c r="O1054" s="26" t="s">
        <v>44</v>
      </c>
    </row>
    <row r="1055" spans="1:15">
      <c r="A1055" s="56" t="s">
        <v>3289</v>
      </c>
      <c r="B1055" s="56" t="s">
        <v>2010</v>
      </c>
      <c r="C1055" s="56" t="s">
        <v>2060</v>
      </c>
      <c r="D1055" s="56" t="s">
        <v>2061</v>
      </c>
      <c r="E1055" s="56">
        <v>126</v>
      </c>
      <c r="F1055" s="56">
        <v>84</v>
      </c>
      <c r="G1055" s="56">
        <v>113</v>
      </c>
      <c r="H1055" s="64">
        <v>79</v>
      </c>
      <c r="I1055" s="56">
        <v>77</v>
      </c>
      <c r="J1055" s="56">
        <v>53</v>
      </c>
      <c r="K1055" s="52">
        <f t="shared" si="53"/>
        <v>532</v>
      </c>
      <c r="L1055" s="27">
        <f t="shared" si="54"/>
        <v>3</v>
      </c>
      <c r="M1055" s="25">
        <f t="shared" si="52"/>
        <v>32</v>
      </c>
      <c r="N1055" s="26" t="s">
        <v>17</v>
      </c>
      <c r="O1055" s="26" t="s">
        <v>2243</v>
      </c>
    </row>
    <row r="1056" spans="1:15">
      <c r="A1056" s="56" t="s">
        <v>3290</v>
      </c>
      <c r="B1056" s="56" t="s">
        <v>2010</v>
      </c>
      <c r="C1056" s="56" t="s">
        <v>2104</v>
      </c>
      <c r="D1056" s="56" t="s">
        <v>2105</v>
      </c>
      <c r="E1056" s="56">
        <v>119</v>
      </c>
      <c r="F1056" s="56">
        <v>82</v>
      </c>
      <c r="G1056" s="56">
        <v>96.5</v>
      </c>
      <c r="H1056" s="64">
        <v>75</v>
      </c>
      <c r="I1056" s="56">
        <v>85</v>
      </c>
      <c r="J1056" s="56">
        <v>55</v>
      </c>
      <c r="K1056" s="52">
        <f t="shared" si="53"/>
        <v>512.5</v>
      </c>
      <c r="L1056" s="27">
        <f t="shared" si="54"/>
        <v>7</v>
      </c>
      <c r="M1056" s="25">
        <f t="shared" si="52"/>
        <v>54</v>
      </c>
      <c r="N1056" s="26" t="s">
        <v>16</v>
      </c>
      <c r="O1056" s="26" t="s">
        <v>2243</v>
      </c>
    </row>
    <row r="1057" spans="1:15">
      <c r="A1057" s="56" t="s">
        <v>3291</v>
      </c>
      <c r="B1057" s="56" t="s">
        <v>2010</v>
      </c>
      <c r="C1057" s="56" t="s">
        <v>2126</v>
      </c>
      <c r="D1057" s="56" t="s">
        <v>2127</v>
      </c>
      <c r="E1057" s="56">
        <v>97</v>
      </c>
      <c r="F1057" s="56">
        <v>45</v>
      </c>
      <c r="G1057" s="56">
        <v>134</v>
      </c>
      <c r="H1057" s="64">
        <v>78</v>
      </c>
      <c r="I1057" s="56">
        <v>82</v>
      </c>
      <c r="J1057" s="56">
        <v>59</v>
      </c>
      <c r="K1057" s="52">
        <f t="shared" si="53"/>
        <v>495</v>
      </c>
      <c r="L1057" s="27">
        <f t="shared" si="54"/>
        <v>11</v>
      </c>
      <c r="M1057" s="25">
        <f t="shared" si="52"/>
        <v>65</v>
      </c>
      <c r="N1057" s="26" t="s">
        <v>17</v>
      </c>
      <c r="O1057" s="26" t="s">
        <v>2243</v>
      </c>
    </row>
    <row r="1058" spans="1:15">
      <c r="A1058" s="56" t="s">
        <v>3292</v>
      </c>
      <c r="B1058" s="56" t="s">
        <v>2010</v>
      </c>
      <c r="C1058" s="56" t="s">
        <v>2142</v>
      </c>
      <c r="D1058" s="56" t="s">
        <v>2143</v>
      </c>
      <c r="E1058" s="56">
        <v>98</v>
      </c>
      <c r="F1058" s="56">
        <v>75</v>
      </c>
      <c r="G1058" s="56">
        <v>108.5</v>
      </c>
      <c r="H1058" s="64">
        <v>74</v>
      </c>
      <c r="I1058" s="56">
        <v>69</v>
      </c>
      <c r="J1058" s="56">
        <v>60</v>
      </c>
      <c r="K1058" s="52">
        <f t="shared" si="53"/>
        <v>484.5</v>
      </c>
      <c r="L1058" s="27">
        <f t="shared" si="54"/>
        <v>12</v>
      </c>
      <c r="M1058" s="25">
        <f t="shared" si="52"/>
        <v>73</v>
      </c>
      <c r="N1058" s="26" t="s">
        <v>16</v>
      </c>
      <c r="O1058" s="26" t="s">
        <v>2243</v>
      </c>
    </row>
    <row r="1059" spans="1:15">
      <c r="A1059" s="56" t="s">
        <v>3293</v>
      </c>
      <c r="B1059" s="56" t="s">
        <v>2010</v>
      </c>
      <c r="C1059" s="56" t="s">
        <v>2062</v>
      </c>
      <c r="D1059" s="56" t="s">
        <v>2063</v>
      </c>
      <c r="E1059" s="56">
        <v>112</v>
      </c>
      <c r="F1059" s="56">
        <v>100</v>
      </c>
      <c r="G1059" s="56">
        <v>111</v>
      </c>
      <c r="H1059" s="64">
        <v>79</v>
      </c>
      <c r="I1059" s="56">
        <v>81</v>
      </c>
      <c r="J1059" s="56">
        <v>48</v>
      </c>
      <c r="K1059" s="52">
        <f t="shared" si="53"/>
        <v>531</v>
      </c>
      <c r="L1059" s="27">
        <f t="shared" si="54"/>
        <v>4</v>
      </c>
      <c r="M1059" s="25">
        <f t="shared" si="52"/>
        <v>33</v>
      </c>
      <c r="N1059" s="26" t="s">
        <v>17</v>
      </c>
      <c r="O1059" s="26" t="s">
        <v>2243</v>
      </c>
    </row>
    <row r="1060" spans="1:15">
      <c r="A1060" s="56" t="s">
        <v>3294</v>
      </c>
      <c r="B1060" s="56" t="s">
        <v>2010</v>
      </c>
      <c r="C1060" s="56" t="s">
        <v>2170</v>
      </c>
      <c r="D1060" s="56" t="s">
        <v>2171</v>
      </c>
      <c r="E1060" s="56">
        <v>106</v>
      </c>
      <c r="F1060" s="56">
        <v>92</v>
      </c>
      <c r="G1060" s="56">
        <v>88.5</v>
      </c>
      <c r="H1060" s="64">
        <v>71</v>
      </c>
      <c r="I1060" s="56">
        <v>63</v>
      </c>
      <c r="J1060" s="56">
        <v>49</v>
      </c>
      <c r="K1060" s="52">
        <f t="shared" si="53"/>
        <v>469.5</v>
      </c>
      <c r="L1060" s="27">
        <f t="shared" si="54"/>
        <v>19</v>
      </c>
      <c r="M1060" s="25">
        <f t="shared" si="52"/>
        <v>86</v>
      </c>
      <c r="N1060" s="26" t="s">
        <v>17</v>
      </c>
      <c r="O1060" s="26" t="s">
        <v>42</v>
      </c>
    </row>
    <row r="1061" spans="1:15">
      <c r="A1061" s="56" t="s">
        <v>3295</v>
      </c>
      <c r="B1061" s="56" t="s">
        <v>2010</v>
      </c>
      <c r="C1061" s="56" t="s">
        <v>2078</v>
      </c>
      <c r="D1061" s="56" t="s">
        <v>2079</v>
      </c>
      <c r="E1061" s="56">
        <v>113</v>
      </c>
      <c r="F1061" s="56">
        <v>88</v>
      </c>
      <c r="G1061" s="56">
        <v>118</v>
      </c>
      <c r="H1061" s="64">
        <v>75</v>
      </c>
      <c r="I1061" s="56">
        <v>72</v>
      </c>
      <c r="J1061" s="56">
        <v>55</v>
      </c>
      <c r="K1061" s="52">
        <f t="shared" si="53"/>
        <v>521</v>
      </c>
      <c r="L1061" s="27">
        <f t="shared" si="54"/>
        <v>5</v>
      </c>
      <c r="M1061" s="25">
        <f t="shared" si="52"/>
        <v>41</v>
      </c>
      <c r="N1061" s="26" t="s">
        <v>17</v>
      </c>
      <c r="O1061" s="26" t="s">
        <v>2243</v>
      </c>
    </row>
    <row r="1062" spans="1:15">
      <c r="A1062" s="56" t="s">
        <v>3296</v>
      </c>
      <c r="B1062" s="56" t="s">
        <v>2010</v>
      </c>
      <c r="C1062" s="56" t="s">
        <v>2090</v>
      </c>
      <c r="D1062" s="56" t="s">
        <v>2091</v>
      </c>
      <c r="E1062" s="56">
        <v>107</v>
      </c>
      <c r="F1062" s="56">
        <v>78</v>
      </c>
      <c r="G1062" s="56">
        <v>122.5</v>
      </c>
      <c r="H1062" s="64">
        <v>79</v>
      </c>
      <c r="I1062" s="56">
        <v>79</v>
      </c>
      <c r="J1062" s="56">
        <v>53</v>
      </c>
      <c r="K1062" s="52">
        <f t="shared" si="53"/>
        <v>518.5</v>
      </c>
      <c r="L1062" s="27">
        <f t="shared" si="54"/>
        <v>6</v>
      </c>
      <c r="M1062" s="25">
        <f t="shared" si="52"/>
        <v>46</v>
      </c>
      <c r="N1062" s="26" t="s">
        <v>17</v>
      </c>
      <c r="O1062" s="26" t="s">
        <v>2243</v>
      </c>
    </row>
    <row r="1063" spans="1:15">
      <c r="A1063" s="56" t="s">
        <v>3297</v>
      </c>
      <c r="B1063" s="56" t="s">
        <v>2010</v>
      </c>
      <c r="C1063" s="56" t="s">
        <v>2166</v>
      </c>
      <c r="D1063" s="56" t="s">
        <v>2167</v>
      </c>
      <c r="E1063" s="56">
        <v>100</v>
      </c>
      <c r="F1063" s="56">
        <v>69</v>
      </c>
      <c r="G1063" s="56">
        <v>107</v>
      </c>
      <c r="H1063" s="64">
        <v>79</v>
      </c>
      <c r="I1063" s="56">
        <v>66</v>
      </c>
      <c r="J1063" s="56">
        <v>49</v>
      </c>
      <c r="K1063" s="52">
        <f t="shared" si="53"/>
        <v>470</v>
      </c>
      <c r="L1063" s="27">
        <f t="shared" si="54"/>
        <v>18</v>
      </c>
      <c r="M1063" s="25">
        <f t="shared" si="52"/>
        <v>85</v>
      </c>
      <c r="N1063" s="26" t="s">
        <v>17</v>
      </c>
      <c r="O1063" s="26" t="s">
        <v>42</v>
      </c>
    </row>
    <row r="1064" spans="1:15">
      <c r="A1064" s="56" t="s">
        <v>3298</v>
      </c>
      <c r="B1064" s="56" t="s">
        <v>2010</v>
      </c>
      <c r="C1064" s="56" t="s">
        <v>2190</v>
      </c>
      <c r="D1064" s="56" t="s">
        <v>2191</v>
      </c>
      <c r="E1064" s="56">
        <v>122</v>
      </c>
      <c r="F1064" s="56">
        <v>61</v>
      </c>
      <c r="G1064" s="56">
        <v>115</v>
      </c>
      <c r="H1064" s="64">
        <v>62</v>
      </c>
      <c r="I1064" s="56">
        <v>54</v>
      </c>
      <c r="J1064" s="56">
        <v>41</v>
      </c>
      <c r="K1064" s="52">
        <f t="shared" si="53"/>
        <v>455</v>
      </c>
      <c r="L1064" s="27">
        <f t="shared" si="54"/>
        <v>24</v>
      </c>
      <c r="M1064" s="25">
        <f t="shared" si="52"/>
        <v>97</v>
      </c>
      <c r="N1064" s="26" t="s">
        <v>17</v>
      </c>
      <c r="O1064" s="26" t="s">
        <v>2243</v>
      </c>
    </row>
    <row r="1065" spans="1:15">
      <c r="A1065" s="56" t="s">
        <v>3299</v>
      </c>
      <c r="B1065" s="56" t="s">
        <v>2010</v>
      </c>
      <c r="C1065" s="56" t="s">
        <v>2172</v>
      </c>
      <c r="D1065" s="56" t="s">
        <v>2173</v>
      </c>
      <c r="E1065" s="56">
        <v>102</v>
      </c>
      <c r="F1065" s="56">
        <v>38</v>
      </c>
      <c r="G1065" s="56">
        <v>131.5</v>
      </c>
      <c r="H1065" s="64">
        <v>75</v>
      </c>
      <c r="I1065" s="56">
        <v>81</v>
      </c>
      <c r="J1065" s="56">
        <v>42</v>
      </c>
      <c r="K1065" s="52">
        <f t="shared" si="53"/>
        <v>469.5</v>
      </c>
      <c r="L1065" s="27">
        <f t="shared" si="54"/>
        <v>19</v>
      </c>
      <c r="M1065" s="25">
        <f t="shared" si="52"/>
        <v>86</v>
      </c>
      <c r="N1065" s="26" t="s">
        <v>17</v>
      </c>
      <c r="O1065" s="26" t="s">
        <v>2243</v>
      </c>
    </row>
    <row r="1066" spans="1:15">
      <c r="A1066" s="56" t="s">
        <v>3300</v>
      </c>
      <c r="B1066" s="56" t="s">
        <v>2010</v>
      </c>
      <c r="C1066" s="56" t="s">
        <v>2158</v>
      </c>
      <c r="D1066" s="56" t="s">
        <v>2159</v>
      </c>
      <c r="E1066" s="56">
        <v>106</v>
      </c>
      <c r="F1066" s="56">
        <v>60</v>
      </c>
      <c r="G1066" s="56">
        <v>119.5</v>
      </c>
      <c r="H1066" s="64">
        <v>79</v>
      </c>
      <c r="I1066" s="56">
        <v>63</v>
      </c>
      <c r="J1066" s="56">
        <v>49</v>
      </c>
      <c r="K1066" s="52">
        <f t="shared" si="53"/>
        <v>476.5</v>
      </c>
      <c r="L1066" s="27">
        <f t="shared" si="54"/>
        <v>16</v>
      </c>
      <c r="M1066" s="25">
        <f t="shared" si="52"/>
        <v>81</v>
      </c>
      <c r="N1066" s="26" t="s">
        <v>17</v>
      </c>
      <c r="O1066" s="26" t="s">
        <v>2243</v>
      </c>
    </row>
    <row r="1067" spans="1:15">
      <c r="A1067" s="56" t="s">
        <v>3301</v>
      </c>
      <c r="B1067" s="56" t="s">
        <v>2010</v>
      </c>
      <c r="C1067" s="56" t="s">
        <v>2168</v>
      </c>
      <c r="D1067" s="56" t="s">
        <v>2169</v>
      </c>
      <c r="E1067" s="56">
        <v>96</v>
      </c>
      <c r="F1067" s="56">
        <v>81</v>
      </c>
      <c r="G1067" s="56">
        <v>105.5</v>
      </c>
      <c r="H1067" s="64">
        <v>68</v>
      </c>
      <c r="I1067" s="56">
        <v>69</v>
      </c>
      <c r="J1067" s="56">
        <v>50</v>
      </c>
      <c r="K1067" s="52">
        <f t="shared" si="53"/>
        <v>469.5</v>
      </c>
      <c r="L1067" s="27">
        <f t="shared" si="54"/>
        <v>19</v>
      </c>
      <c r="M1067" s="25">
        <f t="shared" si="52"/>
        <v>86</v>
      </c>
      <c r="N1067" s="26" t="s">
        <v>16</v>
      </c>
      <c r="O1067" s="26" t="s">
        <v>44</v>
      </c>
    </row>
    <row r="1068" spans="1:15">
      <c r="A1068" s="56" t="s">
        <v>3302</v>
      </c>
      <c r="B1068" s="56" t="s">
        <v>2010</v>
      </c>
      <c r="C1068" s="56" t="s">
        <v>2050</v>
      </c>
      <c r="D1068" s="56" t="s">
        <v>2051</v>
      </c>
      <c r="E1068" s="56">
        <v>116</v>
      </c>
      <c r="F1068" s="56">
        <v>89</v>
      </c>
      <c r="G1068" s="56">
        <v>125.5</v>
      </c>
      <c r="H1068" s="64">
        <v>77</v>
      </c>
      <c r="I1068" s="56">
        <v>76</v>
      </c>
      <c r="J1068" s="56">
        <v>59</v>
      </c>
      <c r="K1068" s="52">
        <f t="shared" si="53"/>
        <v>542.5</v>
      </c>
      <c r="L1068" s="27">
        <f t="shared" si="54"/>
        <v>2</v>
      </c>
      <c r="M1068" s="25">
        <f t="shared" si="52"/>
        <v>27</v>
      </c>
      <c r="N1068" s="26" t="s">
        <v>17</v>
      </c>
      <c r="O1068" s="26" t="s">
        <v>2243</v>
      </c>
    </row>
    <row r="1069" spans="1:15">
      <c r="A1069" s="56" t="s">
        <v>3303</v>
      </c>
      <c r="B1069" s="56" t="s">
        <v>2010</v>
      </c>
      <c r="C1069" s="56" t="s">
        <v>2108</v>
      </c>
      <c r="D1069" s="56" t="s">
        <v>2109</v>
      </c>
      <c r="E1069" s="56">
        <v>110</v>
      </c>
      <c r="F1069" s="56">
        <v>68</v>
      </c>
      <c r="G1069" s="56">
        <v>124.5</v>
      </c>
      <c r="H1069" s="64">
        <v>74</v>
      </c>
      <c r="I1069" s="56">
        <v>76</v>
      </c>
      <c r="J1069" s="56">
        <v>51</v>
      </c>
      <c r="K1069" s="52">
        <f t="shared" si="53"/>
        <v>503.5</v>
      </c>
      <c r="L1069" s="27">
        <f t="shared" si="54"/>
        <v>8</v>
      </c>
      <c r="M1069" s="25">
        <f t="shared" si="52"/>
        <v>56</v>
      </c>
      <c r="N1069" s="26" t="s">
        <v>17</v>
      </c>
      <c r="O1069" s="26" t="s">
        <v>2243</v>
      </c>
    </row>
    <row r="1070" spans="1:15">
      <c r="A1070" s="56" t="s">
        <v>3304</v>
      </c>
      <c r="B1070" s="56" t="s">
        <v>2010</v>
      </c>
      <c r="C1070" s="56" t="s">
        <v>2180</v>
      </c>
      <c r="D1070" s="56" t="s">
        <v>2181</v>
      </c>
      <c r="E1070" s="56">
        <v>106</v>
      </c>
      <c r="F1070" s="56">
        <v>76</v>
      </c>
      <c r="G1070" s="56">
        <v>102.5</v>
      </c>
      <c r="H1070" s="64">
        <v>66</v>
      </c>
      <c r="I1070" s="56">
        <v>69</v>
      </c>
      <c r="J1070" s="56">
        <v>44</v>
      </c>
      <c r="K1070" s="52">
        <f t="shared" si="53"/>
        <v>463.5</v>
      </c>
      <c r="L1070" s="27">
        <f t="shared" si="54"/>
        <v>22</v>
      </c>
      <c r="M1070" s="25">
        <f t="shared" si="52"/>
        <v>92</v>
      </c>
      <c r="N1070" s="26" t="s">
        <v>17</v>
      </c>
      <c r="O1070" s="26" t="s">
        <v>2243</v>
      </c>
    </row>
    <row r="1071" spans="1:15">
      <c r="A1071" s="56" t="s">
        <v>3305</v>
      </c>
      <c r="B1071" s="56" t="s">
        <v>2010</v>
      </c>
      <c r="C1071" s="56" t="s">
        <v>2224</v>
      </c>
      <c r="D1071" s="56" t="s">
        <v>2225</v>
      </c>
      <c r="E1071" s="56">
        <v>99</v>
      </c>
      <c r="F1071" s="56">
        <v>66</v>
      </c>
      <c r="G1071" s="56">
        <v>81.5</v>
      </c>
      <c r="H1071" s="64">
        <v>75</v>
      </c>
      <c r="I1071" s="56">
        <v>68</v>
      </c>
      <c r="J1071" s="56">
        <v>42</v>
      </c>
      <c r="K1071" s="52">
        <f t="shared" si="53"/>
        <v>431.5</v>
      </c>
      <c r="L1071" s="27">
        <f t="shared" si="54"/>
        <v>33</v>
      </c>
      <c r="M1071" s="25">
        <f t="shared" si="52"/>
        <v>114</v>
      </c>
      <c r="N1071" s="26" t="s">
        <v>17</v>
      </c>
      <c r="O1071" s="26" t="s">
        <v>2243</v>
      </c>
    </row>
    <row r="1072" spans="1:15">
      <c r="A1072" s="56" t="s">
        <v>3306</v>
      </c>
      <c r="B1072" s="56" t="s">
        <v>2010</v>
      </c>
      <c r="C1072" s="56" t="s">
        <v>2212</v>
      </c>
      <c r="D1072" s="56" t="s">
        <v>2213</v>
      </c>
      <c r="E1072" s="56">
        <v>110</v>
      </c>
      <c r="F1072" s="56">
        <v>52</v>
      </c>
      <c r="G1072" s="56">
        <v>92.5</v>
      </c>
      <c r="H1072" s="64">
        <v>81</v>
      </c>
      <c r="I1072" s="56">
        <v>71</v>
      </c>
      <c r="J1072" s="56">
        <v>33</v>
      </c>
      <c r="K1072" s="52">
        <f t="shared" si="53"/>
        <v>439.5</v>
      </c>
      <c r="L1072" s="27">
        <f t="shared" si="54"/>
        <v>30</v>
      </c>
      <c r="M1072" s="25">
        <f t="shared" si="52"/>
        <v>108</v>
      </c>
      <c r="N1072" s="26" t="s">
        <v>17</v>
      </c>
      <c r="O1072" s="26" t="s">
        <v>42</v>
      </c>
    </row>
    <row r="1073" spans="1:15">
      <c r="A1073" s="56" t="s">
        <v>3307</v>
      </c>
      <c r="B1073" s="56" t="s">
        <v>2010</v>
      </c>
      <c r="C1073" s="56" t="s">
        <v>2200</v>
      </c>
      <c r="D1073" s="56" t="s">
        <v>2201</v>
      </c>
      <c r="E1073" s="56">
        <v>106</v>
      </c>
      <c r="F1073" s="56">
        <v>65</v>
      </c>
      <c r="G1073" s="56">
        <v>105.5</v>
      </c>
      <c r="H1073" s="64">
        <v>50</v>
      </c>
      <c r="I1073" s="56">
        <v>69</v>
      </c>
      <c r="J1073" s="56">
        <v>53</v>
      </c>
      <c r="K1073" s="52">
        <f t="shared" si="53"/>
        <v>448.5</v>
      </c>
      <c r="L1073" s="27">
        <f t="shared" si="54"/>
        <v>28</v>
      </c>
      <c r="M1073" s="25">
        <f t="shared" si="52"/>
        <v>102</v>
      </c>
      <c r="N1073" s="26" t="s">
        <v>16</v>
      </c>
      <c r="O1073" s="26" t="s">
        <v>2243</v>
      </c>
    </row>
    <row r="1076" spans="1:15" ht="16.5" customHeight="1"/>
    <row r="1077" spans="1:15">
      <c r="A1077" s="66"/>
    </row>
  </sheetData>
  <protectedRanges>
    <protectedRange sqref="E3:E54 E951" name="区域1_11_1_1"/>
    <protectedRange sqref="F3:F54 F951" name="区域1_12_13"/>
    <protectedRange sqref="G3:G54 G951" name="区域1_13_13_1"/>
    <protectedRange sqref="H3:H54 H951" name="区域1_14_13_1"/>
    <protectedRange sqref="I3:I54 I951" name="区域1_15_13"/>
    <protectedRange sqref="J951 J3:J54" name="区域1_16_13_1"/>
    <protectedRange sqref="E55:E108" name="区域1_11_14_1"/>
    <protectedRange sqref="F55:F108" name="区域1_12_14"/>
    <protectedRange sqref="G55:G108" name="区域1_13_14_1"/>
    <protectedRange sqref="H55:H108" name="区域1_14_14_1"/>
    <protectedRange sqref="I55:I108" name="区域1_15_14"/>
    <protectedRange sqref="J55:J108" name="区域1_16_14_1"/>
    <protectedRange sqref="E109:E131" name="区域1_11_15_2"/>
    <protectedRange sqref="F109:F131" name="区域1_12_15_1"/>
    <protectedRange sqref="G109:G131" name="区域1_13_15_2"/>
    <protectedRange sqref="H109:H131" name="区域1_14_15_2"/>
    <protectedRange sqref="I109:I131" name="区域1_15_15_1"/>
    <protectedRange sqref="J109:J131" name="区域1_16_15_2"/>
    <protectedRange sqref="E132:E162" name="区域1_11_16_2"/>
    <protectedRange sqref="F132:F162" name="区域1_12_16_1"/>
    <protectedRange sqref="G132:G162" name="区域1_13_16_2"/>
    <protectedRange sqref="H132:H162" name="区域1_14_16_2"/>
    <protectedRange sqref="I132:I162" name="区域1_15_16_1"/>
    <protectedRange sqref="J132:J162" name="区域1_16_16_1"/>
    <protectedRange sqref="E163" name="区域1_11_17_2"/>
    <protectedRange sqref="F163" name="区域1_12_17_1"/>
    <protectedRange sqref="G163" name="区域1_13_17_2"/>
    <protectedRange sqref="H163" name="区域1_14_17_2"/>
    <protectedRange sqref="I163" name="区域1_15_17_1"/>
    <protectedRange sqref="J163" name="区域1_16_17_1"/>
    <protectedRange sqref="E164:E217" name="区域1_11_17_1"/>
    <protectedRange sqref="F164:F217" name="区域1_12_17"/>
    <protectedRange sqref="G164:G217" name="区域1_13_17_1"/>
    <protectedRange sqref="H164:H217" name="区域1_14_17_1"/>
    <protectedRange sqref="I164:I217" name="区域1_15_17"/>
    <protectedRange sqref="J164:J217" name="区域1_16_17"/>
    <protectedRange sqref="E218" name="区域1_11_18_1"/>
    <protectedRange sqref="F218" name="区域1_12_18"/>
    <protectedRange sqref="G218" name="区域1_13_18_1"/>
    <protectedRange sqref="H218" name="区域1_14_18_1"/>
    <protectedRange sqref="I218" name="区域1_15_18"/>
    <protectedRange sqref="J218" name="区域1_16_18"/>
    <protectedRange sqref="E219:E253 E255:E268" name="区域1_11_18_2"/>
    <protectedRange sqref="F219:F253 F255:F268" name="区域1_12_18_1"/>
    <protectedRange sqref="G219:G253 G255:G268" name="区域1_13_18_2"/>
    <protectedRange sqref="H219:H253 H255:H268" name="区域1_14_18_2"/>
    <protectedRange sqref="I219:I253 I255:I268" name="区域1_15_18_1"/>
    <protectedRange sqref="J219:J253 J255:J268" name="区域1_16_18_1"/>
    <protectedRange sqref="E269:E271" name="区域1_11_19_1"/>
    <protectedRange sqref="F269:F271" name="区域1_12_19"/>
    <protectedRange sqref="G269:G271" name="区域1_13_19_1"/>
    <protectedRange sqref="H269:H271" name="区域1_14_19_1"/>
    <protectedRange sqref="I269:I271" name="区域1_15_19"/>
    <protectedRange sqref="J269:J271" name="区域1_16_19"/>
    <protectedRange sqref="E254" name="区域1_11_21"/>
    <protectedRange sqref="F254" name="区域1_12_21"/>
    <protectedRange sqref="G254" name="区域1_13_21"/>
    <protectedRange sqref="H254" name="区域1_14_21"/>
    <protectedRange sqref="I254" name="区域1_15_21"/>
    <protectedRange sqref="J254" name="区域1_16_21"/>
    <protectedRange sqref="E272:E320" name="区域1_11_19_2"/>
    <protectedRange sqref="F272:F320" name="区域1_12_19_1"/>
    <protectedRange sqref="G272:G320" name="区域1_13_19_2"/>
    <protectedRange sqref="H272:H320" name="区域1_14_19_2"/>
    <protectedRange sqref="I272:I320" name="区域1_15_19_1"/>
    <protectedRange sqref="J272:J320" name="区域1_16_19_1"/>
    <protectedRange sqref="E321:E323" name="区域1_11_20"/>
    <protectedRange sqref="F321:F323" name="区域1_12_20"/>
    <protectedRange sqref="G321:G323" name="区域1_13_20"/>
    <protectedRange sqref="H321:H323" name="区域1_14_20"/>
    <protectedRange sqref="I321:I323" name="区域1_15_20"/>
    <protectedRange sqref="J321:J323" name="区域1_16_20"/>
    <protectedRange sqref="E944 E324:E374" name="区域1_11_20_1"/>
    <protectedRange sqref="F944 F324:F374" name="区域1_12_20_1"/>
    <protectedRange sqref="G944 G324:G374" name="区域1_13_20_1"/>
    <protectedRange sqref="H944 H324:H374" name="区域1_14_20_1"/>
    <protectedRange sqref="I944 I324:I374" name="区域1_15_20_1"/>
    <protectedRange sqref="J944 J324:J374" name="区域1_16_20_1"/>
    <protectedRange sqref="E952 E375:E376" name="区域1_11_21_1"/>
    <protectedRange sqref="F952 F375:F376" name="区域1_12_21_1"/>
    <protectedRange sqref="G952 G375:G376" name="区域1_13_21_1"/>
    <protectedRange sqref="H952 H375:H376" name="区域1_14_21_1"/>
    <protectedRange sqref="I952 I375:I376" name="区域1_15_21_1"/>
    <protectedRange sqref="J375:J376 J952" name="区域1_16_21_1"/>
    <protectedRange sqref="E974 E377:E422" name="区域1_11_21_2"/>
    <protectedRange sqref="F974 F377:F422" name="区域1_12_21_2"/>
    <protectedRange sqref="G974 G377:G422" name="区域1_13_21_2"/>
    <protectedRange sqref="H974 H377:H422" name="区域1_14_21_2"/>
    <protectedRange sqref="I974 I377:I422" name="区域1_15_21_2"/>
    <protectedRange sqref="J377:J422 J974" name="区域1_16_21_2"/>
    <protectedRange sqref="E423:E427" name="区域1_11_22"/>
    <protectedRange sqref="F423:F427" name="区域1_12_22"/>
    <protectedRange sqref="G423:G427" name="区域1_13_22"/>
    <protectedRange sqref="H423:H427" name="区域1_14_22"/>
    <protectedRange sqref="I423:I427" name="区域1_15_22"/>
    <protectedRange sqref="J423:J427" name="区域1_16_22"/>
    <protectedRange sqref="E428:E476" name="区域1_11_22_1"/>
    <protectedRange sqref="F428:F476" name="区域1_12_22_1"/>
    <protectedRange sqref="G428:G476" name="区域1_13_22_1"/>
    <protectedRange sqref="H428:H476" name="区域1_14_22_1"/>
    <protectedRange sqref="I428:I476" name="区域1_15_22_1"/>
    <protectedRange sqref="J428:J476" name="区域1_16_22_1"/>
    <protectedRange sqref="E477:E481" name="区域1_11_23"/>
    <protectedRange sqref="F477:F481" name="区域1_12_23"/>
    <protectedRange sqref="G477:G481" name="区域1_13_23"/>
    <protectedRange sqref="H477:H481" name="区域1_14_23"/>
    <protectedRange sqref="I477:I481" name="区域1_15_23"/>
    <protectedRange sqref="J477:J481" name="区域1_16_23"/>
    <protectedRange sqref="E482:E530" name="区域1_11_23_1"/>
    <protectedRange sqref="F482:F530" name="区域1_12_23_1"/>
    <protectedRange sqref="G482:G530" name="区域1_13_23_1"/>
    <protectedRange sqref="H482:H530" name="区域1_14_23_1"/>
    <protectedRange sqref="I482:I530" name="区域1_15_23_1"/>
    <protectedRange sqref="J482:J530" name="区域1_16_23_1"/>
    <protectedRange sqref="E531:E535" name="区域1_11_24"/>
    <protectedRange sqref="F531:F535" name="区域1_12_24"/>
    <protectedRange sqref="H531:H535" name="区域1_14_24"/>
    <protectedRange sqref="I531:I535" name="区域1_15_24"/>
    <protectedRange sqref="J531:J535" name="区域1_16_24"/>
    <protectedRange sqref="E536:E582" name="区域1_11_24_1"/>
    <protectedRange sqref="F536:F582" name="区域1_12_24_1"/>
    <protectedRange sqref="H536:H582" name="区域1_14_24_1"/>
    <protectedRange sqref="I536:I582" name="区域1_15_24_1"/>
    <protectedRange sqref="J536:J582" name="区域1_16_24_1"/>
    <protectedRange sqref="E583:E587" name="区域1_11_25"/>
    <protectedRange sqref="F583:F587" name="区域1_12_25"/>
    <protectedRange sqref="H583:H587" name="区域1_14_25"/>
    <protectedRange sqref="I583:I587" name="区域1_15_25"/>
    <protectedRange sqref="J583:J587" name="区域1_16_25"/>
    <protectedRange sqref="E588:E636" name="区域1_11_25_1"/>
    <protectedRange sqref="F588:F636" name="区域1_12_25_1"/>
    <protectedRange sqref="H588:H636" name="区域1_14_25_1"/>
    <protectedRange sqref="I588:I636" name="区域1_15_25_1"/>
    <protectedRange sqref="J588:J636" name="区域1_16_25_1"/>
    <protectedRange sqref="E637:E641" name="区域1_11_26"/>
    <protectedRange sqref="F637:F641" name="区域1_12_26"/>
    <protectedRange sqref="G637:G641" name="区域1_13_26"/>
    <protectedRange sqref="H637:H641" name="区域1_14_26"/>
    <protectedRange sqref="I637:I641" name="区域1_15_26"/>
    <protectedRange sqref="J637:J641" name="区域1_16_26"/>
    <protectedRange sqref="E973 E642:E669" name="区域1_11_26_1"/>
    <protectedRange sqref="F973 F642:F669" name="区域1_12_26_1"/>
    <protectedRange sqref="G973 G642:G669" name="区域1_13_26_1"/>
    <protectedRange sqref="H973 H642:H669" name="区域1_14_26_1"/>
    <protectedRange sqref="I973 I642:I669" name="区域1_15_26_1"/>
    <protectedRange sqref="J973 J642:J669" name="区域1_16_26_1"/>
  </protectedRanges>
  <autoFilter ref="A2:M1073"/>
  <mergeCells count="1">
    <mergeCell ref="A1:M1"/>
  </mergeCells>
  <phoneticPr fontId="2" type="noConversion"/>
  <pageMargins left="0.15748031496062992" right="0.15748031496062992" top="0.39370078740157483" bottom="0.39370078740157483" header="0" footer="0"/>
  <pageSetup paperSize="9" scale="74" orientation="portrait" r:id="rId1"/>
  <headerFooter alignWithMargins="0"/>
  <rowBreaks count="1" manualBreakCount="1">
    <brk id="10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40"/>
  <sheetViews>
    <sheetView tabSelected="1" view="pageBreakPreview" zoomScale="75" zoomScaleNormal="75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1"/>
    </sheetView>
  </sheetViews>
  <sheetFormatPr defaultRowHeight="20.25"/>
  <cols>
    <col min="1" max="1" width="8" style="23" customWidth="1"/>
    <col min="2" max="2" width="11.25" style="24" customWidth="1"/>
    <col min="3" max="19" width="11.75" style="12" customWidth="1"/>
    <col min="20" max="23" width="11.75" style="10" customWidth="1"/>
    <col min="24" max="24" width="14.375" style="10" customWidth="1"/>
    <col min="25" max="16384" width="9" style="10"/>
  </cols>
  <sheetData>
    <row r="1" spans="1:24" s="6" customFormat="1" ht="37.5" customHeight="1">
      <c r="A1" s="106" t="s">
        <v>3312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spans="1:24" s="6" customFormat="1" ht="31.5" customHeight="1">
      <c r="A2" s="9" t="s">
        <v>8</v>
      </c>
      <c r="B2" s="5" t="s">
        <v>18</v>
      </c>
      <c r="C2" s="69" t="s">
        <v>3313</v>
      </c>
      <c r="D2" s="69" t="s">
        <v>3314</v>
      </c>
      <c r="E2" s="69" t="s">
        <v>3315</v>
      </c>
      <c r="F2" s="69" t="s">
        <v>3316</v>
      </c>
      <c r="G2" s="69" t="s">
        <v>3317</v>
      </c>
      <c r="H2" s="69" t="s">
        <v>3318</v>
      </c>
      <c r="I2" s="69" t="s">
        <v>3319</v>
      </c>
      <c r="J2" s="69" t="s">
        <v>3320</v>
      </c>
      <c r="K2" s="69" t="s">
        <v>3321</v>
      </c>
      <c r="L2" s="69" t="s">
        <v>3322</v>
      </c>
      <c r="M2" s="69" t="s">
        <v>3323</v>
      </c>
      <c r="N2" s="69" t="s">
        <v>3324</v>
      </c>
      <c r="O2" s="69" t="s">
        <v>3325</v>
      </c>
      <c r="P2" s="69" t="s">
        <v>3326</v>
      </c>
      <c r="Q2" s="69" t="s">
        <v>3327</v>
      </c>
      <c r="R2" s="69" t="s">
        <v>3328</v>
      </c>
      <c r="S2" s="69" t="s">
        <v>3329</v>
      </c>
      <c r="T2" s="18" t="s">
        <v>46</v>
      </c>
      <c r="U2" s="69" t="s">
        <v>3330</v>
      </c>
      <c r="V2" s="69" t="s">
        <v>3331</v>
      </c>
      <c r="W2" s="69" t="s">
        <v>3332</v>
      </c>
      <c r="X2" s="18" t="s">
        <v>47</v>
      </c>
    </row>
    <row r="3" spans="1:24" ht="31.5" customHeight="1">
      <c r="A3" s="97" t="s">
        <v>7</v>
      </c>
      <c r="B3" s="5" t="s">
        <v>26</v>
      </c>
      <c r="C3" s="69" t="s">
        <v>3344</v>
      </c>
      <c r="D3" s="69" t="s">
        <v>3345</v>
      </c>
      <c r="E3" s="69" t="s">
        <v>3346</v>
      </c>
      <c r="F3" s="69" t="s">
        <v>3347</v>
      </c>
      <c r="G3" s="69" t="s">
        <v>3348</v>
      </c>
      <c r="H3" s="69" t="s">
        <v>3348</v>
      </c>
      <c r="I3" s="69" t="s">
        <v>3349</v>
      </c>
      <c r="J3" s="69" t="s">
        <v>3350</v>
      </c>
      <c r="K3" s="69" t="s">
        <v>3351</v>
      </c>
      <c r="L3" s="69" t="s">
        <v>3351</v>
      </c>
      <c r="M3" s="69" t="s">
        <v>3352</v>
      </c>
      <c r="N3" s="69" t="s">
        <v>3352</v>
      </c>
      <c r="O3" s="69" t="s">
        <v>3353</v>
      </c>
      <c r="P3" s="69" t="s">
        <v>3353</v>
      </c>
      <c r="Q3" s="69" t="s">
        <v>3354</v>
      </c>
      <c r="R3" s="69" t="s">
        <v>3344</v>
      </c>
      <c r="S3" s="69" t="s">
        <v>3355</v>
      </c>
      <c r="T3" s="17"/>
      <c r="U3" s="69" t="s">
        <v>3377</v>
      </c>
      <c r="V3" s="69" t="s">
        <v>3347</v>
      </c>
      <c r="W3" s="69" t="s">
        <v>3377</v>
      </c>
      <c r="X3" s="19"/>
    </row>
    <row r="4" spans="1:24" ht="31.5" customHeight="1">
      <c r="A4" s="98"/>
      <c r="B4" s="11" t="s">
        <v>19</v>
      </c>
      <c r="C4" s="20">
        <f>AVERAGE(总表!E3:E59)</f>
        <v>100.89473684210526</v>
      </c>
      <c r="D4" s="20">
        <f>AVERAGE(总表!E60:E116)</f>
        <v>105.71929824561404</v>
      </c>
      <c r="E4" s="20">
        <f>AVERAGE(总表!E117:E173)</f>
        <v>107.14035087719299</v>
      </c>
      <c r="F4" s="20">
        <f>AVERAGE(总表!E174:E230)</f>
        <v>101.94736842105263</v>
      </c>
      <c r="G4" s="20">
        <f>AVERAGE(总表!E231:E286)</f>
        <v>107.57142857142857</v>
      </c>
      <c r="H4" s="20">
        <f>AVERAGE(总表!E287:E343)</f>
        <v>108.94736842105263</v>
      </c>
      <c r="I4" s="20">
        <f>AVERAGE(总表!E344:E400)</f>
        <v>104.82456140350877</v>
      </c>
      <c r="J4" s="20">
        <f>AVERAGE(总表!E401:E457)</f>
        <v>104.63157894736842</v>
      </c>
      <c r="K4" s="20">
        <f>AVERAGE(总表!E458:E507)</f>
        <v>114.82</v>
      </c>
      <c r="L4" s="20">
        <f>AVERAGE(总表!E508:E559)</f>
        <v>111.17307692307692</v>
      </c>
      <c r="M4" s="20">
        <f>AVERAGE(总表!E560:E616)</f>
        <v>104.42105263157895</v>
      </c>
      <c r="N4" s="20">
        <f>AVERAGE(总表!E617:E672)</f>
        <v>106.92857142857143</v>
      </c>
      <c r="O4" s="20">
        <f>AVERAGE(总表!E673:E728)</f>
        <v>104.07142857142857</v>
      </c>
      <c r="P4" s="20">
        <f>AVERAGE(总表!E729:E784)</f>
        <v>104.83928571428571</v>
      </c>
      <c r="Q4" s="20">
        <f>AVERAGE(总表!E785:E840)</f>
        <v>106.42857142857143</v>
      </c>
      <c r="R4" s="20">
        <f>AVERAGE(总表!E841:E896)</f>
        <v>102.19642857142857</v>
      </c>
      <c r="S4" s="20">
        <f>AVERAGE(总表!E897:E953)</f>
        <v>106.71929824561404</v>
      </c>
      <c r="T4" s="20">
        <f>AVERAGE(总表!E3:E953)</f>
        <v>105.98843322818087</v>
      </c>
      <c r="U4" s="20">
        <f>AVERAGE(总表!E954:E1005)</f>
        <v>114.13461538461539</v>
      </c>
      <c r="V4" s="20">
        <f>AVERAGE(总表!E1006:E1039)</f>
        <v>107.29411764705883</v>
      </c>
      <c r="W4" s="20">
        <f>AVERAGE(总表!E1040:E1073)</f>
        <v>107.82352941176471</v>
      </c>
      <c r="X4" s="20">
        <f>AVERAGE(总表!E954:E1073)</f>
        <v>110.40833333333333</v>
      </c>
    </row>
    <row r="5" spans="1:24" s="6" customFormat="1" ht="31.5" customHeight="1">
      <c r="A5" s="98"/>
      <c r="B5" s="11" t="s">
        <v>27</v>
      </c>
      <c r="C5" s="21">
        <f t="shared" ref="C5:S5" si="0">RANK(C4,$C$4:$S$4)</f>
        <v>17</v>
      </c>
      <c r="D5" s="21">
        <f t="shared" si="0"/>
        <v>9</v>
      </c>
      <c r="E5" s="21">
        <f t="shared" si="0"/>
        <v>5</v>
      </c>
      <c r="F5" s="21">
        <f t="shared" si="0"/>
        <v>16</v>
      </c>
      <c r="G5" s="21">
        <f t="shared" si="0"/>
        <v>4</v>
      </c>
      <c r="H5" s="21">
        <f t="shared" si="0"/>
        <v>3</v>
      </c>
      <c r="I5" s="21">
        <f t="shared" si="0"/>
        <v>11</v>
      </c>
      <c r="J5" s="21">
        <f t="shared" si="0"/>
        <v>12</v>
      </c>
      <c r="K5" s="21">
        <f t="shared" si="0"/>
        <v>1</v>
      </c>
      <c r="L5" s="21">
        <f t="shared" si="0"/>
        <v>2</v>
      </c>
      <c r="M5" s="21">
        <f t="shared" si="0"/>
        <v>13</v>
      </c>
      <c r="N5" s="21">
        <f t="shared" si="0"/>
        <v>6</v>
      </c>
      <c r="O5" s="21">
        <f t="shared" si="0"/>
        <v>14</v>
      </c>
      <c r="P5" s="21">
        <f t="shared" si="0"/>
        <v>10</v>
      </c>
      <c r="Q5" s="21">
        <f t="shared" si="0"/>
        <v>8</v>
      </c>
      <c r="R5" s="21">
        <f t="shared" si="0"/>
        <v>15</v>
      </c>
      <c r="S5" s="21">
        <f t="shared" si="0"/>
        <v>7</v>
      </c>
      <c r="T5" s="19"/>
      <c r="U5" s="21">
        <f>RANK(U4,$U$4:$W$4)</f>
        <v>1</v>
      </c>
      <c r="V5" s="21">
        <f>RANK(V4,$U$4:$W$4)</f>
        <v>3</v>
      </c>
      <c r="W5" s="21">
        <f>RANK(W4,$U$4:$W$4)</f>
        <v>2</v>
      </c>
      <c r="X5" s="19"/>
    </row>
    <row r="6" spans="1:24" s="6" customFormat="1" ht="31.5" customHeight="1">
      <c r="A6" s="98"/>
      <c r="B6" s="5" t="s">
        <v>20</v>
      </c>
      <c r="C6" s="22">
        <f>COUNTIF(总表!E3:E59,"&gt;=120")/COUNTIF(总表!E3:E59,"&gt;=0")</f>
        <v>0</v>
      </c>
      <c r="D6" s="22">
        <f>COUNTIF(总表!E60:E116,"&gt;=120")/COUNTIF(总表!E60:E116,"&gt;=0")</f>
        <v>1.7543859649122806E-2</v>
      </c>
      <c r="E6" s="22">
        <f>COUNTIF(总表!E117:E173,"&gt;=120")/COUNTIF(总表!E117:E173,"&gt;=0")</f>
        <v>3.5087719298245612E-2</v>
      </c>
      <c r="F6" s="22">
        <f>COUNTIF(总表!E174:E230,"&gt;=120")/COUNTIF(总表!E174:E230,"&gt;=0")</f>
        <v>0</v>
      </c>
      <c r="G6" s="22">
        <f>COUNTIF(总表!E231:E286,"&gt;=120")/COUNTIF(总表!E231:E286,"&gt;=0")</f>
        <v>5.3571428571428568E-2</v>
      </c>
      <c r="H6" s="22">
        <f>COUNTIF(总表!E287:E343,"&gt;=120")/COUNTIF(总表!E287:E343,"&gt;=0")</f>
        <v>3.5087719298245612E-2</v>
      </c>
      <c r="I6" s="22">
        <f>COUNTIF(总表!E344:E400,"&gt;=120")/COUNTIF(总表!E344:E400,"&gt;=0")</f>
        <v>7.0175438596491224E-2</v>
      </c>
      <c r="J6" s="22">
        <f>COUNTIF(总表!E401:E457,"&gt;=120")/COUNTIF(总表!E401:E457,"&gt;=0")</f>
        <v>1.7543859649122806E-2</v>
      </c>
      <c r="K6" s="22">
        <f>COUNTIF(总表!E458:E507,"&gt;=120")/COUNTIF(总表!E458:E507,"&gt;=0")</f>
        <v>0.28000000000000003</v>
      </c>
      <c r="L6" s="22">
        <f>COUNTIF(总表!E508:E559,"&gt;=120")/COUNTIF(总表!E508:E559,"&gt;=0")</f>
        <v>0.11538461538461539</v>
      </c>
      <c r="M6" s="22">
        <f>COUNTIF(总表!E560:E616,"&gt;=120")/COUNTIF(总表!E560:E616,"&gt;=0")</f>
        <v>3.5087719298245612E-2</v>
      </c>
      <c r="N6" s="22">
        <f>COUNTIF(总表!E617:E672,"&gt;=120")/COUNTIF(总表!E617:E672,"&gt;=0")</f>
        <v>1.7857142857142856E-2</v>
      </c>
      <c r="O6" s="22">
        <f>COUNTIF(总表!E673:E728,"&gt;=120")/COUNTIF(总表!E673:E728,"&gt;=0")</f>
        <v>1.7857142857142856E-2</v>
      </c>
      <c r="P6" s="22">
        <f>COUNTIF(总表!E729:E784,"&gt;=120")/COUNTIF(总表!E729:E784,"&gt;=0")</f>
        <v>8.9285714285714288E-2</v>
      </c>
      <c r="Q6" s="22">
        <f>COUNTIF(总表!E785:E840,"&gt;=120")/COUNTIF(总表!E785:E840,"&gt;=0")</f>
        <v>5.3571428571428568E-2</v>
      </c>
      <c r="R6" s="22">
        <f>COUNTIF(总表!E841:E896,"&gt;=120")/COUNTIF(总表!E841:E896,"&gt;=0")</f>
        <v>1.7857142857142856E-2</v>
      </c>
      <c r="S6" s="22">
        <f>COUNTIF(总表!E897:E953,"&gt;=120")/COUNTIF(总表!E897:E953,"&gt;=0")</f>
        <v>7.0175438596491224E-2</v>
      </c>
      <c r="T6" s="22">
        <f>COUNTIF(总表!E3:E953,"&gt;=120")/COUNTIF(总表!E3:E953,"&gt;=0")</f>
        <v>5.2576235541535225E-2</v>
      </c>
      <c r="U6" s="22">
        <f>COUNTIF(总表!E954:E1005,"&gt;=120")/COUNTIF(总表!E954:E1005,"&gt;=0")</f>
        <v>0.25</v>
      </c>
      <c r="V6" s="22">
        <f>COUNTIF(总表!E1006:E1039,"&gt;=120")/COUNTIF(总表!E1006:E1039,"&gt;=0")</f>
        <v>0.11764705882352941</v>
      </c>
      <c r="W6" s="22">
        <f>COUNTIF(总表!E1040:E1073,"&gt;=120")/COUNTIF(总表!E1040:E1073,"&gt;=0")</f>
        <v>8.8235294117647065E-2</v>
      </c>
      <c r="X6" s="22">
        <f>COUNTIF(总表!E954:E1073,"&gt;=120")/COUNTIF(总表!E954:E1073,"&gt;=0")</f>
        <v>0.16666666666666666</v>
      </c>
    </row>
    <row r="7" spans="1:24" s="6" customFormat="1" ht="31.5" customHeight="1">
      <c r="A7" s="98"/>
      <c r="B7" s="5" t="s">
        <v>21</v>
      </c>
      <c r="C7" s="22">
        <f>COUNTIF(总表!E3:E59,"&gt;=90")/COUNTIF(总表!E3:E59,"&gt;=0")</f>
        <v>0.89473684210526316</v>
      </c>
      <c r="D7" s="22">
        <f>COUNTIF(总表!E60:E116,"&gt;=90")/COUNTIF(总表!E60:E116,"&gt;=0")</f>
        <v>0.94736842105263153</v>
      </c>
      <c r="E7" s="22">
        <f>COUNTIF(总表!E117:E173,"&gt;=90")/COUNTIF(总表!E117:E173,"&gt;=0")</f>
        <v>1</v>
      </c>
      <c r="F7" s="22">
        <f>COUNTIF(总表!E174:E230,"&gt;=90")/COUNTIF(总表!E174:E230,"&gt;=0")</f>
        <v>0.89473684210526316</v>
      </c>
      <c r="G7" s="22">
        <f>COUNTIF(总表!E231:E286,"&gt;=90")/COUNTIF(总表!E231:E286,"&gt;=0")</f>
        <v>0.9821428571428571</v>
      </c>
      <c r="H7" s="22">
        <f>COUNTIF(总表!E287:E343,"&gt;=90")/COUNTIF(总表!E287:E343,"&gt;=0")</f>
        <v>0.98245614035087714</v>
      </c>
      <c r="I7" s="22">
        <f>COUNTIF(总表!E344:E400,"&gt;=90")/COUNTIF(总表!E344:E400,"&gt;=0")</f>
        <v>0.89473684210526316</v>
      </c>
      <c r="J7" s="22">
        <f>COUNTIF(总表!E401:E457,"&gt;=90")/COUNTIF(总表!E401:E457,"&gt;=0")</f>
        <v>0.92982456140350878</v>
      </c>
      <c r="K7" s="22">
        <f>COUNTIF(总表!E458:E507,"&gt;=90")/COUNTIF(总表!E458:E507,"&gt;=0")</f>
        <v>1</v>
      </c>
      <c r="L7" s="22">
        <f>COUNTIF(总表!E508:E559,"&gt;=90")/COUNTIF(总表!E508:E559,"&gt;=0")</f>
        <v>1</v>
      </c>
      <c r="M7" s="22">
        <f>COUNTIF(总表!E560:E616,"&gt;=90")/COUNTIF(总表!E560:E616,"&gt;=0")</f>
        <v>0.94736842105263153</v>
      </c>
      <c r="N7" s="22">
        <f>COUNTIF(总表!E617:E672,"&gt;=90")/COUNTIF(总表!E617:E672,"&gt;=0")</f>
        <v>1</v>
      </c>
      <c r="O7" s="22">
        <f>COUNTIF(总表!E673:E728,"&gt;=90")/COUNTIF(总表!E673:E728,"&gt;=0")</f>
        <v>0.9464285714285714</v>
      </c>
      <c r="P7" s="22">
        <f>COUNTIF(总表!E729:E784,"&gt;=90")/COUNTIF(总表!E729:E784,"&gt;=0")</f>
        <v>0.9107142857142857</v>
      </c>
      <c r="Q7" s="22">
        <f>COUNTIF(总表!E785:E840,"&gt;=90")/COUNTIF(总表!E785:E840,"&gt;=0")</f>
        <v>0.9642857142857143</v>
      </c>
      <c r="R7" s="22">
        <f>COUNTIF(总表!E841:E896,"&gt;=90")/COUNTIF(总表!E841:E896,"&gt;=0")</f>
        <v>0.9642857142857143</v>
      </c>
      <c r="S7" s="22">
        <f>COUNTIF(总表!E897:E953,"&gt;=90")/COUNTIF(总表!E897:E953,"&gt;=0")</f>
        <v>0.98245614035087714</v>
      </c>
      <c r="T7" s="22">
        <f>COUNTIF(总表!E3:E953,"&gt;=90")/COUNTIF(总表!E3:E953,"&gt;=0")</f>
        <v>0.95478443743427965</v>
      </c>
      <c r="U7" s="22">
        <f>COUNTIF(总表!E954:E1005,"&gt;=90")/COUNTIF(总表!E954:E1005,"&gt;=0")</f>
        <v>1</v>
      </c>
      <c r="V7" s="22">
        <f>COUNTIF(总表!E1006:E1039,"&gt;=90")/COUNTIF(总表!E1006:E1039,"&gt;=0")</f>
        <v>0.97058823529411764</v>
      </c>
      <c r="W7" s="22">
        <f>COUNTIF(总表!E1040:E1073,"&gt;=90")/COUNTIF(总表!E1040:E1073,"&gt;=0")</f>
        <v>0.97058823529411764</v>
      </c>
      <c r="X7" s="22">
        <f>COUNTIF(总表!E954:E1073,"&gt;=90")/COUNTIF(总表!E954:E1073,"&gt;=0")</f>
        <v>0.98333333333333328</v>
      </c>
    </row>
    <row r="8" spans="1:24" s="6" customFormat="1" ht="31.5" customHeight="1">
      <c r="A8" s="99"/>
      <c r="B8" s="83" t="s">
        <v>3441</v>
      </c>
      <c r="C8" s="21">
        <f>RANK(C7,$C$7:$S$7)</f>
        <v>15</v>
      </c>
      <c r="D8" s="21">
        <f t="shared" ref="D8:S8" si="1">RANK(D7,$C$7:$S$7)</f>
        <v>10</v>
      </c>
      <c r="E8" s="21">
        <f t="shared" si="1"/>
        <v>1</v>
      </c>
      <c r="F8" s="21">
        <f t="shared" si="1"/>
        <v>15</v>
      </c>
      <c r="G8" s="21">
        <f t="shared" si="1"/>
        <v>7</v>
      </c>
      <c r="H8" s="21">
        <f t="shared" si="1"/>
        <v>5</v>
      </c>
      <c r="I8" s="21">
        <f t="shared" si="1"/>
        <v>15</v>
      </c>
      <c r="J8" s="21">
        <f t="shared" si="1"/>
        <v>13</v>
      </c>
      <c r="K8" s="21">
        <f t="shared" si="1"/>
        <v>1</v>
      </c>
      <c r="L8" s="21">
        <f t="shared" si="1"/>
        <v>1</v>
      </c>
      <c r="M8" s="21">
        <f t="shared" si="1"/>
        <v>10</v>
      </c>
      <c r="N8" s="21">
        <f t="shared" si="1"/>
        <v>1</v>
      </c>
      <c r="O8" s="21">
        <f t="shared" si="1"/>
        <v>12</v>
      </c>
      <c r="P8" s="21">
        <f t="shared" si="1"/>
        <v>14</v>
      </c>
      <c r="Q8" s="21">
        <f t="shared" si="1"/>
        <v>8</v>
      </c>
      <c r="R8" s="21">
        <f t="shared" si="1"/>
        <v>8</v>
      </c>
      <c r="S8" s="21">
        <f t="shared" si="1"/>
        <v>5</v>
      </c>
      <c r="T8" s="22"/>
      <c r="U8" s="21">
        <f>RANK(U7,$U$7:$W$7)</f>
        <v>1</v>
      </c>
      <c r="V8" s="21">
        <f>RANK(V7,$U$7:$W$7)</f>
        <v>2</v>
      </c>
      <c r="W8" s="21">
        <f>RANK(W7,$U$7:$W$7)</f>
        <v>2</v>
      </c>
      <c r="X8" s="22"/>
    </row>
    <row r="9" spans="1:24" ht="31.5" customHeight="1">
      <c r="A9" s="97" t="s">
        <v>9</v>
      </c>
      <c r="B9" s="5" t="s">
        <v>26</v>
      </c>
      <c r="C9" s="69" t="s">
        <v>3356</v>
      </c>
      <c r="D9" s="69" t="s">
        <v>3356</v>
      </c>
      <c r="E9" s="69" t="s">
        <v>3357</v>
      </c>
      <c r="F9" s="69" t="s">
        <v>3357</v>
      </c>
      <c r="G9" s="69" t="s">
        <v>3358</v>
      </c>
      <c r="H9" s="69" t="s">
        <v>3358</v>
      </c>
      <c r="I9" s="69" t="s">
        <v>3359</v>
      </c>
      <c r="J9" s="69" t="s">
        <v>3359</v>
      </c>
      <c r="K9" s="69" t="s">
        <v>3360</v>
      </c>
      <c r="L9" s="69" t="s">
        <v>3361</v>
      </c>
      <c r="M9" s="69" t="s">
        <v>3362</v>
      </c>
      <c r="N9" s="69" t="s">
        <v>3362</v>
      </c>
      <c r="O9" s="69" t="s">
        <v>3363</v>
      </c>
      <c r="P9" s="69" t="s">
        <v>3363</v>
      </c>
      <c r="Q9" s="69" t="s">
        <v>3364</v>
      </c>
      <c r="R9" s="69" t="s">
        <v>3365</v>
      </c>
      <c r="S9" s="69" t="s">
        <v>3365</v>
      </c>
      <c r="T9" s="17"/>
      <c r="U9" s="69" t="s">
        <v>3378</v>
      </c>
      <c r="V9" s="69" t="s">
        <v>3378</v>
      </c>
      <c r="W9" s="69" t="s">
        <v>3364</v>
      </c>
      <c r="X9" s="19"/>
    </row>
    <row r="10" spans="1:24" s="6" customFormat="1" ht="31.5" customHeight="1">
      <c r="A10" s="98"/>
      <c r="B10" s="11" t="s">
        <v>19</v>
      </c>
      <c r="C10" s="20">
        <f>AVERAGE(总表!F3:F59)</f>
        <v>93.824561403508767</v>
      </c>
      <c r="D10" s="20">
        <f>AVERAGE(总表!F60:F116)</f>
        <v>94.421052631578945</v>
      </c>
      <c r="E10" s="20">
        <f>AVERAGE(总表!F117:F173)</f>
        <v>98.929824561403507</v>
      </c>
      <c r="F10" s="20">
        <f>AVERAGE(总表!F174:F230)</f>
        <v>101.50877192982456</v>
      </c>
      <c r="G10" s="20">
        <f>AVERAGE(总表!F231:F286)</f>
        <v>88.964285714285708</v>
      </c>
      <c r="H10" s="20">
        <f>AVERAGE(总表!F287:F343)</f>
        <v>90.245614035087726</v>
      </c>
      <c r="I10" s="20">
        <f>AVERAGE(总表!F344:F400)</f>
        <v>95.245614035087726</v>
      </c>
      <c r="J10" s="20">
        <f>AVERAGE(总表!F401:F457)</f>
        <v>92.631578947368425</v>
      </c>
      <c r="K10" s="20">
        <f>AVERAGE(总表!F458:F507)</f>
        <v>121.14</v>
      </c>
      <c r="L10" s="20">
        <f>AVERAGE(总表!F508:F559)</f>
        <v>108.09615384615384</v>
      </c>
      <c r="M10" s="20">
        <f>AVERAGE(总表!F560:F616)</f>
        <v>94.245614035087726</v>
      </c>
      <c r="N10" s="20">
        <f>AVERAGE(总表!F617:F672)</f>
        <v>94.25</v>
      </c>
      <c r="O10" s="20">
        <f>AVERAGE(总表!F673:F728)</f>
        <v>88.803571428571431</v>
      </c>
      <c r="P10" s="20">
        <f>AVERAGE(总表!F729:F784)</f>
        <v>94.196428571428569</v>
      </c>
      <c r="Q10" s="20">
        <f>AVERAGE(总表!F785:F840)</f>
        <v>95.660714285714292</v>
      </c>
      <c r="R10" s="20">
        <f>AVERAGE(总表!F841:F896)</f>
        <v>93.178571428571431</v>
      </c>
      <c r="S10" s="20">
        <f>AVERAGE(总表!F897:F953)</f>
        <v>89.298245614035082</v>
      </c>
      <c r="T10" s="20">
        <f>AVERAGE(总表!F3:F953)</f>
        <v>95.931650893796004</v>
      </c>
      <c r="U10" s="20">
        <f>AVERAGE(总表!F954:F1005)</f>
        <v>93.442307692307693</v>
      </c>
      <c r="V10" s="20">
        <f>AVERAGE(总表!F1006:F1039)</f>
        <v>64.264705882352942</v>
      </c>
      <c r="W10" s="20">
        <f>AVERAGE(总表!F1040:F1073)</f>
        <v>67.058823529411768</v>
      </c>
      <c r="X10" s="20">
        <f>AVERAGE(总表!F954:F1073)</f>
        <v>77.7</v>
      </c>
    </row>
    <row r="11" spans="1:24" s="6" customFormat="1" ht="31.5" customHeight="1">
      <c r="A11" s="98"/>
      <c r="B11" s="11" t="s">
        <v>27</v>
      </c>
      <c r="C11" s="21">
        <f t="shared" ref="C11:S11" si="2">RANK(C10,$C$10:$S$10)</f>
        <v>11</v>
      </c>
      <c r="D11" s="21">
        <f t="shared" si="2"/>
        <v>7</v>
      </c>
      <c r="E11" s="21">
        <f t="shared" si="2"/>
        <v>4</v>
      </c>
      <c r="F11" s="21">
        <f t="shared" si="2"/>
        <v>3</v>
      </c>
      <c r="G11" s="21">
        <f t="shared" si="2"/>
        <v>16</v>
      </c>
      <c r="H11" s="21">
        <f t="shared" si="2"/>
        <v>14</v>
      </c>
      <c r="I11" s="21">
        <f t="shared" si="2"/>
        <v>6</v>
      </c>
      <c r="J11" s="21">
        <f t="shared" si="2"/>
        <v>13</v>
      </c>
      <c r="K11" s="21">
        <f t="shared" si="2"/>
        <v>1</v>
      </c>
      <c r="L11" s="21">
        <f t="shared" si="2"/>
        <v>2</v>
      </c>
      <c r="M11" s="21">
        <f t="shared" si="2"/>
        <v>9</v>
      </c>
      <c r="N11" s="21">
        <f t="shared" si="2"/>
        <v>8</v>
      </c>
      <c r="O11" s="21">
        <f t="shared" si="2"/>
        <v>17</v>
      </c>
      <c r="P11" s="21">
        <f t="shared" si="2"/>
        <v>10</v>
      </c>
      <c r="Q11" s="21">
        <f t="shared" si="2"/>
        <v>5</v>
      </c>
      <c r="R11" s="21">
        <f t="shared" si="2"/>
        <v>12</v>
      </c>
      <c r="S11" s="21">
        <f t="shared" si="2"/>
        <v>15</v>
      </c>
      <c r="T11" s="21"/>
      <c r="U11" s="21">
        <f>RANK(U10,$U$10:$W$10)</f>
        <v>1</v>
      </c>
      <c r="V11" s="21">
        <f>RANK(V10,$U$10:$W$10)</f>
        <v>3</v>
      </c>
      <c r="W11" s="21">
        <f>RANK(W10,$U$10:$W$10)</f>
        <v>2</v>
      </c>
      <c r="X11" s="21"/>
    </row>
    <row r="12" spans="1:24" s="6" customFormat="1" ht="31.5" customHeight="1">
      <c r="A12" s="98"/>
      <c r="B12" s="5" t="s">
        <v>20</v>
      </c>
      <c r="C12" s="22">
        <f>COUNTIF(总表!F3:F59,"&gt;=120")/COUNTIF(总表!F3:F59,"&gt;=0")</f>
        <v>8.771929824561403E-2</v>
      </c>
      <c r="D12" s="22">
        <f>COUNTIF(总表!F60:F116,"&gt;=120")/COUNTIF(总表!F60:F116,"&gt;=0")</f>
        <v>0.14035087719298245</v>
      </c>
      <c r="E12" s="22">
        <f>COUNTIF(总表!F117:F173,"&gt;=120")/COUNTIF(总表!F117:F173,"&gt;=0")</f>
        <v>0.14035087719298245</v>
      </c>
      <c r="F12" s="22">
        <f>COUNTIF(总表!F174:F230,"&gt;=120")/COUNTIF(总表!F174:F230,"&gt;=0")</f>
        <v>0.22807017543859648</v>
      </c>
      <c r="G12" s="22">
        <f>COUNTIF(总表!F231:F286,"&gt;=120")/COUNTIF(总表!F231:F286,"&gt;=0")</f>
        <v>0.10714285714285714</v>
      </c>
      <c r="H12" s="22">
        <f>COUNTIF(总表!F287:F343,"&gt;=120")/COUNTIF(总表!F287:F343,"&gt;=0")</f>
        <v>0.10526315789473684</v>
      </c>
      <c r="I12" s="22">
        <f>COUNTIF(总表!F344:F400,"&gt;=120")/COUNTIF(总表!F344:F400,"&gt;=0")</f>
        <v>0.10526315789473684</v>
      </c>
      <c r="J12" s="22">
        <f>COUNTIF(总表!F401:F457,"&gt;=120")/COUNTIF(总表!F401:F457,"&gt;=0")</f>
        <v>0.12280701754385964</v>
      </c>
      <c r="K12" s="22">
        <f>COUNTIF(总表!F458:F507,"&gt;=120")/COUNTIF(总表!F458:F507,"&gt;=0")</f>
        <v>0.6</v>
      </c>
      <c r="L12" s="22">
        <f>COUNTIF(总表!F508:F559,"&gt;=120")/COUNTIF(总表!F508:F559,"&gt;=0")</f>
        <v>0.26923076923076922</v>
      </c>
      <c r="M12" s="22">
        <f>COUNTIF(总表!F560:F616,"&gt;=120")/COUNTIF(总表!F560:F616,"&gt;=0")</f>
        <v>0.10526315789473684</v>
      </c>
      <c r="N12" s="22">
        <f>COUNTIF(总表!F617:F672,"&gt;=120")/COUNTIF(总表!F617:F672,"&gt;=0")</f>
        <v>0.14285714285714285</v>
      </c>
      <c r="O12" s="22">
        <f>COUNTIF(总表!F673:F728,"&gt;=120")/COUNTIF(总表!F673:F728,"&gt;=0")</f>
        <v>8.9285714285714288E-2</v>
      </c>
      <c r="P12" s="22">
        <f>COUNTIF(总表!F729:F784,"&gt;=120")/COUNTIF(总表!F729:F784,"&gt;=0")</f>
        <v>0.16071428571428573</v>
      </c>
      <c r="Q12" s="22">
        <f>COUNTIF(总表!F785:F840,"&gt;=120")/COUNTIF(总表!F785:F840,"&gt;=0")</f>
        <v>7.1428571428571425E-2</v>
      </c>
      <c r="R12" s="22">
        <f>COUNTIF(总表!F841:F896,"&gt;=120")/COUNTIF(总表!F841:F896,"&gt;=0")</f>
        <v>0.19642857142857142</v>
      </c>
      <c r="S12" s="22">
        <f>COUNTIF(总表!F897:F953,"&gt;=120")/COUNTIF(总表!F897:F953,"&gt;=0")</f>
        <v>0.12280701754385964</v>
      </c>
      <c r="T12" s="22">
        <f>COUNTIF(总表!F3:F953,"&gt;=120")/COUNTIF(总表!F3:F953,"&gt;=0")</f>
        <v>0.16088328075709779</v>
      </c>
      <c r="U12" s="22">
        <f>COUNTIF(总表!F954:F1005,"&gt;=120")/COUNTIF(总表!F954:F1005,"&gt;=0")</f>
        <v>9.6153846153846159E-2</v>
      </c>
      <c r="V12" s="22">
        <f>COUNTIF(总表!F1006:F1039,"&gt;=120")/COUNTIF(总表!F1006:F1039,"&gt;=0")</f>
        <v>0</v>
      </c>
      <c r="W12" s="22">
        <f>COUNTIF(总表!F1040:F1073,"&gt;=120")/COUNTIF(总表!F1040:F1073,"&gt;=0")</f>
        <v>0</v>
      </c>
      <c r="X12" s="22">
        <f>COUNTIF(总表!F954:F1073,"&gt;=120")/COUNTIF(总表!F954:F1073,"&gt;=0")</f>
        <v>4.1666666666666664E-2</v>
      </c>
    </row>
    <row r="13" spans="1:24" s="6" customFormat="1" ht="31.5" customHeight="1">
      <c r="A13" s="98"/>
      <c r="B13" s="5" t="s">
        <v>21</v>
      </c>
      <c r="C13" s="22">
        <f>COUNTIF(总表!F3:F59,"&gt;=90")/COUNTIF(总表!F3:F59,"&gt;=0")</f>
        <v>0.61403508771929827</v>
      </c>
      <c r="D13" s="22">
        <f>COUNTIF(总表!F60:F116,"&gt;=90")/COUNTIF(总表!F60:F116,"&gt;=0")</f>
        <v>0.56140350877192979</v>
      </c>
      <c r="E13" s="22">
        <f>COUNTIF(总表!F117:F173,"&gt;=90")/COUNTIF(总表!F117:F173,"&gt;=0")</f>
        <v>0.68421052631578949</v>
      </c>
      <c r="F13" s="22">
        <f>COUNTIF(总表!F174:F230,"&gt;=90")/COUNTIF(总表!F174:F230,"&gt;=0")</f>
        <v>0.7192982456140351</v>
      </c>
      <c r="G13" s="22">
        <f>COUNTIF(总表!F231:F286,"&gt;=90")/COUNTIF(总表!F231:F286,"&gt;=0")</f>
        <v>0.5178571428571429</v>
      </c>
      <c r="H13" s="22">
        <f>COUNTIF(总表!F287:F343,"&gt;=90")/COUNTIF(总表!F287:F343,"&gt;=0")</f>
        <v>0.54385964912280704</v>
      </c>
      <c r="I13" s="22">
        <f>COUNTIF(总表!F344:F400,"&gt;=90")/COUNTIF(总表!F344:F400,"&gt;=0")</f>
        <v>0.66666666666666663</v>
      </c>
      <c r="J13" s="22">
        <f>COUNTIF(总表!F401:F457,"&gt;=90")/COUNTIF(总表!F401:F457,"&gt;=0")</f>
        <v>0.54385964912280704</v>
      </c>
      <c r="K13" s="22">
        <f>COUNTIF(总表!F458:F507,"&gt;=90")/COUNTIF(总表!F458:F507,"&gt;=0")</f>
        <v>1</v>
      </c>
      <c r="L13" s="22">
        <f>COUNTIF(总表!F508:F559,"&gt;=90")/COUNTIF(总表!F508:F559,"&gt;=0")</f>
        <v>0.90384615384615385</v>
      </c>
      <c r="M13" s="22">
        <f>COUNTIF(总表!F560:F616,"&gt;=90")/COUNTIF(总表!F560:F616,"&gt;=0")</f>
        <v>0.56140350877192979</v>
      </c>
      <c r="N13" s="22">
        <f>COUNTIF(总表!F617:F672,"&gt;=90")/COUNTIF(总表!F617:F672,"&gt;=0")</f>
        <v>0.5714285714285714</v>
      </c>
      <c r="O13" s="22">
        <f>COUNTIF(总表!F673:F728,"&gt;=90")/COUNTIF(总表!F673:F728,"&gt;=0")</f>
        <v>0.5</v>
      </c>
      <c r="P13" s="22">
        <f>COUNTIF(总表!F729:F784,"&gt;=90")/COUNTIF(总表!F729:F784,"&gt;=0")</f>
        <v>0.5535714285714286</v>
      </c>
      <c r="Q13" s="22">
        <f>COUNTIF(总表!F785:F840,"&gt;=90")/COUNTIF(总表!F785:F840,"&gt;=0")</f>
        <v>0.6071428571428571</v>
      </c>
      <c r="R13" s="22">
        <f>COUNTIF(总表!F841:F896,"&gt;=90")/COUNTIF(总表!F841:F896,"&gt;=0")</f>
        <v>0.5892857142857143</v>
      </c>
      <c r="S13" s="22">
        <f>COUNTIF(总表!F897:F953,"&gt;=90")/COUNTIF(总表!F897:F953,"&gt;=0")</f>
        <v>0.42105263157894735</v>
      </c>
      <c r="T13" s="22">
        <f>COUNTIF(总表!F3:F953,"&gt;=90")/COUNTIF(总表!F3:F953,"&gt;=0")</f>
        <v>0.6172450052576236</v>
      </c>
      <c r="U13" s="22">
        <f>COUNTIF(总表!F954:F1005,"&gt;=90")/COUNTIF(总表!F954:F1005,"&gt;=0")</f>
        <v>0.53846153846153844</v>
      </c>
      <c r="V13" s="22">
        <f>COUNTIF(总表!F1006:F1039,"&gt;=90")/COUNTIF(总表!F1006:F1039,"&gt;=0")</f>
        <v>0.11764705882352941</v>
      </c>
      <c r="W13" s="22">
        <f>COUNTIF(总表!F1040:F1073,"&gt;=90")/COUNTIF(总表!F1040:F1073,"&gt;=0")</f>
        <v>8.8235294117647065E-2</v>
      </c>
      <c r="X13" s="22">
        <f>COUNTIF(总表!F954:F1073,"&gt;=90")/COUNTIF(总表!F954:F1073,"&gt;=0")</f>
        <v>0.29166666666666669</v>
      </c>
    </row>
    <row r="14" spans="1:24" s="6" customFormat="1" ht="31.5" customHeight="1">
      <c r="A14" s="99"/>
      <c r="B14" s="83" t="s">
        <v>3441</v>
      </c>
      <c r="C14" s="21">
        <f>RANK(C13,$C$13:$S$13)</f>
        <v>6</v>
      </c>
      <c r="D14" s="21">
        <f t="shared" ref="D14:S14" si="3">RANK(D13,$C$13:$S$13)</f>
        <v>10</v>
      </c>
      <c r="E14" s="21">
        <f t="shared" si="3"/>
        <v>4</v>
      </c>
      <c r="F14" s="21">
        <f t="shared" si="3"/>
        <v>3</v>
      </c>
      <c r="G14" s="21">
        <f t="shared" si="3"/>
        <v>15</v>
      </c>
      <c r="H14" s="21">
        <f t="shared" si="3"/>
        <v>13</v>
      </c>
      <c r="I14" s="21">
        <f t="shared" si="3"/>
        <v>5</v>
      </c>
      <c r="J14" s="21">
        <f t="shared" si="3"/>
        <v>13</v>
      </c>
      <c r="K14" s="21">
        <f t="shared" si="3"/>
        <v>1</v>
      </c>
      <c r="L14" s="21">
        <f t="shared" si="3"/>
        <v>2</v>
      </c>
      <c r="M14" s="21">
        <f t="shared" si="3"/>
        <v>10</v>
      </c>
      <c r="N14" s="21">
        <f t="shared" si="3"/>
        <v>9</v>
      </c>
      <c r="O14" s="21">
        <f t="shared" si="3"/>
        <v>16</v>
      </c>
      <c r="P14" s="21">
        <f t="shared" si="3"/>
        <v>12</v>
      </c>
      <c r="Q14" s="21">
        <f t="shared" si="3"/>
        <v>7</v>
      </c>
      <c r="R14" s="21">
        <f t="shared" si="3"/>
        <v>8</v>
      </c>
      <c r="S14" s="21">
        <f t="shared" si="3"/>
        <v>17</v>
      </c>
      <c r="T14" s="22"/>
      <c r="U14" s="21">
        <f>RANK(U13,$U$13:$W$13)</f>
        <v>1</v>
      </c>
      <c r="V14" s="21">
        <f>RANK(V13,$U$13:$W$13)</f>
        <v>2</v>
      </c>
      <c r="W14" s="21">
        <f>RANK(W13,$U$13:$W$13)</f>
        <v>3</v>
      </c>
      <c r="X14" s="22"/>
    </row>
    <row r="15" spans="1:24" s="7" customFormat="1" ht="31.5" customHeight="1">
      <c r="A15" s="97" t="s">
        <v>10</v>
      </c>
      <c r="B15" s="5" t="s">
        <v>26</v>
      </c>
      <c r="C15" s="69" t="s">
        <v>3366</v>
      </c>
      <c r="D15" s="69" t="s">
        <v>3366</v>
      </c>
      <c r="E15" s="69" t="s">
        <v>3367</v>
      </c>
      <c r="F15" s="69" t="s">
        <v>3368</v>
      </c>
      <c r="G15" s="69" t="s">
        <v>3369</v>
      </c>
      <c r="H15" s="69" t="s">
        <v>3369</v>
      </c>
      <c r="I15" s="69" t="s">
        <v>3370</v>
      </c>
      <c r="J15" s="69" t="s">
        <v>3370</v>
      </c>
      <c r="K15" s="69" t="s">
        <v>3371</v>
      </c>
      <c r="L15" s="69" t="s">
        <v>3371</v>
      </c>
      <c r="M15" s="69" t="s">
        <v>3372</v>
      </c>
      <c r="N15" s="69" t="s">
        <v>3372</v>
      </c>
      <c r="O15" s="69" t="s">
        <v>3373</v>
      </c>
      <c r="P15" s="69" t="s">
        <v>3374</v>
      </c>
      <c r="Q15" s="69" t="s">
        <v>3375</v>
      </c>
      <c r="R15" s="69" t="s">
        <v>3376</v>
      </c>
      <c r="S15" s="69" t="s">
        <v>3376</v>
      </c>
      <c r="T15" s="17"/>
      <c r="U15" s="69" t="s">
        <v>3379</v>
      </c>
      <c r="V15" s="69" t="s">
        <v>3380</v>
      </c>
      <c r="W15" s="69" t="s">
        <v>3380</v>
      </c>
      <c r="X15" s="17"/>
    </row>
    <row r="16" spans="1:24" s="6" customFormat="1" ht="31.5" customHeight="1">
      <c r="A16" s="98"/>
      <c r="B16" s="11" t="s">
        <v>19</v>
      </c>
      <c r="C16" s="20">
        <f>AVERAGE(总表!G3:G59)</f>
        <v>103.6140350877193</v>
      </c>
      <c r="D16" s="20">
        <f>AVERAGE(总表!G60:G116)</f>
        <v>105.75438596491227</v>
      </c>
      <c r="E16" s="20">
        <f>AVERAGE(总表!G117:G173)</f>
        <v>107.10526315789474</v>
      </c>
      <c r="F16" s="20">
        <f>AVERAGE(总表!G174:G230)</f>
        <v>104.43859649122807</v>
      </c>
      <c r="G16" s="20">
        <f>AVERAGE(总表!G231:G286)</f>
        <v>105.8125</v>
      </c>
      <c r="H16" s="20">
        <f>AVERAGE(总表!G287:G343)</f>
        <v>104.03508771929825</v>
      </c>
      <c r="I16" s="20">
        <f>AVERAGE(总表!G344:G400)</f>
        <v>103.07017543859649</v>
      </c>
      <c r="J16" s="20">
        <f>AVERAGE(总表!G401:G457)</f>
        <v>104.31578947368421</v>
      </c>
      <c r="K16" s="20">
        <f>AVERAGE(总表!G458:G507)</f>
        <v>125.01</v>
      </c>
      <c r="L16" s="20">
        <f>AVERAGE(总表!G508:G559)</f>
        <v>116.32692307692308</v>
      </c>
      <c r="M16" s="20">
        <f>AVERAGE(总表!G560:G616)</f>
        <v>108.19298245614036</v>
      </c>
      <c r="N16" s="20">
        <f>AVERAGE(总表!G617:G672)</f>
        <v>107.05357142857143</v>
      </c>
      <c r="O16" s="20">
        <f>AVERAGE(总表!G673:G728)</f>
        <v>107.52678571428571</v>
      </c>
      <c r="P16" s="20">
        <f>AVERAGE(总表!G729:G784)</f>
        <v>109.05357142857143</v>
      </c>
      <c r="Q16" s="20">
        <f>AVERAGE(总表!G785:G840)</f>
        <v>107.74107142857143</v>
      </c>
      <c r="R16" s="20">
        <f>AVERAGE(总表!G841:G896)</f>
        <v>108.04464285714286</v>
      </c>
      <c r="S16" s="20">
        <f>AVERAGE(总表!G897:G953)</f>
        <v>105.55263157894737</v>
      </c>
      <c r="T16" s="20">
        <f>AVERAGE(总表!G3:G953)</f>
        <v>107.63301787592009</v>
      </c>
      <c r="U16" s="20">
        <f>AVERAGE(总表!G954:G1005)</f>
        <v>119.60576923076923</v>
      </c>
      <c r="V16" s="20">
        <f>AVERAGE(总表!G1006:G1039)</f>
        <v>106.80882352941177</v>
      </c>
      <c r="W16" s="20">
        <f>AVERAGE(总表!G1040:G1073)</f>
        <v>110.27941176470588</v>
      </c>
      <c r="X16" s="20">
        <f>AVERAGE(总表!G954:G1073)</f>
        <v>113.33750000000001</v>
      </c>
    </row>
    <row r="17" spans="1:24" s="6" customFormat="1" ht="31.5" customHeight="1">
      <c r="A17" s="98"/>
      <c r="B17" s="11" t="s">
        <v>27</v>
      </c>
      <c r="C17" s="21">
        <f t="shared" ref="C17:S17" si="4">RANK(C16,$C$16:$S$16)</f>
        <v>16</v>
      </c>
      <c r="D17" s="21">
        <f t="shared" si="4"/>
        <v>11</v>
      </c>
      <c r="E17" s="21">
        <f t="shared" si="4"/>
        <v>8</v>
      </c>
      <c r="F17" s="21">
        <f t="shared" si="4"/>
        <v>13</v>
      </c>
      <c r="G17" s="21">
        <f t="shared" si="4"/>
        <v>10</v>
      </c>
      <c r="H17" s="21">
        <f t="shared" si="4"/>
        <v>15</v>
      </c>
      <c r="I17" s="21">
        <f t="shared" si="4"/>
        <v>17</v>
      </c>
      <c r="J17" s="21">
        <f t="shared" si="4"/>
        <v>14</v>
      </c>
      <c r="K17" s="21">
        <f t="shared" si="4"/>
        <v>1</v>
      </c>
      <c r="L17" s="21">
        <f t="shared" si="4"/>
        <v>2</v>
      </c>
      <c r="M17" s="21">
        <f t="shared" si="4"/>
        <v>4</v>
      </c>
      <c r="N17" s="21">
        <f t="shared" si="4"/>
        <v>9</v>
      </c>
      <c r="O17" s="21">
        <f t="shared" si="4"/>
        <v>7</v>
      </c>
      <c r="P17" s="21">
        <f t="shared" si="4"/>
        <v>3</v>
      </c>
      <c r="Q17" s="21">
        <f t="shared" si="4"/>
        <v>6</v>
      </c>
      <c r="R17" s="21">
        <f t="shared" si="4"/>
        <v>5</v>
      </c>
      <c r="S17" s="21">
        <f t="shared" si="4"/>
        <v>12</v>
      </c>
      <c r="T17" s="21"/>
      <c r="U17" s="21">
        <f>RANK(U16,$U$16:$W$16)</f>
        <v>1</v>
      </c>
      <c r="V17" s="21">
        <f>RANK(V16,$U$16:$W$16)</f>
        <v>3</v>
      </c>
      <c r="W17" s="21">
        <f>RANK(W16,$U$16:$W$16)</f>
        <v>2</v>
      </c>
      <c r="X17" s="21"/>
    </row>
    <row r="18" spans="1:24" s="6" customFormat="1" ht="31.5" customHeight="1">
      <c r="A18" s="98"/>
      <c r="B18" s="5" t="s">
        <v>20</v>
      </c>
      <c r="C18" s="22">
        <f>COUNTIF(总表!G3:G59,"&gt;=120")/COUNTIF(总表!G3:G59,"&gt;=0")</f>
        <v>0.17543859649122806</v>
      </c>
      <c r="D18" s="22">
        <f>COUNTIF(总表!G60:G116,"&gt;=120")/COUNTIF(总表!G60:G116,"&gt;=0")</f>
        <v>0.21052631578947367</v>
      </c>
      <c r="E18" s="22">
        <f>COUNTIF(总表!G117:G173,"&gt;=120")/COUNTIF(总表!G117:G173,"&gt;=0")</f>
        <v>0.21052631578947367</v>
      </c>
      <c r="F18" s="22">
        <f>COUNTIF(总表!G174:G230,"&gt;=120")/COUNTIF(总表!G174:G230,"&gt;=0")</f>
        <v>0.19298245614035087</v>
      </c>
      <c r="G18" s="22">
        <f>COUNTIF(总表!G231:G286,"&gt;=120")/COUNTIF(总表!G231:G286,"&gt;=0")</f>
        <v>0.26785714285714285</v>
      </c>
      <c r="H18" s="22">
        <f>COUNTIF(总表!G287:G343,"&gt;=120")/COUNTIF(总表!G287:G343,"&gt;=0")</f>
        <v>0.17543859649122806</v>
      </c>
      <c r="I18" s="22">
        <f>COUNTIF(总表!G344:G400,"&gt;=120")/COUNTIF(总表!G344:G400,"&gt;=0")</f>
        <v>0.14035087719298245</v>
      </c>
      <c r="J18" s="22">
        <f>COUNTIF(总表!G401:G457,"&gt;=120")/COUNTIF(总表!G401:G457,"&gt;=0")</f>
        <v>0.19298245614035087</v>
      </c>
      <c r="K18" s="22">
        <f>COUNTIF(总表!G458:G507,"&gt;=120")/COUNTIF(总表!G458:G507,"&gt;=0")</f>
        <v>0.82</v>
      </c>
      <c r="L18" s="22">
        <f>COUNTIF(总表!G508:G559,"&gt;=120")/COUNTIF(总表!G508:G559,"&gt;=0")</f>
        <v>0.36538461538461536</v>
      </c>
      <c r="M18" s="22">
        <f>COUNTIF(总表!G560:G616,"&gt;=120")/COUNTIF(总表!G560:G616,"&gt;=0")</f>
        <v>0.17543859649122806</v>
      </c>
      <c r="N18" s="22">
        <f>COUNTIF(总表!G617:G672,"&gt;=120")/COUNTIF(总表!G617:G672,"&gt;=0")</f>
        <v>0.19642857142857142</v>
      </c>
      <c r="O18" s="22">
        <f>COUNTIF(总表!G673:G728,"&gt;=120")/COUNTIF(总表!G673:G728,"&gt;=0")</f>
        <v>0.25</v>
      </c>
      <c r="P18" s="22">
        <f>COUNTIF(总表!G729:G784,"&gt;=120")/COUNTIF(总表!G729:G784,"&gt;=0")</f>
        <v>0.19642857142857142</v>
      </c>
      <c r="Q18" s="22">
        <f>COUNTIF(总表!G785:G840,"&gt;=120")/COUNTIF(总表!G785:G840,"&gt;=0")</f>
        <v>0.23214285714285715</v>
      </c>
      <c r="R18" s="22">
        <f>COUNTIF(总表!G841:G896,"&gt;=120")/COUNTIF(总表!G841:G896,"&gt;=0")</f>
        <v>0.21428571428571427</v>
      </c>
      <c r="S18" s="22">
        <f>COUNTIF(总表!G897:G953,"&gt;=120")/COUNTIF(总表!G897:G953,"&gt;=0")</f>
        <v>0.14035087719298245</v>
      </c>
      <c r="T18" s="22">
        <f>COUNTIF(总表!G3:G953,"&gt;=120")/COUNTIF(总表!G3:G953,"&gt;=0")</f>
        <v>0.23974763406940064</v>
      </c>
      <c r="U18" s="22">
        <f>COUNTIF(总表!G954:G1005,"&gt;=120")/COUNTIF(总表!G954:G1005,"&gt;=0")</f>
        <v>0.57692307692307687</v>
      </c>
      <c r="V18" s="22">
        <f>COUNTIF(总表!G1006:G1039,"&gt;=120")/COUNTIF(总表!G1006:G1039,"&gt;=0")</f>
        <v>0.17647058823529413</v>
      </c>
      <c r="W18" s="22">
        <f>COUNTIF(总表!G1040:G1073,"&gt;=120")/COUNTIF(总表!G1040:G1073,"&gt;=0")</f>
        <v>0.26470588235294118</v>
      </c>
      <c r="X18" s="22">
        <f>COUNTIF(总表!G954:G1073,"&gt;=120")/COUNTIF(总表!G954:G1073,"&gt;=0")</f>
        <v>0.375</v>
      </c>
    </row>
    <row r="19" spans="1:24" s="6" customFormat="1" ht="31.5" customHeight="1">
      <c r="A19" s="98"/>
      <c r="B19" s="5" t="s">
        <v>21</v>
      </c>
      <c r="C19" s="22">
        <f>COUNTIF(总表!G3:G59,"&gt;=90")/COUNTIF(总表!G3:G59,"&gt;=0")</f>
        <v>0.80701754385964908</v>
      </c>
      <c r="D19" s="22">
        <f>COUNTIF(总表!G60:G116,"&gt;=90")/COUNTIF(总表!G60:G116,"&gt;=0")</f>
        <v>0.85964912280701755</v>
      </c>
      <c r="E19" s="22">
        <f>COUNTIF(总表!G117:G173,"&gt;=90")/COUNTIF(总表!G117:G173,"&gt;=0")</f>
        <v>0.84210526315789469</v>
      </c>
      <c r="F19" s="22">
        <f>COUNTIF(总表!G174:G230,"&gt;=90")/COUNTIF(总表!G174:G230,"&gt;=0")</f>
        <v>0.80701754385964908</v>
      </c>
      <c r="G19" s="22">
        <f>COUNTIF(总表!G231:G286,"&gt;=90")/COUNTIF(总表!G231:G286,"&gt;=0")</f>
        <v>0.8392857142857143</v>
      </c>
      <c r="H19" s="22">
        <f>COUNTIF(总表!G287:G343,"&gt;=90")/COUNTIF(总表!G287:G343,"&gt;=0")</f>
        <v>0.8771929824561403</v>
      </c>
      <c r="I19" s="22">
        <f>COUNTIF(总表!G344:G400,"&gt;=90")/COUNTIF(总表!G344:G400,"&gt;=0")</f>
        <v>0.84210526315789469</v>
      </c>
      <c r="J19" s="22">
        <f>COUNTIF(总表!G401:G457,"&gt;=90")/COUNTIF(总表!G401:G457,"&gt;=0")</f>
        <v>0.75438596491228072</v>
      </c>
      <c r="K19" s="22">
        <f>COUNTIF(总表!G458:G507,"&gt;=90")/COUNTIF(总表!G458:G507,"&gt;=0")</f>
        <v>1</v>
      </c>
      <c r="L19" s="22">
        <f>COUNTIF(总表!G508:G559,"&gt;=90")/COUNTIF(总表!G508:G559,"&gt;=0")</f>
        <v>1</v>
      </c>
      <c r="M19" s="22">
        <f>COUNTIF(总表!G560:G616,"&gt;=90")/COUNTIF(总表!G560:G616,"&gt;=0")</f>
        <v>0.92982456140350878</v>
      </c>
      <c r="N19" s="22">
        <f>COUNTIF(总表!G617:G672,"&gt;=90")/COUNTIF(总表!G617:G672,"&gt;=0")</f>
        <v>0.8928571428571429</v>
      </c>
      <c r="O19" s="22">
        <f>COUNTIF(总表!G673:G728,"&gt;=90")/COUNTIF(总表!G673:G728,"&gt;=0")</f>
        <v>0.8928571428571429</v>
      </c>
      <c r="P19" s="22">
        <f>COUNTIF(总表!G729:G784,"&gt;=90")/COUNTIF(总表!G729:G784,"&gt;=0")</f>
        <v>0.8928571428571429</v>
      </c>
      <c r="Q19" s="22">
        <f>COUNTIF(总表!G785:G840,"&gt;=90")/COUNTIF(总表!G785:G840,"&gt;=0")</f>
        <v>0.875</v>
      </c>
      <c r="R19" s="22">
        <f>COUNTIF(总表!G841:G896,"&gt;=90")/COUNTIF(总表!G841:G896,"&gt;=0")</f>
        <v>0.9464285714285714</v>
      </c>
      <c r="S19" s="22">
        <f>COUNTIF(总表!G897:G953,"&gt;=90")/COUNTIF(总表!G897:G953,"&gt;=0")</f>
        <v>0.89473684210526316</v>
      </c>
      <c r="T19" s="22">
        <f>COUNTIF(总表!G3:G953,"&gt;=90")/COUNTIF(总表!G3:G953,"&gt;=0")</f>
        <v>0.87802313354363826</v>
      </c>
      <c r="U19" s="22">
        <f>COUNTIF(总表!G954:G1005,"&gt;=90")/COUNTIF(总表!G954:G1005,"&gt;=0")</f>
        <v>0.96153846153846156</v>
      </c>
      <c r="V19" s="22">
        <f>COUNTIF(总表!G1006:G1039,"&gt;=90")/COUNTIF(总表!G1006:G1039,"&gt;=0")</f>
        <v>0.97058823529411764</v>
      </c>
      <c r="W19" s="22">
        <f>COUNTIF(总表!G1040:G1073,"&gt;=90")/COUNTIF(总表!G1040:G1073,"&gt;=0")</f>
        <v>0.94117647058823528</v>
      </c>
      <c r="X19" s="22">
        <f>COUNTIF(总表!G954:G1073,"&gt;=90")/COUNTIF(总表!G954:G1073,"&gt;=0")</f>
        <v>0.95833333333333337</v>
      </c>
    </row>
    <row r="20" spans="1:24" s="6" customFormat="1" ht="31.5" customHeight="1">
      <c r="A20" s="99"/>
      <c r="B20" s="83" t="s">
        <v>3441</v>
      </c>
      <c r="C20" s="21">
        <f>RANK(C19,$C$19:$S$19)</f>
        <v>15</v>
      </c>
      <c r="D20" s="21">
        <f t="shared" ref="D20:S20" si="5">RANK(D19,$C$19:$S$19)</f>
        <v>11</v>
      </c>
      <c r="E20" s="21">
        <f t="shared" si="5"/>
        <v>12</v>
      </c>
      <c r="F20" s="21">
        <f t="shared" si="5"/>
        <v>15</v>
      </c>
      <c r="G20" s="21">
        <f t="shared" si="5"/>
        <v>14</v>
      </c>
      <c r="H20" s="21">
        <f t="shared" si="5"/>
        <v>9</v>
      </c>
      <c r="I20" s="21">
        <f t="shared" si="5"/>
        <v>12</v>
      </c>
      <c r="J20" s="21">
        <f t="shared" si="5"/>
        <v>17</v>
      </c>
      <c r="K20" s="21">
        <f t="shared" si="5"/>
        <v>1</v>
      </c>
      <c r="L20" s="21">
        <f t="shared" si="5"/>
        <v>1</v>
      </c>
      <c r="M20" s="21">
        <f t="shared" si="5"/>
        <v>4</v>
      </c>
      <c r="N20" s="21">
        <f t="shared" si="5"/>
        <v>6</v>
      </c>
      <c r="O20" s="21">
        <f t="shared" si="5"/>
        <v>6</v>
      </c>
      <c r="P20" s="21">
        <f t="shared" si="5"/>
        <v>6</v>
      </c>
      <c r="Q20" s="21">
        <f t="shared" si="5"/>
        <v>10</v>
      </c>
      <c r="R20" s="21">
        <f t="shared" si="5"/>
        <v>3</v>
      </c>
      <c r="S20" s="21">
        <f t="shared" si="5"/>
        <v>5</v>
      </c>
      <c r="T20" s="22"/>
      <c r="U20" s="21">
        <f>RANK(U19,$U$19:$W$19)</f>
        <v>2</v>
      </c>
      <c r="V20" s="21">
        <f>RANK(V19,$U$19:$W$19)</f>
        <v>1</v>
      </c>
      <c r="W20" s="21">
        <f>RANK(W19,$U$19:$W$19)</f>
        <v>3</v>
      </c>
      <c r="X20" s="22"/>
    </row>
    <row r="21" spans="1:24" s="7" customFormat="1" ht="31.5" customHeight="1">
      <c r="A21" s="100" t="s">
        <v>70</v>
      </c>
      <c r="B21" s="5" t="s">
        <v>26</v>
      </c>
      <c r="C21" s="69" t="s">
        <v>3383</v>
      </c>
      <c r="D21" s="69" t="s">
        <v>3383</v>
      </c>
      <c r="E21" s="69" t="s">
        <v>3383</v>
      </c>
      <c r="F21" s="69" t="s">
        <v>3384</v>
      </c>
      <c r="G21" s="69" t="s">
        <v>3384</v>
      </c>
      <c r="H21" s="69" t="s">
        <v>3384</v>
      </c>
      <c r="I21" s="69" t="s">
        <v>3385</v>
      </c>
      <c r="J21" s="69" t="s">
        <v>3385</v>
      </c>
      <c r="K21" s="69" t="s">
        <v>3386</v>
      </c>
      <c r="L21" s="69" t="s">
        <v>3386</v>
      </c>
      <c r="M21" s="69" t="s">
        <v>3387</v>
      </c>
      <c r="N21" s="69" t="s">
        <v>3388</v>
      </c>
      <c r="O21" s="69" t="s">
        <v>3388</v>
      </c>
      <c r="P21" s="69" t="s">
        <v>3388</v>
      </c>
      <c r="Q21" s="69" t="s">
        <v>3385</v>
      </c>
      <c r="R21" s="69" t="s">
        <v>3389</v>
      </c>
      <c r="S21" s="69" t="s">
        <v>3389</v>
      </c>
      <c r="T21" s="17"/>
      <c r="U21" s="69" t="s">
        <v>3381</v>
      </c>
      <c r="V21" s="69" t="s">
        <v>3382</v>
      </c>
      <c r="W21" s="69" t="s">
        <v>3381</v>
      </c>
      <c r="X21" s="17"/>
    </row>
    <row r="22" spans="1:24" s="6" customFormat="1" ht="31.5" customHeight="1">
      <c r="A22" s="101"/>
      <c r="B22" s="11" t="s">
        <v>19</v>
      </c>
      <c r="C22" s="20">
        <f>AVERAGE(总表!H3:H59)</f>
        <v>65.596491228070178</v>
      </c>
      <c r="D22" s="20">
        <f>AVERAGE(总表!H60:H116)</f>
        <v>64.701754385964918</v>
      </c>
      <c r="E22" s="20">
        <f>AVERAGE(总表!H117:H173)</f>
        <v>68.508771929824562</v>
      </c>
      <c r="F22" s="20">
        <f>AVERAGE(总表!H174:H230)</f>
        <v>64.245614035087726</v>
      </c>
      <c r="G22" s="20">
        <f>AVERAGE(总表!H231:H286)</f>
        <v>64.928571428571431</v>
      </c>
      <c r="H22" s="20">
        <f>AVERAGE(总表!H287:H343)</f>
        <v>64.89473684210526</v>
      </c>
      <c r="I22" s="20">
        <f>AVERAGE(总表!H344:H400)</f>
        <v>66.912280701754383</v>
      </c>
      <c r="J22" s="20">
        <f>AVERAGE(总表!H401:H457)</f>
        <v>67.508771929824562</v>
      </c>
      <c r="K22" s="20">
        <f>AVERAGE(总表!H458:H507)</f>
        <v>86.96</v>
      </c>
      <c r="L22" s="20">
        <f>AVERAGE(总表!H508:H559)</f>
        <v>74.134615384615387</v>
      </c>
      <c r="M22" s="20">
        <f>AVERAGE(总表!H560:H616)</f>
        <v>67.877192982456137</v>
      </c>
      <c r="N22" s="20">
        <f>AVERAGE(总表!H617:H672)</f>
        <v>67.089285714285708</v>
      </c>
      <c r="O22" s="20">
        <f>AVERAGE(总表!H673:H728)</f>
        <v>64.321428571428569</v>
      </c>
      <c r="P22" s="20">
        <f>AVERAGE(总表!H729:H784)</f>
        <v>68.285714285714292</v>
      </c>
      <c r="Q22" s="20">
        <f>AVERAGE(总表!H785:H840)</f>
        <v>68.071428571428569</v>
      </c>
      <c r="R22" s="20">
        <f>AVERAGE(总表!H841:H896)</f>
        <v>67.25</v>
      </c>
      <c r="S22" s="20">
        <f>AVERAGE(总表!H897:H953)</f>
        <v>66.649122807017548</v>
      </c>
      <c r="T22" s="20">
        <f>AVERAGE(总表!H3:H953)</f>
        <v>67.952681388012621</v>
      </c>
      <c r="U22" s="20">
        <f>AVERAGE(总表!H954:H1005)</f>
        <v>78.92307692307692</v>
      </c>
      <c r="V22" s="20">
        <f>AVERAGE(总表!H1006:H1039)</f>
        <v>73.852941176470594</v>
      </c>
      <c r="W22" s="20">
        <f>AVERAGE(总表!H1040:H1073)</f>
        <v>73</v>
      </c>
      <c r="X22" s="20">
        <f>AVERAGE(总表!H954:H1073)</f>
        <v>75.808333333333337</v>
      </c>
    </row>
    <row r="23" spans="1:24" s="6" customFormat="1" ht="31.5" customHeight="1">
      <c r="A23" s="101"/>
      <c r="B23" s="11" t="s">
        <v>27</v>
      </c>
      <c r="C23" s="21">
        <f t="shared" ref="C23:S23" si="6">RANK(C22,$C$22:$S$22)</f>
        <v>12</v>
      </c>
      <c r="D23" s="21">
        <f t="shared" si="6"/>
        <v>15</v>
      </c>
      <c r="E23" s="21">
        <f t="shared" si="6"/>
        <v>3</v>
      </c>
      <c r="F23" s="21">
        <f t="shared" si="6"/>
        <v>17</v>
      </c>
      <c r="G23" s="21">
        <f t="shared" si="6"/>
        <v>13</v>
      </c>
      <c r="H23" s="21">
        <f t="shared" si="6"/>
        <v>14</v>
      </c>
      <c r="I23" s="21">
        <f t="shared" si="6"/>
        <v>10</v>
      </c>
      <c r="J23" s="21">
        <f t="shared" si="6"/>
        <v>7</v>
      </c>
      <c r="K23" s="21">
        <f t="shared" si="6"/>
        <v>1</v>
      </c>
      <c r="L23" s="21">
        <f t="shared" si="6"/>
        <v>2</v>
      </c>
      <c r="M23" s="21">
        <f t="shared" si="6"/>
        <v>6</v>
      </c>
      <c r="N23" s="21">
        <f t="shared" si="6"/>
        <v>9</v>
      </c>
      <c r="O23" s="21">
        <f t="shared" si="6"/>
        <v>16</v>
      </c>
      <c r="P23" s="21">
        <f t="shared" si="6"/>
        <v>4</v>
      </c>
      <c r="Q23" s="21">
        <f t="shared" si="6"/>
        <v>5</v>
      </c>
      <c r="R23" s="21">
        <f t="shared" si="6"/>
        <v>8</v>
      </c>
      <c r="S23" s="21">
        <f t="shared" si="6"/>
        <v>11</v>
      </c>
      <c r="T23" s="21"/>
      <c r="U23" s="21">
        <f>RANK(U22,$U$22:$W$22)</f>
        <v>1</v>
      </c>
      <c r="V23" s="21">
        <f>RANK(V22,$U$22:$W$22)</f>
        <v>2</v>
      </c>
      <c r="W23" s="21">
        <f>RANK(W22,$U$22:$W$22)</f>
        <v>3</v>
      </c>
      <c r="X23" s="21"/>
    </row>
    <row r="24" spans="1:24" s="6" customFormat="1" ht="31.5" customHeight="1">
      <c r="A24" s="101"/>
      <c r="B24" s="5" t="s">
        <v>20</v>
      </c>
      <c r="C24" s="22">
        <f>COUNTIF(总表!H3:H59,"&gt;=88")/COUNTIF(总表!H3:H59,"&gt;=0")</f>
        <v>5.2631578947368418E-2</v>
      </c>
      <c r="D24" s="22">
        <f>COUNTIF(总表!H60:H116,"&gt;=88")/COUNTIF(总表!H60:H116,"&gt;=0")</f>
        <v>0.10526315789473684</v>
      </c>
      <c r="E24" s="22">
        <f>COUNTIF(总表!H117:H173,"&gt;=88")/COUNTIF(总表!H117:H173,"&gt;=0")</f>
        <v>7.0175438596491224E-2</v>
      </c>
      <c r="F24" s="22">
        <f>COUNTIF(总表!H174:H230,"&gt;=88")/COUNTIF(总表!H174:H230,"&gt;=0")</f>
        <v>1.7543859649122806E-2</v>
      </c>
      <c r="G24" s="22">
        <f>COUNTIF(总表!H231:H286,"&gt;=88")/COUNTIF(总表!H231:H286,"&gt;=0")</f>
        <v>5.3571428571428568E-2</v>
      </c>
      <c r="H24" s="22">
        <f>COUNTIF(总表!H287:H343,"&gt;=88")/COUNTIF(总表!H287:H343,"&gt;=0")</f>
        <v>8.771929824561403E-2</v>
      </c>
      <c r="I24" s="22">
        <f>COUNTIF(总表!H344:H400,"&gt;=88")/COUNTIF(总表!H344:H400,"&gt;=0")</f>
        <v>0.12280701754385964</v>
      </c>
      <c r="J24" s="22">
        <f>COUNTIF(总表!H401:H457,"&gt;=88")/COUNTIF(总表!H401:H457,"&gt;=0")</f>
        <v>8.771929824561403E-2</v>
      </c>
      <c r="K24" s="22">
        <f>COUNTIF(总表!H458:H507,"&gt;=88")/COUNTIF(总表!H458:H507,"&gt;=0")</f>
        <v>0.48</v>
      </c>
      <c r="L24" s="22">
        <f>COUNTIF(总表!H508:H559,"&gt;=88")/COUNTIF(总表!H508:H559,"&gt;=0")</f>
        <v>0.13461538461538461</v>
      </c>
      <c r="M24" s="22">
        <f>COUNTIF(总表!H560:H616,"&gt;=88")/COUNTIF(总表!H560:H616,"&gt;=0")</f>
        <v>7.0175438596491224E-2</v>
      </c>
      <c r="N24" s="22">
        <f>COUNTIF(总表!H617:H672,"&gt;=88")/COUNTIF(总表!H617:H672,"&gt;=0")</f>
        <v>8.9285714285714288E-2</v>
      </c>
      <c r="O24" s="22">
        <f>COUNTIF(总表!H673:H728,"&gt;=88")/COUNTIF(总表!H673:H728,"&gt;=0")</f>
        <v>5.3571428571428568E-2</v>
      </c>
      <c r="P24" s="22">
        <f>COUNTIF(总表!H729:H784,"&gt;=88")/COUNTIF(总表!H729:H784,"&gt;=0")</f>
        <v>7.1428571428571425E-2</v>
      </c>
      <c r="Q24" s="22">
        <f>COUNTIF(总表!H785:H840,"&gt;=88")/COUNTIF(总表!H785:H840,"&gt;=0")</f>
        <v>7.1428571428571425E-2</v>
      </c>
      <c r="R24" s="22">
        <f>COUNTIF(总表!H841:H896,"&gt;=88")/COUNTIF(总表!H841:H896,"&gt;=0")</f>
        <v>5.3571428571428568E-2</v>
      </c>
      <c r="S24" s="22">
        <f>COUNTIF(总表!H897:H953,"&gt;=88")/COUNTIF(总表!H897:H953,"&gt;=0")</f>
        <v>5.2631578947368418E-2</v>
      </c>
      <c r="T24" s="22">
        <f>COUNTIF(总表!H3:H953,"&gt;=88")/COUNTIF(总表!H3:H953,"&gt;=0")</f>
        <v>9.5688748685594113E-2</v>
      </c>
      <c r="U24" s="22">
        <f>COUNTIF(总表!H954:H1005,"&gt;=80")/COUNTIF(总表!H954:H1005,"&gt;=0")</f>
        <v>0.46153846153846156</v>
      </c>
      <c r="V24" s="22">
        <f>COUNTIF(总表!H1006:H1039,"&gt;=80")/COUNTIF(总表!H1006:H1039,"&gt;=0")</f>
        <v>0.17647058823529413</v>
      </c>
      <c r="W24" s="22">
        <f>COUNTIF(总表!H1040:H1073,"&gt;=80")/COUNTIF(总表!H1040:H1073,"&gt;=0")</f>
        <v>0.11764705882352941</v>
      </c>
      <c r="X24" s="22">
        <f>COUNTIF(总表!H954:H1073,"&gt;=80")/COUNTIF(总表!H954:H1073,"&gt;=0")</f>
        <v>0.28333333333333333</v>
      </c>
    </row>
    <row r="25" spans="1:24" s="6" customFormat="1" ht="31.5" customHeight="1">
      <c r="A25" s="101"/>
      <c r="B25" s="5" t="s">
        <v>21</v>
      </c>
      <c r="C25" s="22">
        <f>COUNTIF(总表!H3:H59,"&gt;=66")/COUNTIF(总表!H3:H59,"&gt;=0")</f>
        <v>0.49122807017543857</v>
      </c>
      <c r="D25" s="22">
        <f>COUNTIF(总表!H60:H116,"&gt;=66")/COUNTIF(总表!H60:H116,"&gt;=0")</f>
        <v>0.50877192982456143</v>
      </c>
      <c r="E25" s="22">
        <f>COUNTIF(总表!H117:H173,"&gt;=66")/COUNTIF(总表!H117:H173,"&gt;=0")</f>
        <v>0.54385964912280704</v>
      </c>
      <c r="F25" s="22">
        <f>COUNTIF(总表!H174:H230,"&gt;=66")/COUNTIF(总表!H174:H230,"&gt;=0")</f>
        <v>0.50877192982456143</v>
      </c>
      <c r="G25" s="22">
        <f>COUNTIF(总表!H231:H286,"&gt;=66")/COUNTIF(总表!H231:H286,"&gt;=0")</f>
        <v>0.42857142857142855</v>
      </c>
      <c r="H25" s="22">
        <f>COUNTIF(总表!H287:H343,"&gt;=66")/COUNTIF(总表!H287:H343,"&gt;=0")</f>
        <v>0.54385964912280704</v>
      </c>
      <c r="I25" s="22">
        <f>COUNTIF(总表!H344:H400,"&gt;=66")/COUNTIF(总表!H344:H400,"&gt;=0")</f>
        <v>0.49122807017543857</v>
      </c>
      <c r="J25" s="22">
        <f>COUNTIF(总表!H401:H457,"&gt;=66")/COUNTIF(总表!H401:H457,"&gt;=0")</f>
        <v>0.52631578947368418</v>
      </c>
      <c r="K25" s="22">
        <f>COUNTIF(总表!H458:H507,"&gt;=66")/COUNTIF(总表!H458:H507,"&gt;=0")</f>
        <v>0.98</v>
      </c>
      <c r="L25" s="22">
        <f>COUNTIF(总表!H508:H559,"&gt;=66")/COUNTIF(总表!H508:H559,"&gt;=0")</f>
        <v>0.78846153846153844</v>
      </c>
      <c r="M25" s="22">
        <f>COUNTIF(总表!H560:H616,"&gt;=66")/COUNTIF(总表!H560:H616,"&gt;=0")</f>
        <v>0.61403508771929827</v>
      </c>
      <c r="N25" s="22">
        <f>COUNTIF(总表!H617:H672,"&gt;=66")/COUNTIF(总表!H617:H672,"&gt;=0")</f>
        <v>0.48214285714285715</v>
      </c>
      <c r="O25" s="22">
        <f>COUNTIF(总表!H673:H728,"&gt;=66")/COUNTIF(总表!H673:H728,"&gt;=0")</f>
        <v>0.44642857142857145</v>
      </c>
      <c r="P25" s="22">
        <f>COUNTIF(总表!H729:H784,"&gt;=66")/COUNTIF(总表!H729:H784,"&gt;=0")</f>
        <v>0.5714285714285714</v>
      </c>
      <c r="Q25" s="22">
        <f>COUNTIF(总表!H785:H840,"&gt;=66")/COUNTIF(总表!H785:H840,"&gt;=0")</f>
        <v>0.6428571428571429</v>
      </c>
      <c r="R25" s="22">
        <f>COUNTIF(总表!H841:H896,"&gt;=66")/COUNTIF(总表!H841:H896,"&gt;=0")</f>
        <v>0.5535714285714286</v>
      </c>
      <c r="S25" s="22">
        <f>COUNTIF(总表!H897:H953,"&gt;=66")/COUNTIF(总表!H897:H953,"&gt;=0")</f>
        <v>0.56140350877192979</v>
      </c>
      <c r="T25" s="22">
        <f>COUNTIF(总表!H3:H953,"&gt;=66")/COUNTIF(总表!H3:H953,"&gt;=0")</f>
        <v>0.56572029442691907</v>
      </c>
      <c r="U25" s="22">
        <f>COUNTIF(总表!H954:H1005,"&gt;=60")/COUNTIF(总表!H954:H1005,"&gt;=0")</f>
        <v>1</v>
      </c>
      <c r="V25" s="22">
        <f>COUNTIF(总表!H1006:H1039,"&gt;=60")/COUNTIF(总表!H1006:H1039,"&gt;=0")</f>
        <v>1</v>
      </c>
      <c r="W25" s="22">
        <f>COUNTIF(总表!H1040:H1073,"&gt;=60")/COUNTIF(总表!H1040:H1073,"&gt;=0")</f>
        <v>0.94117647058823528</v>
      </c>
      <c r="X25" s="22">
        <f>COUNTIF(总表!H954:H1073,"&gt;=60")/COUNTIF(总表!H954:H1073,"&gt;=0")</f>
        <v>0.98333333333333328</v>
      </c>
    </row>
    <row r="26" spans="1:24" s="6" customFormat="1" ht="31.5" customHeight="1">
      <c r="A26" s="102"/>
      <c r="B26" s="83" t="s">
        <v>3441</v>
      </c>
      <c r="C26" s="21">
        <f>RANK(C25,$C$25:$S$25)</f>
        <v>13</v>
      </c>
      <c r="D26" s="21">
        <f t="shared" ref="D26:S26" si="7">RANK(D25,$C$25:$S$25)</f>
        <v>11</v>
      </c>
      <c r="E26" s="21">
        <f t="shared" si="7"/>
        <v>8</v>
      </c>
      <c r="F26" s="21">
        <f t="shared" si="7"/>
        <v>11</v>
      </c>
      <c r="G26" s="21">
        <f t="shared" si="7"/>
        <v>17</v>
      </c>
      <c r="H26" s="21">
        <f t="shared" si="7"/>
        <v>8</v>
      </c>
      <c r="I26" s="21">
        <f t="shared" si="7"/>
        <v>13</v>
      </c>
      <c r="J26" s="21">
        <f t="shared" si="7"/>
        <v>10</v>
      </c>
      <c r="K26" s="21">
        <f t="shared" si="7"/>
        <v>1</v>
      </c>
      <c r="L26" s="21">
        <f t="shared" si="7"/>
        <v>2</v>
      </c>
      <c r="M26" s="21">
        <f t="shared" si="7"/>
        <v>4</v>
      </c>
      <c r="N26" s="21">
        <f t="shared" si="7"/>
        <v>15</v>
      </c>
      <c r="O26" s="21">
        <f t="shared" si="7"/>
        <v>16</v>
      </c>
      <c r="P26" s="21">
        <f t="shared" si="7"/>
        <v>5</v>
      </c>
      <c r="Q26" s="21">
        <f t="shared" si="7"/>
        <v>3</v>
      </c>
      <c r="R26" s="21">
        <f t="shared" si="7"/>
        <v>7</v>
      </c>
      <c r="S26" s="21">
        <f t="shared" si="7"/>
        <v>6</v>
      </c>
      <c r="T26" s="22"/>
      <c r="U26" s="21">
        <f>RANK(U25,$U$25:$W$25)</f>
        <v>1</v>
      </c>
      <c r="V26" s="21">
        <f>RANK(V25,$U$25:$W$25)</f>
        <v>1</v>
      </c>
      <c r="W26" s="21">
        <f>RANK(W25,$U$25:$W$25)</f>
        <v>3</v>
      </c>
      <c r="X26" s="22"/>
    </row>
    <row r="27" spans="1:24" s="7" customFormat="1" ht="31.5" customHeight="1">
      <c r="A27" s="100" t="s">
        <v>71</v>
      </c>
      <c r="B27" s="5" t="s">
        <v>26</v>
      </c>
      <c r="C27" s="69" t="s">
        <v>3390</v>
      </c>
      <c r="D27" s="69" t="s">
        <v>3390</v>
      </c>
      <c r="E27" s="69" t="s">
        <v>3390</v>
      </c>
      <c r="F27" s="69" t="s">
        <v>3390</v>
      </c>
      <c r="G27" s="69" t="s">
        <v>3391</v>
      </c>
      <c r="H27" s="69" t="s">
        <v>3391</v>
      </c>
      <c r="I27" s="69" t="s">
        <v>3391</v>
      </c>
      <c r="J27" s="69" t="s">
        <v>3391</v>
      </c>
      <c r="K27" s="69" t="s">
        <v>3392</v>
      </c>
      <c r="L27" s="69" t="s">
        <v>3392</v>
      </c>
      <c r="M27" s="69" t="s">
        <v>3393</v>
      </c>
      <c r="N27" s="69" t="s">
        <v>3394</v>
      </c>
      <c r="O27" s="69" t="s">
        <v>3394</v>
      </c>
      <c r="P27" s="69" t="s">
        <v>3394</v>
      </c>
      <c r="Q27" s="69" t="s">
        <v>3394</v>
      </c>
      <c r="R27" s="69" t="s">
        <v>3395</v>
      </c>
      <c r="S27" s="69" t="s">
        <v>3395</v>
      </c>
      <c r="T27" s="17"/>
      <c r="U27" s="69" t="s">
        <v>3403</v>
      </c>
      <c r="V27" s="69" t="s">
        <v>3404</v>
      </c>
      <c r="W27" s="69" t="s">
        <v>3405</v>
      </c>
      <c r="X27" s="17"/>
    </row>
    <row r="28" spans="1:24" s="6" customFormat="1" ht="31.5" customHeight="1">
      <c r="A28" s="101"/>
      <c r="B28" s="11" t="s">
        <v>19</v>
      </c>
      <c r="C28" s="20">
        <f>AVERAGE(总表!I3:I59)</f>
        <v>80.912280701754383</v>
      </c>
      <c r="D28" s="20">
        <f>AVERAGE(总表!I60:I116)</f>
        <v>80.964912280701753</v>
      </c>
      <c r="E28" s="20">
        <f>AVERAGE(总表!I117:I173)</f>
        <v>82.666666666666671</v>
      </c>
      <c r="F28" s="20">
        <f>AVERAGE(总表!I174:I230)</f>
        <v>82.596491228070178</v>
      </c>
      <c r="G28" s="20">
        <f>AVERAGE(总表!I231:I286)</f>
        <v>76.196428571428569</v>
      </c>
      <c r="H28" s="20">
        <f>AVERAGE(总表!I287:I343)</f>
        <v>73.508771929824562</v>
      </c>
      <c r="I28" s="20">
        <f>AVERAGE(总表!I344:I400)</f>
        <v>78.456140350877192</v>
      </c>
      <c r="J28" s="20">
        <f>AVERAGE(总表!I401:I457)</f>
        <v>78.21052631578948</v>
      </c>
      <c r="K28" s="20">
        <f>AVERAGE(总表!I458:I507)</f>
        <v>94.62</v>
      </c>
      <c r="L28" s="20">
        <f>AVERAGE(总表!I508:I559)</f>
        <v>90.384615384615387</v>
      </c>
      <c r="M28" s="20">
        <f>AVERAGE(总表!I560:I616)</f>
        <v>78.315789473684205</v>
      </c>
      <c r="N28" s="20">
        <f>AVERAGE(总表!I617:I672)</f>
        <v>77.571428571428569</v>
      </c>
      <c r="O28" s="20">
        <f>AVERAGE(总表!I673:I728)</f>
        <v>78.107142857142861</v>
      </c>
      <c r="P28" s="20">
        <f>AVERAGE(总表!I729:I784)</f>
        <v>79</v>
      </c>
      <c r="Q28" s="20">
        <f>AVERAGE(总表!I785:I840)</f>
        <v>81.071428571428569</v>
      </c>
      <c r="R28" s="20">
        <f>AVERAGE(总表!I841:I896)</f>
        <v>79.839285714285708</v>
      </c>
      <c r="S28" s="20">
        <f>AVERAGE(总表!I897:I953)</f>
        <v>78.421052631578945</v>
      </c>
      <c r="T28" s="20">
        <f>AVERAGE(总表!I3:I953)</f>
        <v>80.496319663512097</v>
      </c>
      <c r="U28" s="20">
        <f>AVERAGE(总表!I954:I1005)</f>
        <v>78.019230769230774</v>
      </c>
      <c r="V28" s="20">
        <f>AVERAGE(总表!I1006:I1039)</f>
        <v>69.764705882352942</v>
      </c>
      <c r="W28" s="20">
        <f>AVERAGE(总表!I1040:I1073)</f>
        <v>72</v>
      </c>
      <c r="X28" s="20">
        <f>AVERAGE(总表!I954:I1073)</f>
        <v>73.974999999999994</v>
      </c>
    </row>
    <row r="29" spans="1:24" s="6" customFormat="1" ht="31.5" customHeight="1">
      <c r="A29" s="101"/>
      <c r="B29" s="11" t="s">
        <v>27</v>
      </c>
      <c r="C29" s="21">
        <f t="shared" ref="C29:S29" si="8">RANK(C28,$C$28:$S$28)</f>
        <v>7</v>
      </c>
      <c r="D29" s="21">
        <f t="shared" si="8"/>
        <v>6</v>
      </c>
      <c r="E29" s="21">
        <f t="shared" si="8"/>
        <v>3</v>
      </c>
      <c r="F29" s="21">
        <f t="shared" si="8"/>
        <v>4</v>
      </c>
      <c r="G29" s="21">
        <f t="shared" si="8"/>
        <v>16</v>
      </c>
      <c r="H29" s="21">
        <f t="shared" si="8"/>
        <v>17</v>
      </c>
      <c r="I29" s="21">
        <f t="shared" si="8"/>
        <v>10</v>
      </c>
      <c r="J29" s="21">
        <f t="shared" si="8"/>
        <v>13</v>
      </c>
      <c r="K29" s="21">
        <f t="shared" si="8"/>
        <v>1</v>
      </c>
      <c r="L29" s="21">
        <f t="shared" si="8"/>
        <v>2</v>
      </c>
      <c r="M29" s="21">
        <f t="shared" si="8"/>
        <v>12</v>
      </c>
      <c r="N29" s="21">
        <f t="shared" si="8"/>
        <v>15</v>
      </c>
      <c r="O29" s="21">
        <f t="shared" si="8"/>
        <v>14</v>
      </c>
      <c r="P29" s="21">
        <f t="shared" si="8"/>
        <v>9</v>
      </c>
      <c r="Q29" s="21">
        <f t="shared" si="8"/>
        <v>5</v>
      </c>
      <c r="R29" s="21">
        <f t="shared" si="8"/>
        <v>8</v>
      </c>
      <c r="S29" s="21">
        <f t="shared" si="8"/>
        <v>11</v>
      </c>
      <c r="T29" s="21"/>
      <c r="U29" s="21">
        <f>RANK(U28,$U$28:$W$28)</f>
        <v>1</v>
      </c>
      <c r="V29" s="21">
        <f>RANK(V28,$U$28:$W$28)</f>
        <v>3</v>
      </c>
      <c r="W29" s="21">
        <f>RANK(W28,$U$28:$W$28)</f>
        <v>2</v>
      </c>
      <c r="X29" s="21"/>
    </row>
    <row r="30" spans="1:24" s="6" customFormat="1" ht="31.5" customHeight="1">
      <c r="A30" s="101"/>
      <c r="B30" s="5" t="s">
        <v>20</v>
      </c>
      <c r="C30" s="22">
        <f>COUNTIF(总表!I3:I59,"&gt;=80")/COUNTIF(总表!I3:I59,"&gt;=0")</f>
        <v>0.52631578947368418</v>
      </c>
      <c r="D30" s="22">
        <f>COUNTIF(总表!I60:I116,"&gt;=80")/COUNTIF(总表!I60:I116,"&gt;=0")</f>
        <v>0.59649122807017541</v>
      </c>
      <c r="E30" s="22">
        <f>COUNTIF(总表!I117:I173,"&gt;=80")/COUNTIF(总表!I117:I173,"&gt;=0")</f>
        <v>0.70175438596491224</v>
      </c>
      <c r="F30" s="22">
        <f>COUNTIF(总表!I174:I230,"&gt;=80")/COUNTIF(总表!I174:I230,"&gt;=0")</f>
        <v>0.63157894736842102</v>
      </c>
      <c r="G30" s="22">
        <f>COUNTIF(总表!I231:I286,"&gt;=80")/COUNTIF(总表!I231:I286,"&gt;=0")</f>
        <v>0.32142857142857145</v>
      </c>
      <c r="H30" s="22">
        <f>COUNTIF(总表!I287:I343,"&gt;=80")/COUNTIF(总表!I287:I343,"&gt;=0")</f>
        <v>0.31578947368421051</v>
      </c>
      <c r="I30" s="22">
        <f>COUNTIF(总表!I344:I400,"&gt;=80")/COUNTIF(总表!I344:I400,"&gt;=0")</f>
        <v>0.49122807017543857</v>
      </c>
      <c r="J30" s="22">
        <f>COUNTIF(总表!I401:I457,"&gt;=80")/COUNTIF(总表!I401:I457,"&gt;=0")</f>
        <v>0.49122807017543857</v>
      </c>
      <c r="K30" s="22">
        <f>COUNTIF(总表!I458:I507,"&gt;=80")/COUNTIF(总表!I458:I507,"&gt;=0")</f>
        <v>1</v>
      </c>
      <c r="L30" s="22">
        <f>COUNTIF(总表!I508:I559,"&gt;=80")/COUNTIF(总表!I508:I559,"&gt;=0")</f>
        <v>0.98076923076923073</v>
      </c>
      <c r="M30" s="22">
        <f>COUNTIF(总表!I560:I616,"&gt;=80")/COUNTIF(总表!I560:I616,"&gt;=0")</f>
        <v>0.50877192982456143</v>
      </c>
      <c r="N30" s="22">
        <f>COUNTIF(总表!I617:I672,"&gt;=80")/COUNTIF(总表!I617:I672,"&gt;=0")</f>
        <v>0.5178571428571429</v>
      </c>
      <c r="O30" s="22">
        <f>COUNTIF(总表!I673:I728,"&gt;=80")/COUNTIF(总表!I673:I728,"&gt;=0")</f>
        <v>0.5</v>
      </c>
      <c r="P30" s="22">
        <f>COUNTIF(总表!I729:I784,"&gt;=80")/COUNTIF(总表!I729:I784,"&gt;=0")</f>
        <v>0.5</v>
      </c>
      <c r="Q30" s="22">
        <f>COUNTIF(总表!I785:I840,"&gt;=80")/COUNTIF(总表!I785:I840,"&gt;=0")</f>
        <v>0.6428571428571429</v>
      </c>
      <c r="R30" s="22">
        <f>COUNTIF(总表!I841:I896,"&gt;=80")/COUNTIF(总表!I841:I896,"&gt;=0")</f>
        <v>0.5</v>
      </c>
      <c r="S30" s="22">
        <f>COUNTIF(总表!I897:I953,"&gt;=80")/COUNTIF(总表!I897:I953,"&gt;=0")</f>
        <v>0.47368421052631576</v>
      </c>
      <c r="T30" s="22">
        <f>COUNTIF(总表!I3:I953,"&gt;=80")/COUNTIF(总表!I3:I953,"&gt;=0")</f>
        <v>0.56572029442691907</v>
      </c>
      <c r="U30" s="22">
        <f>COUNTIF(总表!I954:I1005,"&gt;=80")/COUNTIF(总表!I954:I1005,"&gt;=0")</f>
        <v>0.46153846153846156</v>
      </c>
      <c r="V30" s="22">
        <f>COUNTIF(总表!I1006:I1039,"&gt;=80")/COUNTIF(总表!I1006:I1039,"&gt;=0")</f>
        <v>0.11764705882352941</v>
      </c>
      <c r="W30" s="22">
        <f>COUNTIF(总表!I1040:I1073,"&gt;=80")/COUNTIF(总表!I1040:I1073,"&gt;=0")</f>
        <v>0.17647058823529413</v>
      </c>
      <c r="X30" s="22">
        <f>COUNTIF(总表!I954:I1073,"&gt;=80")/COUNTIF(总表!I954:I1073,"&gt;=0")</f>
        <v>0.28333333333333333</v>
      </c>
    </row>
    <row r="31" spans="1:24" s="6" customFormat="1" ht="31.5" customHeight="1">
      <c r="A31" s="101"/>
      <c r="B31" s="5" t="s">
        <v>21</v>
      </c>
      <c r="C31" s="22">
        <f>COUNTIF(总表!I3:I59,"&gt;=60")/COUNTIF(总表!I3:I59,"&gt;=0")</f>
        <v>0.98245614035087714</v>
      </c>
      <c r="D31" s="22">
        <f>COUNTIF(总表!I60:I116,"&gt;=60")/COUNTIF(总表!I60:I116,"&gt;=0")</f>
        <v>1</v>
      </c>
      <c r="E31" s="22">
        <f>COUNTIF(总表!I117:I173,"&gt;=60")/COUNTIF(总表!I117:I173,"&gt;=0")</f>
        <v>1</v>
      </c>
      <c r="F31" s="22">
        <f>COUNTIF(总表!I174:I230,"&gt;=60")/COUNTIF(总表!I174:I230,"&gt;=0")</f>
        <v>0.98245614035087714</v>
      </c>
      <c r="G31" s="22">
        <f>COUNTIF(总表!I231:I286,"&gt;=60")/COUNTIF(总表!I231:I286,"&gt;=0")</f>
        <v>0.9642857142857143</v>
      </c>
      <c r="H31" s="22">
        <f>COUNTIF(总表!I287:I343,"&gt;=60")/COUNTIF(总表!I287:I343,"&gt;=0")</f>
        <v>0.84210526315789469</v>
      </c>
      <c r="I31" s="22">
        <f>COUNTIF(总表!I344:I400,"&gt;=60")/COUNTIF(总表!I344:I400,"&gt;=0")</f>
        <v>0.92982456140350878</v>
      </c>
      <c r="J31" s="22">
        <f>COUNTIF(总表!I401:I457,"&gt;=60")/COUNTIF(总表!I401:I457,"&gt;=0")</f>
        <v>0.96491228070175439</v>
      </c>
      <c r="K31" s="22">
        <f>COUNTIF(总表!I458:I507,"&gt;=60")/COUNTIF(总表!I458:I507,"&gt;=0")</f>
        <v>1</v>
      </c>
      <c r="L31" s="22">
        <f>COUNTIF(总表!I508:I559,"&gt;=60")/COUNTIF(总表!I508:I559,"&gt;=0")</f>
        <v>1</v>
      </c>
      <c r="M31" s="22">
        <f>COUNTIF(总表!I560:I616,"&gt;=60")/COUNTIF(总表!I560:I616,"&gt;=0")</f>
        <v>0.94736842105263153</v>
      </c>
      <c r="N31" s="22">
        <f>COUNTIF(总表!I617:I672,"&gt;=60")/COUNTIF(总表!I617:I672,"&gt;=0")</f>
        <v>0.9107142857142857</v>
      </c>
      <c r="O31" s="22">
        <f>COUNTIF(总表!I673:I728,"&gt;=60")/COUNTIF(总表!I673:I728,"&gt;=0")</f>
        <v>0.9285714285714286</v>
      </c>
      <c r="P31" s="22">
        <f>COUNTIF(总表!I729:I784,"&gt;=60")/COUNTIF(总表!I729:I784,"&gt;=0")</f>
        <v>0.9642857142857143</v>
      </c>
      <c r="Q31" s="22">
        <f>COUNTIF(总表!I785:I840,"&gt;=60")/COUNTIF(总表!I785:I840,"&gt;=0")</f>
        <v>0.9464285714285714</v>
      </c>
      <c r="R31" s="22">
        <f>COUNTIF(总表!I841:I896,"&gt;=60")/COUNTIF(总表!I841:I896,"&gt;=0")</f>
        <v>0.9821428571428571</v>
      </c>
      <c r="S31" s="22">
        <f>COUNTIF(总表!I897:I953,"&gt;=60")/COUNTIF(总表!I897:I953,"&gt;=0")</f>
        <v>0.92982456140350878</v>
      </c>
      <c r="T31" s="22">
        <f>COUNTIF(总表!I3:I953,"&gt;=60")/COUNTIF(总表!I3:I953,"&gt;=0")</f>
        <v>0.95688748685594116</v>
      </c>
      <c r="U31" s="22">
        <f>COUNTIF(总表!I954:I1005,"&gt;=60")/COUNTIF(总表!I954:I1005,"&gt;=0")</f>
        <v>0.98076923076923073</v>
      </c>
      <c r="V31" s="22">
        <f>COUNTIF(总表!I1006:I1039,"&gt;=60")/COUNTIF(总表!I1006:I1039,"&gt;=0")</f>
        <v>0.8529411764705882</v>
      </c>
      <c r="W31" s="22">
        <f>COUNTIF(总表!I1040:I1073,"&gt;=60")/COUNTIF(总表!I1040:I1073,"&gt;=0")</f>
        <v>0.94117647058823528</v>
      </c>
      <c r="X31" s="22">
        <f>COUNTIF(总表!I954:I1073,"&gt;=60")/COUNTIF(总表!I954:I1073,"&gt;=0")</f>
        <v>0.93333333333333335</v>
      </c>
    </row>
    <row r="32" spans="1:24" s="6" customFormat="1" ht="31.5" customHeight="1">
      <c r="A32" s="102"/>
      <c r="B32" s="83" t="s">
        <v>3441</v>
      </c>
      <c r="C32" s="21">
        <f>RANK(C31,$C$31:$S$31)</f>
        <v>5</v>
      </c>
      <c r="D32" s="21">
        <f t="shared" ref="D32:S32" si="9">RANK(D31,$C$31:$S$31)</f>
        <v>1</v>
      </c>
      <c r="E32" s="21">
        <f t="shared" si="9"/>
        <v>1</v>
      </c>
      <c r="F32" s="21">
        <f t="shared" si="9"/>
        <v>5</v>
      </c>
      <c r="G32" s="21">
        <f t="shared" si="9"/>
        <v>9</v>
      </c>
      <c r="H32" s="21">
        <f t="shared" si="9"/>
        <v>17</v>
      </c>
      <c r="I32" s="21">
        <f t="shared" si="9"/>
        <v>13</v>
      </c>
      <c r="J32" s="21">
        <f t="shared" si="9"/>
        <v>8</v>
      </c>
      <c r="K32" s="21">
        <f t="shared" si="9"/>
        <v>1</v>
      </c>
      <c r="L32" s="21">
        <f t="shared" si="9"/>
        <v>1</v>
      </c>
      <c r="M32" s="21">
        <f t="shared" si="9"/>
        <v>11</v>
      </c>
      <c r="N32" s="21">
        <f t="shared" si="9"/>
        <v>16</v>
      </c>
      <c r="O32" s="21">
        <f t="shared" si="9"/>
        <v>15</v>
      </c>
      <c r="P32" s="21">
        <f t="shared" si="9"/>
        <v>9</v>
      </c>
      <c r="Q32" s="21">
        <f t="shared" si="9"/>
        <v>12</v>
      </c>
      <c r="R32" s="21">
        <f t="shared" si="9"/>
        <v>7</v>
      </c>
      <c r="S32" s="21">
        <f t="shared" si="9"/>
        <v>13</v>
      </c>
      <c r="T32" s="22"/>
      <c r="U32" s="21">
        <f>RANK(U31,$U$31:$W$31)</f>
        <v>1</v>
      </c>
      <c r="V32" s="21">
        <f>RANK(V31,$U$31:$W$31)</f>
        <v>3</v>
      </c>
      <c r="W32" s="21">
        <f>RANK(W31,$U$31:$W$31)</f>
        <v>2</v>
      </c>
      <c r="X32" s="22"/>
    </row>
    <row r="33" spans="1:24" s="7" customFormat="1" ht="31.5" customHeight="1">
      <c r="A33" s="103" t="s">
        <v>79</v>
      </c>
      <c r="B33" s="5" t="s">
        <v>26</v>
      </c>
      <c r="C33" s="69" t="s">
        <v>3396</v>
      </c>
      <c r="D33" s="69" t="s">
        <v>3396</v>
      </c>
      <c r="E33" s="69" t="s">
        <v>3396</v>
      </c>
      <c r="F33" s="69" t="s">
        <v>3396</v>
      </c>
      <c r="G33" s="69" t="s">
        <v>3397</v>
      </c>
      <c r="H33" s="69" t="s">
        <v>3397</v>
      </c>
      <c r="I33" s="69" t="s">
        <v>3397</v>
      </c>
      <c r="J33" s="69" t="s">
        <v>3397</v>
      </c>
      <c r="K33" s="69" t="s">
        <v>3398</v>
      </c>
      <c r="L33" s="69" t="s">
        <v>3398</v>
      </c>
      <c r="M33" s="69" t="s">
        <v>3399</v>
      </c>
      <c r="N33" s="69" t="s">
        <v>3399</v>
      </c>
      <c r="O33" s="69" t="s">
        <v>3399</v>
      </c>
      <c r="P33" s="69" t="s">
        <v>3399</v>
      </c>
      <c r="Q33" s="69" t="s">
        <v>3400</v>
      </c>
      <c r="R33" s="69" t="s">
        <v>3400</v>
      </c>
      <c r="S33" s="69" t="s">
        <v>3400</v>
      </c>
      <c r="T33" s="19"/>
      <c r="U33" s="69" t="s">
        <v>3401</v>
      </c>
      <c r="V33" s="69" t="s">
        <v>3401</v>
      </c>
      <c r="W33" s="69" t="s">
        <v>3402</v>
      </c>
      <c r="X33" s="19"/>
    </row>
    <row r="34" spans="1:24" s="6" customFormat="1" ht="31.5" customHeight="1">
      <c r="A34" s="104"/>
      <c r="B34" s="11" t="s">
        <v>19</v>
      </c>
      <c r="C34" s="20">
        <f>AVERAGE(总表!J3:J59)</f>
        <v>68.280701754385959</v>
      </c>
      <c r="D34" s="20">
        <f>AVERAGE(总表!J60:J116)</f>
        <v>69.421052631578945</v>
      </c>
      <c r="E34" s="20">
        <f>AVERAGE(总表!J117:J173)</f>
        <v>69.78947368421052</v>
      </c>
      <c r="F34" s="20">
        <f>AVERAGE(总表!J174:J230)</f>
        <v>71.263157894736835</v>
      </c>
      <c r="G34" s="20">
        <f>AVERAGE(总表!J231:J286)</f>
        <v>62.285714285714285</v>
      </c>
      <c r="H34" s="20">
        <f>AVERAGE(总表!J287:J343)</f>
        <v>63.175438596491226</v>
      </c>
      <c r="I34" s="20">
        <f>AVERAGE(总表!J344:J400)</f>
        <v>65.614035087719301</v>
      </c>
      <c r="J34" s="20">
        <f>AVERAGE(总表!J401:J457)</f>
        <v>67.385964912280699</v>
      </c>
      <c r="K34" s="20">
        <f>AVERAGE(总表!J458:J507)</f>
        <v>76.22</v>
      </c>
      <c r="L34" s="20">
        <f>AVERAGE(总表!J508:J559)</f>
        <v>70.40384615384616</v>
      </c>
      <c r="M34" s="20">
        <f>AVERAGE(总表!J560:J616)</f>
        <v>67.824561403508767</v>
      </c>
      <c r="N34" s="20">
        <f>AVERAGE(总表!J617:J672)</f>
        <v>65.482142857142861</v>
      </c>
      <c r="O34" s="20">
        <f>AVERAGE(总表!J673:J728)</f>
        <v>63.178571428571431</v>
      </c>
      <c r="P34" s="20">
        <f>AVERAGE(总表!J729:J784)</f>
        <v>66.982142857142861</v>
      </c>
      <c r="Q34" s="20">
        <f>AVERAGE(总表!J785:J840)</f>
        <v>65.089285714285708</v>
      </c>
      <c r="R34" s="20">
        <f>AVERAGE(总表!J841:J896)</f>
        <v>61.214285714285715</v>
      </c>
      <c r="S34" s="20">
        <f>AVERAGE(总表!J897:J953)</f>
        <v>62.333333333333336</v>
      </c>
      <c r="T34" s="20">
        <f>AVERAGE(总表!J3:J953)</f>
        <v>66.749737118822296</v>
      </c>
      <c r="U34" s="20">
        <f>AVERAGE(总表!J954:J1005)</f>
        <v>59.134615384615387</v>
      </c>
      <c r="V34" s="20">
        <f>AVERAGE(总表!J1006:J1039)</f>
        <v>50.323529411764703</v>
      </c>
      <c r="W34" s="20">
        <f>AVERAGE(总表!J1040:J1073)</f>
        <v>49.205882352941174</v>
      </c>
      <c r="X34" s="20">
        <f>AVERAGE(总表!J954:J1073)</f>
        <v>53.825000000000003</v>
      </c>
    </row>
    <row r="35" spans="1:24" s="6" customFormat="1" ht="31.5" customHeight="1">
      <c r="A35" s="104"/>
      <c r="B35" s="11" t="s">
        <v>27</v>
      </c>
      <c r="C35" s="21">
        <f t="shared" ref="C35:S35" si="10">RANK(C34,$C$34:$S$34)</f>
        <v>6</v>
      </c>
      <c r="D35" s="21">
        <f t="shared" si="10"/>
        <v>5</v>
      </c>
      <c r="E35" s="21">
        <f t="shared" si="10"/>
        <v>4</v>
      </c>
      <c r="F35" s="21">
        <f t="shared" si="10"/>
        <v>2</v>
      </c>
      <c r="G35" s="21">
        <f t="shared" si="10"/>
        <v>16</v>
      </c>
      <c r="H35" s="21">
        <f t="shared" si="10"/>
        <v>14</v>
      </c>
      <c r="I35" s="21">
        <f t="shared" si="10"/>
        <v>10</v>
      </c>
      <c r="J35" s="21">
        <f t="shared" si="10"/>
        <v>8</v>
      </c>
      <c r="K35" s="21">
        <f t="shared" si="10"/>
        <v>1</v>
      </c>
      <c r="L35" s="21">
        <f t="shared" si="10"/>
        <v>3</v>
      </c>
      <c r="M35" s="21">
        <f t="shared" si="10"/>
        <v>7</v>
      </c>
      <c r="N35" s="21">
        <f t="shared" si="10"/>
        <v>11</v>
      </c>
      <c r="O35" s="21">
        <f t="shared" si="10"/>
        <v>13</v>
      </c>
      <c r="P35" s="21">
        <f t="shared" si="10"/>
        <v>9</v>
      </c>
      <c r="Q35" s="21">
        <f t="shared" si="10"/>
        <v>12</v>
      </c>
      <c r="R35" s="21">
        <f t="shared" si="10"/>
        <v>17</v>
      </c>
      <c r="S35" s="21">
        <f t="shared" si="10"/>
        <v>15</v>
      </c>
      <c r="T35" s="21"/>
      <c r="U35" s="21">
        <f>RANK(U34,$U$34:$W$34)</f>
        <v>1</v>
      </c>
      <c r="V35" s="21">
        <f>RANK(V34,$U$34:$W$34)</f>
        <v>2</v>
      </c>
      <c r="W35" s="21">
        <f>RANK(W34,$U$34:$W$34)</f>
        <v>3</v>
      </c>
      <c r="X35" s="21"/>
    </row>
    <row r="36" spans="1:24" s="6" customFormat="1" ht="31.5" customHeight="1">
      <c r="A36" s="104"/>
      <c r="B36" s="5" t="s">
        <v>20</v>
      </c>
      <c r="C36" s="22">
        <f>COUNTIF(总表!J3:J59,"&gt;=72")/COUNTIF(总表!J3:J59,"&gt;=0")</f>
        <v>0.42105263157894735</v>
      </c>
      <c r="D36" s="22">
        <f>COUNTIF(总表!J60:J116,"&gt;=72")/COUNTIF(总表!J60:J116,"&gt;=0")</f>
        <v>0.42105263157894735</v>
      </c>
      <c r="E36" s="22">
        <f>COUNTIF(总表!J117:J173,"&gt;=72")/COUNTIF(总表!J117:J173,"&gt;=0")</f>
        <v>0.45614035087719296</v>
      </c>
      <c r="F36" s="22">
        <f>COUNTIF(总表!J174:J230,"&gt;=72")/COUNTIF(总表!J174:J230,"&gt;=0")</f>
        <v>0.61403508771929827</v>
      </c>
      <c r="G36" s="22">
        <f>COUNTIF(总表!J231:J286,"&gt;=72")/COUNTIF(总表!J231:J286,"&gt;=0")</f>
        <v>0.19642857142857142</v>
      </c>
      <c r="H36" s="22">
        <f>COUNTIF(总表!J287:J343,"&gt;=72")/COUNTIF(总表!J287:J343,"&gt;=0")</f>
        <v>0.26315789473684209</v>
      </c>
      <c r="I36" s="22">
        <f>COUNTIF(总表!J344:J400,"&gt;=72")/COUNTIF(总表!J344:J400,"&gt;=0")</f>
        <v>0.2982456140350877</v>
      </c>
      <c r="J36" s="22">
        <f>COUNTIF(总表!J401:J457,"&gt;=72")/COUNTIF(总表!J401:J457,"&gt;=0")</f>
        <v>0.2807017543859649</v>
      </c>
      <c r="K36" s="22">
        <f>COUNTIF(总表!J458:J507,"&gt;=72")/COUNTIF(总表!J458:J507,"&gt;=0")</f>
        <v>0.78</v>
      </c>
      <c r="L36" s="22">
        <f>COUNTIF(总表!J508:J559,"&gt;=72")/COUNTIF(总表!J508:J559,"&gt;=0")</f>
        <v>0.46153846153846156</v>
      </c>
      <c r="M36" s="22">
        <f>COUNTIF(总表!J560:J616,"&gt;=72")/COUNTIF(总表!J560:J616,"&gt;=0")</f>
        <v>0.36842105263157893</v>
      </c>
      <c r="N36" s="22">
        <f>COUNTIF(总表!J617:J672,"&gt;=72")/COUNTIF(总表!J617:J672,"&gt;=0")</f>
        <v>0.32142857142857145</v>
      </c>
      <c r="O36" s="22">
        <f>COUNTIF(总表!J673:J728,"&gt;=72")/COUNTIF(总表!J673:J728,"&gt;=0")</f>
        <v>0.25</v>
      </c>
      <c r="P36" s="22">
        <f>COUNTIF(总表!J729:J784,"&gt;=72")/COUNTIF(总表!J729:J784,"&gt;=0")</f>
        <v>0.25</v>
      </c>
      <c r="Q36" s="22">
        <f>COUNTIF(总表!J785:J840,"&gt;=72")/COUNTIF(总表!J785:J840,"&gt;=0")</f>
        <v>0.2857142857142857</v>
      </c>
      <c r="R36" s="22">
        <f>COUNTIF(总表!J841:J896,"&gt;=72")/COUNTIF(总表!J841:J896,"&gt;=0")</f>
        <v>0.21428571428571427</v>
      </c>
      <c r="S36" s="22">
        <f>COUNTIF(总表!J897:J953,"&gt;=72")/COUNTIF(总表!J897:J953,"&gt;=0")</f>
        <v>0.26315789473684209</v>
      </c>
      <c r="T36" s="22">
        <f>COUNTIF(总表!J3:J953,"&gt;=72")/COUNTIF(总表!J3:J953,"&gt;=0")</f>
        <v>0.35856992639327023</v>
      </c>
      <c r="U36" s="22">
        <f>COUNTIF(总表!J954:J1005,"&gt;=80")/COUNTIF(总表!J954:J1005,"&gt;=0")</f>
        <v>0</v>
      </c>
      <c r="V36" s="22">
        <f>COUNTIF(总表!J1006:J1039,"&gt;=80")/COUNTIF(总表!J1006:J1039,"&gt;=0")</f>
        <v>0</v>
      </c>
      <c r="W36" s="22">
        <f>COUNTIF(总表!J1040:J1073,"&gt;=80")/COUNTIF(总表!J1040:J1073,"&gt;=0")</f>
        <v>0</v>
      </c>
      <c r="X36" s="22">
        <f>COUNTIF(总表!J954:J1073,"&gt;=80")/COUNTIF(总表!J954:J1073,"&gt;=0")</f>
        <v>0</v>
      </c>
    </row>
    <row r="37" spans="1:24" s="6" customFormat="1" ht="31.5" customHeight="1">
      <c r="A37" s="104"/>
      <c r="B37" s="5" t="s">
        <v>21</v>
      </c>
      <c r="C37" s="22">
        <f>COUNTIF(总表!J3:J59,"&gt;=54")/COUNTIF(总表!J3:J59,"&gt;=0")</f>
        <v>0.92982456140350878</v>
      </c>
      <c r="D37" s="22">
        <f>COUNTIF(总表!J60:J116,"&gt;=54")/COUNTIF(总表!J60:J116,"&gt;=0")</f>
        <v>0.92982456140350878</v>
      </c>
      <c r="E37" s="22">
        <f>COUNTIF(总表!J117:J173,"&gt;=54")/COUNTIF(总表!J117:J173,"&gt;=0")</f>
        <v>0.94736842105263153</v>
      </c>
      <c r="F37" s="22">
        <f>COUNTIF(总表!J174:J230,"&gt;=54")/COUNTIF(总表!J174:J230,"&gt;=0")</f>
        <v>0.94736842105263153</v>
      </c>
      <c r="G37" s="22">
        <f>COUNTIF(总表!J231:J286,"&gt;=54")/COUNTIF(总表!J231:J286,"&gt;=0")</f>
        <v>0.7321428571428571</v>
      </c>
      <c r="H37" s="22">
        <f>COUNTIF(总表!J287:J343,"&gt;=54")/COUNTIF(总表!J287:J343,"&gt;=0")</f>
        <v>0.78947368421052633</v>
      </c>
      <c r="I37" s="22">
        <f>COUNTIF(总表!J344:J400,"&gt;=54")/COUNTIF(总表!J344:J400,"&gt;=0")</f>
        <v>0.85964912280701755</v>
      </c>
      <c r="J37" s="22">
        <f>COUNTIF(总表!J401:J457,"&gt;=54")/COUNTIF(总表!J401:J457,"&gt;=0")</f>
        <v>0.89473684210526316</v>
      </c>
      <c r="K37" s="22">
        <f>COUNTIF(总表!J458:J507,"&gt;=54")/COUNTIF(总表!J458:J507,"&gt;=0")</f>
        <v>1</v>
      </c>
      <c r="L37" s="22">
        <f>COUNTIF(总表!J508:J559,"&gt;=54")/COUNTIF(总表!J508:J559,"&gt;=0")</f>
        <v>0.98076923076923073</v>
      </c>
      <c r="M37" s="22">
        <f>COUNTIF(总表!J560:J616,"&gt;=54")/COUNTIF(总表!J560:J616,"&gt;=0")</f>
        <v>0.94736842105263153</v>
      </c>
      <c r="N37" s="22">
        <f>COUNTIF(总表!J617:J672,"&gt;=54")/COUNTIF(总表!J617:J672,"&gt;=0")</f>
        <v>0.8214285714285714</v>
      </c>
      <c r="O37" s="22">
        <f>COUNTIF(总表!J673:J728,"&gt;=54")/COUNTIF(总表!J673:J728,"&gt;=0")</f>
        <v>0.8035714285714286</v>
      </c>
      <c r="P37" s="22">
        <f>COUNTIF(总表!J729:J784,"&gt;=54")/COUNTIF(总表!J729:J784,"&gt;=0")</f>
        <v>0.9107142857142857</v>
      </c>
      <c r="Q37" s="22">
        <f>COUNTIF(总表!J785:J840,"&gt;=54")/COUNTIF(总表!J785:J840,"&gt;=0")</f>
        <v>0.875</v>
      </c>
      <c r="R37" s="22">
        <f>COUNTIF(总表!J841:J896,"&gt;=54")/COUNTIF(总表!J841:J896,"&gt;=0")</f>
        <v>0.7142857142857143</v>
      </c>
      <c r="S37" s="22">
        <f>COUNTIF(总表!J897:J953,"&gt;=54")/COUNTIF(总表!J897:J953,"&gt;=0")</f>
        <v>0.78947368421052633</v>
      </c>
      <c r="T37" s="22">
        <f>COUNTIF(总表!J3:J953,"&gt;=54")/COUNTIF(总表!J3:J953,"&gt;=0")</f>
        <v>0.87381703470031546</v>
      </c>
      <c r="U37" s="22">
        <f>COUNTIF(总表!J954:J1005,"&gt;=60")/COUNTIF(总表!J954:J1005,"&gt;=0")</f>
        <v>0.38461538461538464</v>
      </c>
      <c r="V37" s="22">
        <f>COUNTIF(总表!J1006:J1039,"&gt;=60")/COUNTIF(总表!J1006:J1039,"&gt;=0")</f>
        <v>0.14705882352941177</v>
      </c>
      <c r="W37" s="22">
        <f>COUNTIF(总表!J1040:J1073,"&gt;=60")/COUNTIF(总表!J1040:J1073,"&gt;=0")</f>
        <v>8.8235294117647065E-2</v>
      </c>
      <c r="X37" s="22">
        <f>COUNTIF(总表!J954:J1073,"&gt;=60")/COUNTIF(总表!J954:J1073,"&gt;=0")</f>
        <v>0.23333333333333334</v>
      </c>
    </row>
    <row r="38" spans="1:24" s="6" customFormat="1" ht="31.5" customHeight="1">
      <c r="A38" s="105"/>
      <c r="B38" s="83" t="s">
        <v>3441</v>
      </c>
      <c r="C38" s="21">
        <f>RANK(C37,$C$37:$S$37)</f>
        <v>6</v>
      </c>
      <c r="D38" s="21">
        <f t="shared" ref="D38:S38" si="11">RANK(D37,$C$37:$S$37)</f>
        <v>6</v>
      </c>
      <c r="E38" s="21">
        <f t="shared" si="11"/>
        <v>3</v>
      </c>
      <c r="F38" s="21">
        <f t="shared" si="11"/>
        <v>3</v>
      </c>
      <c r="G38" s="21">
        <f t="shared" si="11"/>
        <v>16</v>
      </c>
      <c r="H38" s="21">
        <f t="shared" si="11"/>
        <v>14</v>
      </c>
      <c r="I38" s="21">
        <f t="shared" si="11"/>
        <v>11</v>
      </c>
      <c r="J38" s="21">
        <f t="shared" si="11"/>
        <v>9</v>
      </c>
      <c r="K38" s="21">
        <f t="shared" si="11"/>
        <v>1</v>
      </c>
      <c r="L38" s="21">
        <f t="shared" si="11"/>
        <v>2</v>
      </c>
      <c r="M38" s="21">
        <f t="shared" si="11"/>
        <v>3</v>
      </c>
      <c r="N38" s="21">
        <f t="shared" si="11"/>
        <v>12</v>
      </c>
      <c r="O38" s="21">
        <f t="shared" si="11"/>
        <v>13</v>
      </c>
      <c r="P38" s="21">
        <f t="shared" si="11"/>
        <v>8</v>
      </c>
      <c r="Q38" s="21">
        <f t="shared" si="11"/>
        <v>10</v>
      </c>
      <c r="R38" s="21">
        <f t="shared" si="11"/>
        <v>17</v>
      </c>
      <c r="S38" s="21">
        <f t="shared" si="11"/>
        <v>14</v>
      </c>
      <c r="T38" s="22"/>
      <c r="U38" s="21">
        <f>RANK(U37,$U$37:$W$37)</f>
        <v>1</v>
      </c>
      <c r="V38" s="21">
        <f>RANK(V37,$U$37:$W$37)</f>
        <v>2</v>
      </c>
      <c r="W38" s="21">
        <f>RANK(W37,$U$37:$W$37)</f>
        <v>3</v>
      </c>
      <c r="X38" s="22"/>
    </row>
    <row r="39" spans="1:24" s="3" customFormat="1" ht="31.5" customHeight="1">
      <c r="A39" s="109" t="s">
        <v>11</v>
      </c>
      <c r="B39" s="109"/>
      <c r="C39" s="20">
        <f>AVERAGE(总表!K3:K59)</f>
        <v>513.12280701754389</v>
      </c>
      <c r="D39" s="20">
        <f>AVERAGE(总表!K60:K116)</f>
        <v>520.98245614035091</v>
      </c>
      <c r="E39" s="20">
        <f>AVERAGE(总表!K117:K173)</f>
        <v>534.14035087719299</v>
      </c>
      <c r="F39" s="20">
        <f>AVERAGE(总表!K174:K230)</f>
        <v>526</v>
      </c>
      <c r="G39" s="20">
        <f>AVERAGE(总表!K231:K286)</f>
        <v>505.75892857142856</v>
      </c>
      <c r="H39" s="20">
        <f>AVERAGE(总表!K287:K343)</f>
        <v>504.80701754385967</v>
      </c>
      <c r="I39" s="20">
        <f>AVERAGE(总表!K344:K400)</f>
        <v>514.12280701754389</v>
      </c>
      <c r="J39" s="20">
        <f>AVERAGE(总表!K401:K457)</f>
        <v>514.68421052631584</v>
      </c>
      <c r="K39" s="20">
        <f>AVERAGE(总表!K458:K507)</f>
        <v>618.77</v>
      </c>
      <c r="L39" s="20">
        <f>AVERAGE(总表!K508:K559)</f>
        <v>570.51923076923072</v>
      </c>
      <c r="M39" s="20">
        <f>AVERAGE(总表!K560:K616)</f>
        <v>520.87719298245611</v>
      </c>
      <c r="N39" s="20">
        <f>AVERAGE(总表!K617:K672)</f>
        <v>518.375</v>
      </c>
      <c r="O39" s="20">
        <f>AVERAGE(总表!K673:K728)</f>
        <v>506.00892857142856</v>
      </c>
      <c r="P39" s="20">
        <f>AVERAGE(总表!K729:K784)</f>
        <v>522.35714285714289</v>
      </c>
      <c r="Q39" s="20">
        <f>AVERAGE(总表!K785:K840)</f>
        <v>524.0625</v>
      </c>
      <c r="R39" s="20">
        <f>AVERAGE(总表!K841:K896)</f>
        <v>511.72321428571428</v>
      </c>
      <c r="S39" s="20">
        <f>AVERAGE(总表!K897:K953)</f>
        <v>508.9736842105263</v>
      </c>
      <c r="T39" s="20">
        <f>AVERAGE(总表!K3:K953)</f>
        <v>524.75184016824392</v>
      </c>
      <c r="U39" s="20">
        <f>AVERAGE(总表!K954:K1005)</f>
        <v>543.25961538461536</v>
      </c>
      <c r="V39" s="20">
        <f>AVERAGE(总表!K1006:K1039)</f>
        <v>472.30882352941177</v>
      </c>
      <c r="W39" s="20">
        <f>AVERAGE(总表!K1040:K1073)</f>
        <v>479.36764705882354</v>
      </c>
      <c r="X39" s="20">
        <f>AVERAGE(总表!K954:K1073)</f>
        <v>505.05416666666667</v>
      </c>
    </row>
    <row r="40" spans="1:24" s="3" customFormat="1" ht="31.5" customHeight="1">
      <c r="A40" s="108" t="s">
        <v>12</v>
      </c>
      <c r="B40" s="108"/>
      <c r="C40" s="17">
        <f t="shared" ref="C40:S40" si="12">RANK(C39,$C$39:$S$39)</f>
        <v>12</v>
      </c>
      <c r="D40" s="17">
        <f t="shared" si="12"/>
        <v>7</v>
      </c>
      <c r="E40" s="17">
        <f t="shared" si="12"/>
        <v>3</v>
      </c>
      <c r="F40" s="17">
        <f t="shared" si="12"/>
        <v>4</v>
      </c>
      <c r="G40" s="17">
        <f t="shared" si="12"/>
        <v>16</v>
      </c>
      <c r="H40" s="17">
        <f t="shared" si="12"/>
        <v>17</v>
      </c>
      <c r="I40" s="17">
        <f t="shared" si="12"/>
        <v>11</v>
      </c>
      <c r="J40" s="17">
        <f t="shared" si="12"/>
        <v>10</v>
      </c>
      <c r="K40" s="17">
        <f t="shared" si="12"/>
        <v>1</v>
      </c>
      <c r="L40" s="17">
        <f t="shared" si="12"/>
        <v>2</v>
      </c>
      <c r="M40" s="17">
        <f t="shared" si="12"/>
        <v>8</v>
      </c>
      <c r="N40" s="17">
        <f t="shared" si="12"/>
        <v>9</v>
      </c>
      <c r="O40" s="17">
        <f t="shared" si="12"/>
        <v>15</v>
      </c>
      <c r="P40" s="17">
        <f t="shared" si="12"/>
        <v>6</v>
      </c>
      <c r="Q40" s="17">
        <f t="shared" si="12"/>
        <v>5</v>
      </c>
      <c r="R40" s="17">
        <f t="shared" si="12"/>
        <v>13</v>
      </c>
      <c r="S40" s="17">
        <f t="shared" si="12"/>
        <v>14</v>
      </c>
      <c r="T40" s="17"/>
      <c r="U40" s="17">
        <f>RANK(U39,$U$39:$W$39)</f>
        <v>1</v>
      </c>
      <c r="V40" s="17">
        <f>RANK(V39,$U$39:$W$39)</f>
        <v>3</v>
      </c>
      <c r="W40" s="17">
        <f>RANK(W39,$U$39:$W$39)</f>
        <v>2</v>
      </c>
      <c r="X40" s="17"/>
    </row>
  </sheetData>
  <mergeCells count="9">
    <mergeCell ref="A40:B40"/>
    <mergeCell ref="A39:B39"/>
    <mergeCell ref="A3:A8"/>
    <mergeCell ref="A9:A14"/>
    <mergeCell ref="A15:A20"/>
    <mergeCell ref="A21:A26"/>
    <mergeCell ref="A27:A32"/>
    <mergeCell ref="A33:A38"/>
    <mergeCell ref="A1:X1"/>
  </mergeCells>
  <phoneticPr fontId="2" type="noConversion"/>
  <printOptions horizontalCentered="1"/>
  <pageMargins left="0.19685039370078741" right="0.19685039370078741" top="0.19685039370078741" bottom="0.19685039370078741" header="0" footer="0"/>
  <pageSetup paperSize="9" scale="4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4" sqref="J24"/>
    </sheetView>
  </sheetViews>
  <sheetFormatPr defaultRowHeight="14.25"/>
  <cols>
    <col min="1" max="1" width="5.25" style="35" customWidth="1"/>
    <col min="2" max="4" width="5.5" style="35" customWidth="1"/>
    <col min="5" max="6" width="7" style="35" customWidth="1"/>
    <col min="7" max="7" width="4.375" style="82" customWidth="1"/>
    <col min="8" max="19" width="7" style="35" customWidth="1"/>
    <col min="20" max="20" width="3.75" style="35" customWidth="1"/>
    <col min="21" max="28" width="6.25" style="35" customWidth="1"/>
    <col min="29" max="16384" width="9" style="35"/>
  </cols>
  <sheetData>
    <row r="1" spans="1:23" ht="21" customHeight="1">
      <c r="A1" s="117" t="s">
        <v>3333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9"/>
      <c r="S1" s="119"/>
    </row>
    <row r="2" spans="1:23" ht="15" customHeight="1">
      <c r="A2" s="115" t="s">
        <v>52</v>
      </c>
      <c r="B2" s="116"/>
      <c r="C2" s="116"/>
      <c r="D2" s="116"/>
      <c r="E2" s="120" t="s">
        <v>53</v>
      </c>
      <c r="F2" s="121"/>
      <c r="G2" s="110" t="s">
        <v>3439</v>
      </c>
      <c r="H2" s="120" t="s">
        <v>22</v>
      </c>
      <c r="I2" s="121"/>
      <c r="J2" s="120" t="s">
        <v>23</v>
      </c>
      <c r="K2" s="121"/>
      <c r="L2" s="120" t="s">
        <v>24</v>
      </c>
      <c r="M2" s="121"/>
      <c r="N2" s="120" t="s">
        <v>32</v>
      </c>
      <c r="O2" s="121"/>
      <c r="P2" s="120" t="s">
        <v>25</v>
      </c>
      <c r="Q2" s="121"/>
      <c r="R2" s="122" t="s">
        <v>29</v>
      </c>
      <c r="S2" s="122"/>
    </row>
    <row r="3" spans="1:23" ht="28.5">
      <c r="A3" s="37" t="s">
        <v>13</v>
      </c>
      <c r="B3" s="37" t="s">
        <v>54</v>
      </c>
      <c r="C3" s="38" t="s">
        <v>55</v>
      </c>
      <c r="D3" s="38" t="s">
        <v>56</v>
      </c>
      <c r="E3" s="73" t="s">
        <v>3411</v>
      </c>
      <c r="F3" s="73" t="s">
        <v>3412</v>
      </c>
      <c r="G3" s="111"/>
      <c r="H3" s="73" t="s">
        <v>3413</v>
      </c>
      <c r="I3" s="73" t="s">
        <v>3414</v>
      </c>
      <c r="J3" s="73" t="s">
        <v>3415</v>
      </c>
      <c r="K3" s="73" t="s">
        <v>3416</v>
      </c>
      <c r="L3" s="73" t="s">
        <v>3417</v>
      </c>
      <c r="M3" s="73" t="s">
        <v>3418</v>
      </c>
      <c r="N3" s="73" t="s">
        <v>3419</v>
      </c>
      <c r="O3" s="73" t="s">
        <v>3420</v>
      </c>
      <c r="P3" s="73" t="s">
        <v>3421</v>
      </c>
      <c r="Q3" s="73" t="s">
        <v>3422</v>
      </c>
      <c r="R3" s="73" t="s">
        <v>3423</v>
      </c>
      <c r="S3" s="73" t="s">
        <v>3424</v>
      </c>
    </row>
    <row r="4" spans="1:23" ht="14.25" customHeight="1">
      <c r="A4" s="37">
        <v>1801</v>
      </c>
      <c r="B4" s="39">
        <v>57</v>
      </c>
      <c r="C4" s="77">
        <v>36</v>
      </c>
      <c r="D4" s="77">
        <v>57</v>
      </c>
      <c r="E4" s="40">
        <f>COUNTIF(总表!K3:K59,"&gt;="&amp;V25)</f>
        <v>37</v>
      </c>
      <c r="F4" s="40">
        <f>COUNTIF(总表!K3:K59,"&gt;="&amp;V26)</f>
        <v>57</v>
      </c>
      <c r="G4" s="79">
        <f>E4-C4</f>
        <v>1</v>
      </c>
      <c r="H4" s="40">
        <f>COUNTIF(总表!E3:E59,"&gt;="&amp;W25)</f>
        <v>29</v>
      </c>
      <c r="I4" s="40">
        <f>COUNTIF(总表!E3:E59,"&gt;="&amp;W26)</f>
        <v>57</v>
      </c>
      <c r="J4" s="40">
        <f>COUNTIF(总表!F3:F59,"&gt;="&amp;X25)</f>
        <v>36</v>
      </c>
      <c r="K4" s="40">
        <f>COUNTIF(总表!F3:F59,"&gt;="&amp;X26)</f>
        <v>57</v>
      </c>
      <c r="L4" s="40">
        <f>COUNTIF(总表!G3:G59,"&gt;="&amp;Y25)</f>
        <v>30</v>
      </c>
      <c r="M4" s="40">
        <f>COUNTIF(总表!G3:G59,"&gt;="&amp;Y26)</f>
        <v>57</v>
      </c>
      <c r="N4" s="40">
        <f>COUNTIF(总表!H3:H59,"&gt;="&amp;Z25)</f>
        <v>38</v>
      </c>
      <c r="O4" s="40">
        <f>COUNTIF(总表!H3:H59,"&gt;="&amp;Z26)</f>
        <v>57</v>
      </c>
      <c r="P4" s="40">
        <f>COUNTIF(总表!I3:I59,"&gt;="&amp;AA25)</f>
        <v>42</v>
      </c>
      <c r="Q4" s="40">
        <f>COUNTIF(总表!I3:I59,"&gt;="&amp;AA26)</f>
        <v>57</v>
      </c>
      <c r="R4" s="40">
        <f>COUNTIF(总表!J3:J59,"&gt;="&amp;AB25)</f>
        <v>41</v>
      </c>
      <c r="S4" s="40">
        <f>COUNTIF(总表!J3:J59,"&gt;="&amp;AB26)</f>
        <v>57</v>
      </c>
    </row>
    <row r="5" spans="1:23" ht="14.25" customHeight="1">
      <c r="A5" s="37">
        <v>1802</v>
      </c>
      <c r="B5" s="39">
        <v>57</v>
      </c>
      <c r="C5" s="77">
        <v>37</v>
      </c>
      <c r="D5" s="77">
        <v>57</v>
      </c>
      <c r="E5" s="40">
        <f>COUNTIF(总表!K60:K116,"&gt;="&amp;V25)</f>
        <v>38</v>
      </c>
      <c r="F5" s="40">
        <f>COUNTIF(总表!K60:K116,"&gt;="&amp;V26)</f>
        <v>57</v>
      </c>
      <c r="G5" s="79">
        <f t="shared" ref="G5:G21" si="0">E5-C5</f>
        <v>1</v>
      </c>
      <c r="H5" s="40">
        <f>COUNTIF(总表!E60:E116,"&gt;="&amp;W25)</f>
        <v>42</v>
      </c>
      <c r="I5" s="40">
        <f>COUNTIF(总表!E60:E116,"&gt;="&amp;W26)</f>
        <v>57</v>
      </c>
      <c r="J5" s="40">
        <f>COUNTIF(总表!F60:F116,"&gt;="&amp;X25)</f>
        <v>35</v>
      </c>
      <c r="K5" s="40">
        <f>COUNTIF(总表!F60:F116,"&gt;="&amp;X26)</f>
        <v>57</v>
      </c>
      <c r="L5" s="40">
        <f>COUNTIF(总表!G60:G116,"&gt;="&amp;Y25)</f>
        <v>34</v>
      </c>
      <c r="M5" s="40">
        <f>COUNTIF(总表!G60:G116,"&gt;="&amp;Y26)</f>
        <v>57</v>
      </c>
      <c r="N5" s="40">
        <f>COUNTIF(总表!H60:H116,"&gt;="&amp;Z25)</f>
        <v>33</v>
      </c>
      <c r="O5" s="40">
        <f>COUNTIF(总表!H60:H116,"&gt;="&amp;Z26)</f>
        <v>57</v>
      </c>
      <c r="P5" s="40">
        <f>COUNTIF(总表!I60:I116,"&gt;="&amp;AA25)</f>
        <v>40</v>
      </c>
      <c r="Q5" s="40">
        <f>COUNTIF(总表!I60:I116,"&gt;="&amp;AA26)</f>
        <v>57</v>
      </c>
      <c r="R5" s="40">
        <f>COUNTIF(总表!J60:J116,"&gt;="&amp;AB25)</f>
        <v>41</v>
      </c>
      <c r="S5" s="40">
        <f>COUNTIF(总表!J60:J116,"&gt;="&amp;AB26)</f>
        <v>57</v>
      </c>
    </row>
    <row r="6" spans="1:23" ht="14.25" customHeight="1">
      <c r="A6" s="37">
        <v>1803</v>
      </c>
      <c r="B6" s="39">
        <v>57</v>
      </c>
      <c r="C6" s="77">
        <v>38</v>
      </c>
      <c r="D6" s="77">
        <v>57</v>
      </c>
      <c r="E6" s="40">
        <f>COUNTIF(总表!K117:K173,"&gt;="&amp;V25)</f>
        <v>41</v>
      </c>
      <c r="F6" s="40">
        <f>COUNTIF(总表!K117:K173,"&gt;="&amp;V26)</f>
        <v>57</v>
      </c>
      <c r="G6" s="79">
        <f t="shared" si="0"/>
        <v>3</v>
      </c>
      <c r="H6" s="40">
        <f>COUNTIF(总表!E117:E173,"&gt;="&amp;W25)</f>
        <v>43</v>
      </c>
      <c r="I6" s="40">
        <f>COUNTIF(总表!E117:E173,"&gt;="&amp;W26)</f>
        <v>57</v>
      </c>
      <c r="J6" s="40">
        <f>COUNTIF(总表!F117:F173,"&gt;="&amp;X25)</f>
        <v>42</v>
      </c>
      <c r="K6" s="40">
        <f>COUNTIF(总表!F117:F173,"&gt;="&amp;X26)</f>
        <v>57</v>
      </c>
      <c r="L6" s="40">
        <f>COUNTIF(总表!G117:G173,"&gt;="&amp;Y25)</f>
        <v>38</v>
      </c>
      <c r="M6" s="40">
        <f>COUNTIF(总表!G117:G173,"&gt;="&amp;Y26)</f>
        <v>57</v>
      </c>
      <c r="N6" s="40">
        <f>COUNTIF(总表!H117:H173,"&gt;="&amp;Z25)</f>
        <v>36</v>
      </c>
      <c r="O6" s="40">
        <f>COUNTIF(总表!H117:H173,"&gt;="&amp;Z26)</f>
        <v>57</v>
      </c>
      <c r="P6" s="40">
        <f>COUNTIF(总表!I117:I173,"&gt;="&amp;AA25)</f>
        <v>45</v>
      </c>
      <c r="Q6" s="40">
        <f>COUNTIF(总表!I117:I173,"&gt;="&amp;AA26)</f>
        <v>57</v>
      </c>
      <c r="R6" s="40">
        <f>COUNTIF(总表!J117:J173,"&gt;="&amp;AB25)</f>
        <v>46</v>
      </c>
      <c r="S6" s="40">
        <f>COUNTIF(总表!J117:J173,"&gt;="&amp;AB26)</f>
        <v>57</v>
      </c>
    </row>
    <row r="7" spans="1:23" ht="14.25" customHeight="1">
      <c r="A7" s="37">
        <v>1804</v>
      </c>
      <c r="B7" s="39">
        <v>57</v>
      </c>
      <c r="C7" s="77">
        <v>38</v>
      </c>
      <c r="D7" s="77">
        <v>57</v>
      </c>
      <c r="E7" s="40">
        <f>COUNTIF(总表!K174:K230,"&gt;="&amp;V25)</f>
        <v>43</v>
      </c>
      <c r="F7" s="40">
        <f>COUNTIF(总表!K174:K230,"&gt;="&amp;V26)</f>
        <v>57</v>
      </c>
      <c r="G7" s="79">
        <f t="shared" si="0"/>
        <v>5</v>
      </c>
      <c r="H7" s="40">
        <f>COUNTIF(总表!E174:E230,"&gt;="&amp;W25)</f>
        <v>31</v>
      </c>
      <c r="I7" s="40">
        <f>COUNTIF(总表!E174:E230,"&gt;="&amp;W26)</f>
        <v>57</v>
      </c>
      <c r="J7" s="40">
        <f>COUNTIF(总表!F174:F230,"&gt;="&amp;X25)</f>
        <v>44</v>
      </c>
      <c r="K7" s="40">
        <f>COUNTIF(总表!F174:F230,"&gt;="&amp;X26)</f>
        <v>57</v>
      </c>
      <c r="L7" s="40">
        <f>COUNTIF(总表!G174:G230,"&gt;="&amp;Y25)</f>
        <v>37</v>
      </c>
      <c r="M7" s="40">
        <f>COUNTIF(总表!G174:G230,"&gt;="&amp;Y26)</f>
        <v>57</v>
      </c>
      <c r="N7" s="40">
        <f>COUNTIF(总表!H174:H230,"&gt;="&amp;Z25)</f>
        <v>36</v>
      </c>
      <c r="O7" s="40">
        <f>COUNTIF(总表!H174:H230,"&gt;="&amp;Z26)</f>
        <v>57</v>
      </c>
      <c r="P7" s="40">
        <f>COUNTIF(总表!I174:I230,"&gt;="&amp;AA25)</f>
        <v>43</v>
      </c>
      <c r="Q7" s="40">
        <f>COUNTIF(总表!I174:I230,"&gt;="&amp;AA26)</f>
        <v>57</v>
      </c>
      <c r="R7" s="40">
        <f>COUNTIF(总表!J174:J230,"&gt;="&amp;AB25)</f>
        <v>48</v>
      </c>
      <c r="S7" s="40">
        <f>COUNTIF(总表!J174:J230,"&gt;="&amp;AB26)</f>
        <v>57</v>
      </c>
    </row>
    <row r="8" spans="1:23" ht="14.25" customHeight="1">
      <c r="A8" s="37">
        <v>1805</v>
      </c>
      <c r="B8" s="39">
        <v>56</v>
      </c>
      <c r="C8" s="77">
        <v>33</v>
      </c>
      <c r="D8" s="77">
        <v>56</v>
      </c>
      <c r="E8" s="40">
        <f>COUNTIF(总表!K231:K286,"&gt;="&amp;V25)</f>
        <v>28</v>
      </c>
      <c r="F8" s="40">
        <f>COUNTIF(总表!K231:K286,"&gt;="&amp;V26)</f>
        <v>56</v>
      </c>
      <c r="G8" s="79">
        <f t="shared" si="0"/>
        <v>-5</v>
      </c>
      <c r="H8" s="40">
        <f>COUNTIF(总表!E231:E286,"&gt;="&amp;W25)</f>
        <v>40</v>
      </c>
      <c r="I8" s="40">
        <f>COUNTIF(总表!E231:E286,"&gt;="&amp;W26)</f>
        <v>56</v>
      </c>
      <c r="J8" s="40">
        <f>COUNTIF(总表!F231:F286,"&gt;="&amp;X25)</f>
        <v>32</v>
      </c>
      <c r="K8" s="40">
        <f>COUNTIF(总表!F231:F286,"&gt;="&amp;X26)</f>
        <v>56</v>
      </c>
      <c r="L8" s="40">
        <f>COUNTIF(总表!G231:G286,"&gt;="&amp;Y25)</f>
        <v>34</v>
      </c>
      <c r="M8" s="40">
        <f>COUNTIF(总表!G231:G286,"&gt;="&amp;Y26)</f>
        <v>56</v>
      </c>
      <c r="N8" s="40">
        <f>COUNTIF(总表!H231:H286,"&gt;="&amp;Z25)</f>
        <v>33</v>
      </c>
      <c r="O8" s="40">
        <f>COUNTIF(总表!H231:H286,"&gt;="&amp;Z26)</f>
        <v>56</v>
      </c>
      <c r="P8" s="40">
        <f>COUNTIF(总表!I231:I286,"&gt;="&amp;AA25)</f>
        <v>29</v>
      </c>
      <c r="Q8" s="40">
        <f>COUNTIF(总表!I231:I286,"&gt;="&amp;AA26)</f>
        <v>56</v>
      </c>
      <c r="R8" s="40">
        <f>COUNTIF(总表!J231:J286,"&gt;="&amp;AB25)</f>
        <v>29</v>
      </c>
      <c r="S8" s="40">
        <f>COUNTIF(总表!J231:J286,"&gt;="&amp;AB26)</f>
        <v>56</v>
      </c>
    </row>
    <row r="9" spans="1:23" ht="14.25" customHeight="1">
      <c r="A9" s="37">
        <v>1806</v>
      </c>
      <c r="B9" s="39">
        <v>57</v>
      </c>
      <c r="C9" s="77">
        <v>34</v>
      </c>
      <c r="D9" s="77">
        <v>57</v>
      </c>
      <c r="E9" s="40">
        <f>COUNTIF(总表!K287:K343,"&gt;="&amp;V25)</f>
        <v>29</v>
      </c>
      <c r="F9" s="40">
        <f>COUNTIF(总表!K287:K343,"&gt;="&amp;V26)</f>
        <v>57</v>
      </c>
      <c r="G9" s="79">
        <f t="shared" si="0"/>
        <v>-5</v>
      </c>
      <c r="H9" s="40">
        <f>COUNTIF(总表!E287:E343,"&gt;="&amp;W25)</f>
        <v>49</v>
      </c>
      <c r="I9" s="40">
        <f>COUNTIF(总表!E287:E343,"&gt;="&amp;W26)</f>
        <v>57</v>
      </c>
      <c r="J9" s="40">
        <f>COUNTIF(总表!F287:F343,"&gt;="&amp;X25)</f>
        <v>35</v>
      </c>
      <c r="K9" s="40">
        <f>COUNTIF(总表!F287:F343,"&gt;="&amp;X26)</f>
        <v>57</v>
      </c>
      <c r="L9" s="40">
        <f>COUNTIF(总表!G287:G343,"&gt;="&amp;Y25)</f>
        <v>31</v>
      </c>
      <c r="M9" s="40">
        <f>COUNTIF(总表!G287:G343,"&gt;="&amp;Y26)</f>
        <v>57</v>
      </c>
      <c r="N9" s="40">
        <f>COUNTIF(总表!H287:H343,"&gt;="&amp;Z25)</f>
        <v>34</v>
      </c>
      <c r="O9" s="40">
        <f>COUNTIF(总表!H287:H343,"&gt;="&amp;Z26)</f>
        <v>57</v>
      </c>
      <c r="P9" s="40">
        <f>COUNTIF(总表!I287:I343,"&gt;="&amp;AA25)</f>
        <v>24</v>
      </c>
      <c r="Q9" s="40">
        <f>COUNTIF(总表!I287:I343,"&gt;="&amp;AA26)</f>
        <v>57</v>
      </c>
      <c r="R9" s="40">
        <f>COUNTIF(总表!J287:J343,"&gt;="&amp;AB25)</f>
        <v>32</v>
      </c>
      <c r="S9" s="40">
        <f>COUNTIF(总表!J287:J343,"&gt;="&amp;AB26)</f>
        <v>57</v>
      </c>
      <c r="W9" s="78" t="s">
        <v>3440</v>
      </c>
    </row>
    <row r="10" spans="1:23" ht="14.25" customHeight="1">
      <c r="A10" s="37">
        <v>1807</v>
      </c>
      <c r="B10" s="39">
        <v>57</v>
      </c>
      <c r="C10" s="77">
        <v>33</v>
      </c>
      <c r="D10" s="77">
        <v>57</v>
      </c>
      <c r="E10" s="40">
        <f>COUNTIF(总表!K344:K400,"&gt;="&amp;V25)</f>
        <v>29</v>
      </c>
      <c r="F10" s="40">
        <f>COUNTIF(总表!K344:K400,"&gt;="&amp;V26)</f>
        <v>57</v>
      </c>
      <c r="G10" s="79">
        <f t="shared" si="0"/>
        <v>-4</v>
      </c>
      <c r="H10" s="40">
        <f>COUNTIF(总表!E344:E400,"&gt;="&amp;W25)</f>
        <v>34</v>
      </c>
      <c r="I10" s="40">
        <f>COUNTIF(总表!E344:E400,"&gt;="&amp;W26)</f>
        <v>57</v>
      </c>
      <c r="J10" s="40">
        <f>COUNTIF(总表!F344:F400,"&gt;="&amp;X25)</f>
        <v>40</v>
      </c>
      <c r="K10" s="40">
        <f>COUNTIF(总表!F344:F400,"&gt;="&amp;X26)</f>
        <v>57</v>
      </c>
      <c r="L10" s="40">
        <f>COUNTIF(总表!G344:G400,"&gt;="&amp;Y25)</f>
        <v>31</v>
      </c>
      <c r="M10" s="40">
        <f>COUNTIF(总表!G344:G400,"&gt;="&amp;Y26)</f>
        <v>57</v>
      </c>
      <c r="N10" s="40">
        <f>COUNTIF(总表!H344:H400,"&gt;="&amp;Z25)</f>
        <v>39</v>
      </c>
      <c r="O10" s="40">
        <f>COUNTIF(总表!H344:H400,"&gt;="&amp;Z26)</f>
        <v>57</v>
      </c>
      <c r="P10" s="40">
        <f>COUNTIF(总表!I344:I400,"&gt;="&amp;AA25)</f>
        <v>36</v>
      </c>
      <c r="Q10" s="40">
        <f>COUNTIF(总表!I344:I400,"&gt;="&amp;AA26)</f>
        <v>57</v>
      </c>
      <c r="R10" s="40">
        <f>COUNTIF(总表!J344:J400,"&gt;="&amp;AB25)</f>
        <v>36</v>
      </c>
      <c r="S10" s="40">
        <f>COUNTIF(总表!J344:J400,"&gt;="&amp;AB26)</f>
        <v>57</v>
      </c>
    </row>
    <row r="11" spans="1:23" ht="14.25" customHeight="1">
      <c r="A11" s="37">
        <v>1808</v>
      </c>
      <c r="B11" s="39">
        <v>57</v>
      </c>
      <c r="C11" s="77">
        <v>34</v>
      </c>
      <c r="D11" s="77">
        <v>57</v>
      </c>
      <c r="E11" s="40">
        <f>COUNTIF(总表!K401:K457,"&gt;="&amp;V25)</f>
        <v>38</v>
      </c>
      <c r="F11" s="40">
        <f>COUNTIF(总表!K401:K457,"&gt;="&amp;V26)</f>
        <v>57</v>
      </c>
      <c r="G11" s="79">
        <f t="shared" si="0"/>
        <v>4</v>
      </c>
      <c r="H11" s="40">
        <f>COUNTIF(总表!E401:E457,"&gt;="&amp;W25)</f>
        <v>38</v>
      </c>
      <c r="I11" s="40">
        <f>COUNTIF(总表!E401:E457,"&gt;="&amp;W26)</f>
        <v>57</v>
      </c>
      <c r="J11" s="40">
        <f>COUNTIF(总表!F401:F457,"&gt;="&amp;X25)</f>
        <v>37</v>
      </c>
      <c r="K11" s="40">
        <f>COUNTIF(总表!F401:F457,"&gt;="&amp;X26)</f>
        <v>57</v>
      </c>
      <c r="L11" s="40">
        <f>COUNTIF(总表!G401:G457,"&gt;="&amp;Y25)</f>
        <v>35</v>
      </c>
      <c r="M11" s="40">
        <f>COUNTIF(总表!G401:G457,"&gt;="&amp;Y26)</f>
        <v>57</v>
      </c>
      <c r="N11" s="40">
        <f>COUNTIF(总表!H401:H457,"&gt;="&amp;Z25)</f>
        <v>33</v>
      </c>
      <c r="O11" s="40">
        <f>COUNTIF(总表!H401:H457,"&gt;="&amp;Z26)</f>
        <v>57</v>
      </c>
      <c r="P11" s="40">
        <f>COUNTIF(总表!I401:I457,"&gt;="&amp;AA25)</f>
        <v>33</v>
      </c>
      <c r="Q11" s="40">
        <f>COUNTIF(总表!I401:I457,"&gt;="&amp;AA26)</f>
        <v>57</v>
      </c>
      <c r="R11" s="40">
        <f>COUNTIF(总表!J401:J457,"&gt;="&amp;AB25)</f>
        <v>43</v>
      </c>
      <c r="S11" s="40">
        <f>COUNTIF(总表!J401:J457,"&gt;="&amp;AB26)</f>
        <v>57</v>
      </c>
    </row>
    <row r="12" spans="1:23" ht="14.25" customHeight="1">
      <c r="A12" s="37">
        <v>1809</v>
      </c>
      <c r="B12" s="39">
        <v>50</v>
      </c>
      <c r="C12" s="77">
        <v>50</v>
      </c>
      <c r="D12" s="77">
        <v>50</v>
      </c>
      <c r="E12" s="40">
        <f>COUNTIF(总表!K458:K507,"&gt;="&amp;V25)</f>
        <v>50</v>
      </c>
      <c r="F12" s="40">
        <f>COUNTIF(总表!K458:K507,"&gt;="&amp;V26)</f>
        <v>50</v>
      </c>
      <c r="G12" s="79">
        <f t="shared" si="0"/>
        <v>0</v>
      </c>
      <c r="H12" s="40">
        <f>COUNTIF(总表!E458:E507,"&gt;="&amp;W25)</f>
        <v>44</v>
      </c>
      <c r="I12" s="40">
        <f>COUNTIF(总表!E458:E507,"&gt;="&amp;W26)</f>
        <v>50</v>
      </c>
      <c r="J12" s="40">
        <f>COUNTIF(总表!F458:F507,"&gt;="&amp;X25)</f>
        <v>50</v>
      </c>
      <c r="K12" s="40">
        <f>COUNTIF(总表!F458:F507,"&gt;="&amp;X26)</f>
        <v>50</v>
      </c>
      <c r="L12" s="40">
        <f>COUNTIF(总表!G458:G507,"&gt;="&amp;Y25)</f>
        <v>50</v>
      </c>
      <c r="M12" s="40">
        <f>COUNTIF(总表!G458:G507,"&gt;="&amp;Y26)</f>
        <v>50</v>
      </c>
      <c r="N12" s="40">
        <f>COUNTIF(总表!H458:H507,"&gt;="&amp;Z25)</f>
        <v>49</v>
      </c>
      <c r="O12" s="40">
        <f>COUNTIF(总表!H458:H507,"&gt;="&amp;Z26)</f>
        <v>50</v>
      </c>
      <c r="P12" s="40">
        <f>COUNTIF(总表!I458:I507,"&gt;="&amp;AA25)</f>
        <v>50</v>
      </c>
      <c r="Q12" s="40">
        <f>COUNTIF(总表!I458:I507,"&gt;="&amp;AA26)</f>
        <v>50</v>
      </c>
      <c r="R12" s="40">
        <f>COUNTIF(总表!J458:J507,"&gt;="&amp;AB25)</f>
        <v>48</v>
      </c>
      <c r="S12" s="40">
        <f>COUNTIF(总表!J458:J507,"&gt;="&amp;AB26)</f>
        <v>50</v>
      </c>
    </row>
    <row r="13" spans="1:23" ht="14.25" customHeight="1">
      <c r="A13" s="37">
        <v>1810</v>
      </c>
      <c r="B13" s="39">
        <v>52</v>
      </c>
      <c r="C13" s="77">
        <v>52</v>
      </c>
      <c r="D13" s="77">
        <v>52</v>
      </c>
      <c r="E13" s="40">
        <f>COUNTIF(总表!K508:K559,"&gt;="&amp;V25)</f>
        <v>50</v>
      </c>
      <c r="F13" s="40">
        <f>COUNTIF(总表!K508:K559,"&gt;="&amp;V26)</f>
        <v>52</v>
      </c>
      <c r="G13" s="79">
        <f t="shared" si="0"/>
        <v>-2</v>
      </c>
      <c r="H13" s="40">
        <f>COUNTIF(总表!E508:E559,"&gt;="&amp;W25)</f>
        <v>45</v>
      </c>
      <c r="I13" s="40">
        <f>COUNTIF(总表!E508:E559,"&gt;="&amp;W26)</f>
        <v>52</v>
      </c>
      <c r="J13" s="40">
        <f>COUNTIF(总表!F508:F559,"&gt;="&amp;X25)</f>
        <v>48</v>
      </c>
      <c r="K13" s="40">
        <f>COUNTIF(总表!F508:F559,"&gt;="&amp;X26)</f>
        <v>52</v>
      </c>
      <c r="L13" s="40">
        <f>COUNTIF(总表!G508:G559,"&gt;="&amp;Y25)</f>
        <v>48</v>
      </c>
      <c r="M13" s="40">
        <f>COUNTIF(总表!G508:G559,"&gt;="&amp;Y26)</f>
        <v>52</v>
      </c>
      <c r="N13" s="40">
        <f>COUNTIF(总表!H508:H559,"&gt;="&amp;Z25)</f>
        <v>47</v>
      </c>
      <c r="O13" s="40">
        <f>COUNTIF(总表!H508:H559,"&gt;="&amp;Z26)</f>
        <v>52</v>
      </c>
      <c r="P13" s="40">
        <f>COUNTIF(总表!I508:I559,"&gt;="&amp;AA25)</f>
        <v>52</v>
      </c>
      <c r="Q13" s="40">
        <f>COUNTIF(总表!I508:I559,"&gt;="&amp;AA26)</f>
        <v>52</v>
      </c>
      <c r="R13" s="40">
        <f>COUNTIF(总表!J508:J559,"&gt;="&amp;AB25)</f>
        <v>46</v>
      </c>
      <c r="S13" s="40">
        <f>COUNTIF(总表!J508:J559,"&gt;="&amp;AB26)</f>
        <v>52</v>
      </c>
    </row>
    <row r="14" spans="1:23" ht="14.25" customHeight="1">
      <c r="A14" s="37">
        <v>1811</v>
      </c>
      <c r="B14" s="39">
        <v>57</v>
      </c>
      <c r="C14" s="77">
        <v>35</v>
      </c>
      <c r="D14" s="77">
        <v>57</v>
      </c>
      <c r="E14" s="40">
        <f>COUNTIF(总表!K560:K616,"&gt;="&amp;V25)</f>
        <v>38</v>
      </c>
      <c r="F14" s="40">
        <f>COUNTIF(总表!K560:K616,"&gt;="&amp;V26)</f>
        <v>57</v>
      </c>
      <c r="G14" s="79">
        <f t="shared" si="0"/>
        <v>3</v>
      </c>
      <c r="H14" s="40">
        <f>COUNTIF(总表!E560:E616,"&gt;="&amp;W25)</f>
        <v>39</v>
      </c>
      <c r="I14" s="40">
        <f>COUNTIF(总表!E560:E616,"&gt;="&amp;W26)</f>
        <v>57</v>
      </c>
      <c r="J14" s="40">
        <f>COUNTIF(总表!F560:F616,"&gt;="&amp;X25)</f>
        <v>36</v>
      </c>
      <c r="K14" s="40">
        <f>COUNTIF(总表!F560:F616,"&gt;="&amp;X26)</f>
        <v>57</v>
      </c>
      <c r="L14" s="40">
        <f>COUNTIF(总表!G560:G616,"&gt;="&amp;Y25)</f>
        <v>39</v>
      </c>
      <c r="M14" s="40">
        <f>COUNTIF(总表!G560:G616,"&gt;="&amp;Y26)</f>
        <v>57</v>
      </c>
      <c r="N14" s="40">
        <f>COUNTIF(总表!H560:H616,"&gt;="&amp;Z25)</f>
        <v>39</v>
      </c>
      <c r="O14" s="40">
        <f>COUNTIF(总表!H560:H616,"&gt;="&amp;Z26)</f>
        <v>57</v>
      </c>
      <c r="P14" s="40">
        <f>COUNTIF(总表!I560:I616,"&gt;="&amp;AA25)</f>
        <v>34</v>
      </c>
      <c r="Q14" s="40">
        <f>COUNTIF(总表!I560:I616,"&gt;="&amp;AA26)</f>
        <v>57</v>
      </c>
      <c r="R14" s="40">
        <f>COUNTIF(总表!J560:J616,"&gt;="&amp;AB25)</f>
        <v>40</v>
      </c>
      <c r="S14" s="40">
        <f>COUNTIF(总表!J560:J616,"&gt;="&amp;AB26)</f>
        <v>57</v>
      </c>
    </row>
    <row r="15" spans="1:23" ht="14.25" customHeight="1">
      <c r="A15" s="37">
        <v>1812</v>
      </c>
      <c r="B15" s="39">
        <v>56</v>
      </c>
      <c r="C15" s="77">
        <v>36</v>
      </c>
      <c r="D15" s="77">
        <v>56</v>
      </c>
      <c r="E15" s="40">
        <f>COUNTIF(总表!K617:K672,"&gt;="&amp;V25)</f>
        <v>37</v>
      </c>
      <c r="F15" s="40">
        <f>COUNTIF(总表!K617:K672,"&gt;="&amp;V26)</f>
        <v>56</v>
      </c>
      <c r="G15" s="79">
        <f t="shared" si="0"/>
        <v>1</v>
      </c>
      <c r="H15" s="40">
        <f>COUNTIF(总表!E617:E672,"&gt;="&amp;W25)</f>
        <v>40</v>
      </c>
      <c r="I15" s="40">
        <f>COUNTIF(总表!E617:E672,"&gt;="&amp;W26)</f>
        <v>56</v>
      </c>
      <c r="J15" s="40">
        <f>COUNTIF(总表!F617:F672,"&gt;="&amp;X25)</f>
        <v>35</v>
      </c>
      <c r="K15" s="40">
        <f>COUNTIF(总表!F617:F672,"&gt;="&amp;X26)</f>
        <v>56</v>
      </c>
      <c r="L15" s="40">
        <f>COUNTIF(总表!G617:G672,"&gt;="&amp;Y25)</f>
        <v>37</v>
      </c>
      <c r="M15" s="40">
        <f>COUNTIF(总表!G617:G672,"&gt;="&amp;Y26)</f>
        <v>56</v>
      </c>
      <c r="N15" s="40">
        <f>COUNTIF(总表!H617:H672,"&gt;="&amp;Z25)</f>
        <v>36</v>
      </c>
      <c r="O15" s="40">
        <f>COUNTIF(总表!H617:H672,"&gt;="&amp;Z26)</f>
        <v>56</v>
      </c>
      <c r="P15" s="40">
        <f>COUNTIF(总表!I617:I672,"&gt;="&amp;AA25)</f>
        <v>34</v>
      </c>
      <c r="Q15" s="40">
        <f>COUNTIF(总表!I617:I672,"&gt;="&amp;AA26)</f>
        <v>56</v>
      </c>
      <c r="R15" s="40">
        <f>COUNTIF(总表!J617:J672,"&gt;="&amp;AB25)</f>
        <v>37</v>
      </c>
      <c r="S15" s="40">
        <f>COUNTIF(总表!J617:J672,"&gt;="&amp;AB26)</f>
        <v>56</v>
      </c>
    </row>
    <row r="16" spans="1:23" ht="14.25" customHeight="1">
      <c r="A16" s="37">
        <v>1813</v>
      </c>
      <c r="B16" s="39">
        <v>56</v>
      </c>
      <c r="C16" s="77">
        <v>34</v>
      </c>
      <c r="D16" s="77">
        <v>56</v>
      </c>
      <c r="E16" s="40">
        <f>COUNTIF(总表!K673:K728,"&gt;="&amp;V25)</f>
        <v>33</v>
      </c>
      <c r="F16" s="40">
        <f>COUNTIF(总表!K673:K728,"&gt;="&amp;V26)</f>
        <v>56</v>
      </c>
      <c r="G16" s="79">
        <f t="shared" si="0"/>
        <v>-1</v>
      </c>
      <c r="H16" s="40">
        <f>COUNTIF(总表!E673:E728,"&gt;="&amp;W25)</f>
        <v>32</v>
      </c>
      <c r="I16" s="40">
        <f>COUNTIF(总表!E673:E728,"&gt;="&amp;W26)</f>
        <v>56</v>
      </c>
      <c r="J16" s="40">
        <f>COUNTIF(总表!F673:F728,"&gt;="&amp;X25)</f>
        <v>31</v>
      </c>
      <c r="K16" s="40">
        <f>COUNTIF(总表!F673:F728,"&gt;="&amp;X26)</f>
        <v>56</v>
      </c>
      <c r="L16" s="40">
        <f>COUNTIF(总表!G673:G728,"&gt;="&amp;Y25)</f>
        <v>36</v>
      </c>
      <c r="M16" s="40">
        <f>COUNTIF(总表!G673:G728,"&gt;="&amp;Y26)</f>
        <v>56</v>
      </c>
      <c r="N16" s="40">
        <f>COUNTIF(总表!H673:H728,"&gt;="&amp;Z25)</f>
        <v>33</v>
      </c>
      <c r="O16" s="40">
        <f>COUNTIF(总表!H673:H728,"&gt;="&amp;Z26)</f>
        <v>56</v>
      </c>
      <c r="P16" s="40">
        <f>COUNTIF(总表!I673:I728,"&gt;="&amp;AA25)</f>
        <v>34</v>
      </c>
      <c r="Q16" s="40">
        <f>COUNTIF(总表!I673:I728,"&gt;="&amp;AA26)</f>
        <v>56</v>
      </c>
      <c r="R16" s="40">
        <f>COUNTIF(总表!J673:J728,"&gt;="&amp;AB25)</f>
        <v>32</v>
      </c>
      <c r="S16" s="40">
        <f>COUNTIF(总表!J673:J728,"&gt;="&amp;AB26)</f>
        <v>56</v>
      </c>
    </row>
    <row r="17" spans="1:28" ht="14.25" customHeight="1">
      <c r="A17" s="37">
        <v>1814</v>
      </c>
      <c r="B17" s="39">
        <v>56</v>
      </c>
      <c r="C17" s="77">
        <v>34</v>
      </c>
      <c r="D17" s="77">
        <v>56</v>
      </c>
      <c r="E17" s="40">
        <f>COUNTIF(总表!K729:K784,"&gt;="&amp;V25)</f>
        <v>37</v>
      </c>
      <c r="F17" s="40">
        <f>COUNTIF(总表!K729:K784,"&gt;="&amp;V26)</f>
        <v>56</v>
      </c>
      <c r="G17" s="79">
        <f t="shared" si="0"/>
        <v>3</v>
      </c>
      <c r="H17" s="40">
        <f>COUNTIF(总表!E729:E784,"&gt;="&amp;W25)</f>
        <v>35</v>
      </c>
      <c r="I17" s="40">
        <f>COUNTIF(总表!E729:E784,"&gt;="&amp;W26)</f>
        <v>56</v>
      </c>
      <c r="J17" s="40">
        <f>COUNTIF(总表!F729:F784,"&gt;="&amp;X25)</f>
        <v>38</v>
      </c>
      <c r="K17" s="40">
        <f>COUNTIF(总表!F729:F784,"&gt;="&amp;X26)</f>
        <v>56</v>
      </c>
      <c r="L17" s="40">
        <f>COUNTIF(总表!G729:G784,"&gt;="&amp;Y25)</f>
        <v>41</v>
      </c>
      <c r="M17" s="40">
        <f>COUNTIF(总表!G729:G784,"&gt;="&amp;Y26)</f>
        <v>56</v>
      </c>
      <c r="N17" s="40">
        <f>COUNTIF(总表!H729:H784,"&gt;="&amp;Z25)</f>
        <v>40</v>
      </c>
      <c r="O17" s="40">
        <f>COUNTIF(总表!H729:H784,"&gt;="&amp;Z26)</f>
        <v>56</v>
      </c>
      <c r="P17" s="40">
        <f>COUNTIF(总表!I729:I784,"&gt;="&amp;AA25)</f>
        <v>36</v>
      </c>
      <c r="Q17" s="40">
        <f>COUNTIF(总表!I729:I784,"&gt;="&amp;AA26)</f>
        <v>56</v>
      </c>
      <c r="R17" s="40">
        <f>COUNTIF(总表!J729:J784,"&gt;="&amp;AB25)</f>
        <v>41</v>
      </c>
      <c r="S17" s="40">
        <f>COUNTIF(总表!J729:J784,"&gt;="&amp;AB26)</f>
        <v>56</v>
      </c>
    </row>
    <row r="18" spans="1:28" ht="14.25" customHeight="1">
      <c r="A18" s="37">
        <v>1815</v>
      </c>
      <c r="B18" s="39">
        <v>56</v>
      </c>
      <c r="C18" s="77">
        <v>35</v>
      </c>
      <c r="D18" s="77">
        <v>56</v>
      </c>
      <c r="E18" s="40">
        <f>COUNTIF(总表!K785:K840,"&gt;="&amp;V25)</f>
        <v>39</v>
      </c>
      <c r="F18" s="40">
        <f>COUNTIF(总表!K785:K840,"&gt;="&amp;V26)</f>
        <v>56</v>
      </c>
      <c r="G18" s="79">
        <f t="shared" si="0"/>
        <v>4</v>
      </c>
      <c r="H18" s="40">
        <f>COUNTIF(总表!E785:E840,"&gt;="&amp;W25)</f>
        <v>42</v>
      </c>
      <c r="I18" s="40">
        <f>COUNTIF(总表!E785:E840,"&gt;="&amp;W26)</f>
        <v>56</v>
      </c>
      <c r="J18" s="40">
        <f>COUNTIF(总表!F785:F840,"&gt;="&amp;X25)</f>
        <v>41</v>
      </c>
      <c r="K18" s="40">
        <f>COUNTIF(总表!F785:F840,"&gt;="&amp;X26)</f>
        <v>56</v>
      </c>
      <c r="L18" s="40">
        <f>COUNTIF(总表!G785:G840,"&gt;="&amp;Y25)</f>
        <v>36</v>
      </c>
      <c r="M18" s="40">
        <f>COUNTIF(总表!G785:G840,"&gt;="&amp;Y26)</f>
        <v>56</v>
      </c>
      <c r="N18" s="40">
        <f>COUNTIF(总表!H785:H840,"&gt;="&amp;Z25)</f>
        <v>44</v>
      </c>
      <c r="O18" s="40">
        <f>COUNTIF(总表!H785:H840,"&gt;="&amp;Z26)</f>
        <v>56</v>
      </c>
      <c r="P18" s="40">
        <f>COUNTIF(总表!I785:I840,"&gt;="&amp;AA25)</f>
        <v>38</v>
      </c>
      <c r="Q18" s="40">
        <f>COUNTIF(总表!I785:I840,"&gt;="&amp;AA26)</f>
        <v>56</v>
      </c>
      <c r="R18" s="40">
        <f>COUNTIF(总表!J785:J840,"&gt;="&amp;AB25)</f>
        <v>35</v>
      </c>
      <c r="S18" s="40">
        <f>COUNTIF(总表!J785:J840,"&gt;="&amp;AB26)</f>
        <v>56</v>
      </c>
    </row>
    <row r="19" spans="1:28" ht="13.5" customHeight="1">
      <c r="A19" s="37">
        <v>1816</v>
      </c>
      <c r="B19" s="39">
        <v>56</v>
      </c>
      <c r="C19" s="77">
        <v>35</v>
      </c>
      <c r="D19" s="77">
        <v>56</v>
      </c>
      <c r="E19" s="40">
        <f>COUNTIF(总表!K841:K896,"&gt;="&amp;V25)</f>
        <v>32</v>
      </c>
      <c r="F19" s="40">
        <f>COUNTIF(总表!K841:K896,"&gt;="&amp;V26)</f>
        <v>56</v>
      </c>
      <c r="G19" s="79">
        <f t="shared" si="0"/>
        <v>-3</v>
      </c>
      <c r="H19" s="40">
        <f>COUNTIF(总表!E841:E896,"&gt;="&amp;W25)</f>
        <v>31</v>
      </c>
      <c r="I19" s="40">
        <f>COUNTIF(总表!E841:E896,"&gt;="&amp;W26)</f>
        <v>56</v>
      </c>
      <c r="J19" s="40">
        <f>COUNTIF(总表!F841:F896,"&gt;="&amp;X25)</f>
        <v>34</v>
      </c>
      <c r="K19" s="40">
        <f>COUNTIF(总表!F841:F896,"&gt;="&amp;X26)</f>
        <v>56</v>
      </c>
      <c r="L19" s="40">
        <f>COUNTIF(总表!G841:G896,"&gt;="&amp;Y25)</f>
        <v>37</v>
      </c>
      <c r="M19" s="40">
        <f>COUNTIF(总表!G841:G896,"&gt;="&amp;Y26)</f>
        <v>56</v>
      </c>
      <c r="N19" s="40">
        <f>COUNTIF(总表!H841:H896,"&gt;="&amp;Z25)</f>
        <v>38</v>
      </c>
      <c r="O19" s="40">
        <f>COUNTIF(总表!H841:H896,"&gt;="&amp;Z26)</f>
        <v>56</v>
      </c>
      <c r="P19" s="40">
        <f>COUNTIF(总表!I841:I896,"&gt;="&amp;AA25)</f>
        <v>37</v>
      </c>
      <c r="Q19" s="40">
        <f>COUNTIF(总表!I841:I896,"&gt;="&amp;AA26)</f>
        <v>56</v>
      </c>
      <c r="R19" s="40">
        <f>COUNTIF(总表!J841:J896,"&gt;="&amp;AB25)</f>
        <v>28</v>
      </c>
      <c r="S19" s="40">
        <f>COUNTIF(总表!J841:J896,"&gt;="&amp;AB26)</f>
        <v>56</v>
      </c>
    </row>
    <row r="20" spans="1:28" ht="14.25" customHeight="1">
      <c r="A20" s="37">
        <v>1817</v>
      </c>
      <c r="B20" s="39">
        <v>57</v>
      </c>
      <c r="C20" s="77">
        <v>34</v>
      </c>
      <c r="D20" s="77">
        <v>57</v>
      </c>
      <c r="E20" s="40">
        <f>COUNTIF(总表!K897:K953,"&gt;="&amp;V25)</f>
        <v>31</v>
      </c>
      <c r="F20" s="40">
        <f>COUNTIF(总表!K897:K953,"&gt;="&amp;V26)</f>
        <v>57</v>
      </c>
      <c r="G20" s="79">
        <f t="shared" si="0"/>
        <v>-3</v>
      </c>
      <c r="H20" s="40">
        <f>COUNTIF(总表!E897:E953,"&gt;="&amp;W25)</f>
        <v>40</v>
      </c>
      <c r="I20" s="40">
        <f>COUNTIF(总表!E897:E953,"&gt;="&amp;W26)</f>
        <v>57</v>
      </c>
      <c r="J20" s="40">
        <f>COUNTIF(总表!F897:F953,"&gt;="&amp;X25)</f>
        <v>29</v>
      </c>
      <c r="K20" s="40">
        <f>COUNTIF(总表!F897:F953,"&gt;="&amp;X26)</f>
        <v>57</v>
      </c>
      <c r="L20" s="40">
        <f>COUNTIF(总表!G897:G953,"&gt;="&amp;Y25)</f>
        <v>35</v>
      </c>
      <c r="M20" s="40">
        <f>COUNTIF(总表!G897:G953,"&gt;="&amp;Y26)</f>
        <v>57</v>
      </c>
      <c r="N20" s="40">
        <f>COUNTIF(总表!H897:H953,"&gt;="&amp;Z25)</f>
        <v>38</v>
      </c>
      <c r="O20" s="40">
        <f>COUNTIF(总表!H897:H953,"&gt;="&amp;Z26)</f>
        <v>57</v>
      </c>
      <c r="P20" s="40">
        <f>COUNTIF(总表!I897:I953,"&gt;="&amp;AA25)</f>
        <v>34</v>
      </c>
      <c r="Q20" s="40">
        <f>COUNTIF(总表!I897:I953,"&gt;="&amp;AA26)</f>
        <v>57</v>
      </c>
      <c r="R20" s="40">
        <f>COUNTIF(总表!J897:J953,"&gt;="&amp;AB25)</f>
        <v>33</v>
      </c>
      <c r="S20" s="40">
        <f>COUNTIF(总表!J897:J953,"&gt;="&amp;AB26)</f>
        <v>57</v>
      </c>
    </row>
    <row r="21" spans="1:28" ht="14.25" customHeight="1">
      <c r="A21" s="37" t="s">
        <v>50</v>
      </c>
      <c r="B21" s="39">
        <f>SUM(B4:B20)</f>
        <v>951</v>
      </c>
      <c r="C21" s="80">
        <f>SUM(C4:C20)</f>
        <v>628</v>
      </c>
      <c r="D21" s="80">
        <f>SUM(D4:D20)</f>
        <v>951</v>
      </c>
      <c r="E21" s="41">
        <f t="shared" ref="E21:S21" si="1">SUM(E4:E20)</f>
        <v>630</v>
      </c>
      <c r="F21" s="41">
        <f t="shared" si="1"/>
        <v>951</v>
      </c>
      <c r="G21" s="79">
        <f t="shared" si="0"/>
        <v>2</v>
      </c>
      <c r="H21" s="41">
        <f t="shared" si="1"/>
        <v>654</v>
      </c>
      <c r="I21" s="41">
        <f t="shared" si="1"/>
        <v>951</v>
      </c>
      <c r="J21" s="41">
        <f t="shared" si="1"/>
        <v>643</v>
      </c>
      <c r="K21" s="41">
        <f t="shared" si="1"/>
        <v>951</v>
      </c>
      <c r="L21" s="41">
        <f t="shared" si="1"/>
        <v>629</v>
      </c>
      <c r="M21" s="41">
        <f t="shared" si="1"/>
        <v>951</v>
      </c>
      <c r="N21" s="41">
        <f t="shared" si="1"/>
        <v>646</v>
      </c>
      <c r="O21" s="41">
        <f t="shared" si="1"/>
        <v>951</v>
      </c>
      <c r="P21" s="42">
        <f t="shared" si="1"/>
        <v>641</v>
      </c>
      <c r="Q21" s="42">
        <f t="shared" si="1"/>
        <v>951</v>
      </c>
      <c r="R21" s="41">
        <f t="shared" si="1"/>
        <v>656</v>
      </c>
      <c r="S21" s="41">
        <f t="shared" si="1"/>
        <v>951</v>
      </c>
    </row>
    <row r="22" spans="1:28" ht="9" customHeight="1">
      <c r="E22" s="43"/>
      <c r="F22" s="43"/>
      <c r="G22" s="81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spans="1:28">
      <c r="A23" s="115" t="s">
        <v>52</v>
      </c>
      <c r="B23" s="116"/>
      <c r="C23" s="116"/>
      <c r="D23" s="116"/>
      <c r="E23" s="112" t="s">
        <v>57</v>
      </c>
      <c r="F23" s="113"/>
      <c r="G23" s="110" t="s">
        <v>3439</v>
      </c>
      <c r="H23" s="112" t="s">
        <v>22</v>
      </c>
      <c r="I23" s="113"/>
      <c r="J23" s="112" t="s">
        <v>23</v>
      </c>
      <c r="K23" s="113"/>
      <c r="L23" s="112" t="s">
        <v>24</v>
      </c>
      <c r="M23" s="113"/>
      <c r="N23" s="112" t="s">
        <v>58</v>
      </c>
      <c r="O23" s="113"/>
      <c r="P23" s="112" t="s">
        <v>59</v>
      </c>
      <c r="Q23" s="113"/>
      <c r="R23" s="114" t="s">
        <v>60</v>
      </c>
      <c r="S23" s="114"/>
    </row>
    <row r="24" spans="1:28" ht="28.5" customHeight="1">
      <c r="A24" s="37" t="s">
        <v>13</v>
      </c>
      <c r="B24" s="37" t="s">
        <v>54</v>
      </c>
      <c r="C24" s="38" t="s">
        <v>55</v>
      </c>
      <c r="D24" s="38" t="s">
        <v>56</v>
      </c>
      <c r="E24" s="73" t="s">
        <v>3425</v>
      </c>
      <c r="F24" s="73" t="s">
        <v>3426</v>
      </c>
      <c r="G24" s="111"/>
      <c r="H24" s="73" t="s">
        <v>3427</v>
      </c>
      <c r="I24" s="73" t="s">
        <v>3428</v>
      </c>
      <c r="J24" s="73" t="s">
        <v>3429</v>
      </c>
      <c r="K24" s="73" t="s">
        <v>3430</v>
      </c>
      <c r="L24" s="73" t="s">
        <v>3431</v>
      </c>
      <c r="M24" s="73" t="s">
        <v>3432</v>
      </c>
      <c r="N24" s="73" t="s">
        <v>3433</v>
      </c>
      <c r="O24" s="73" t="s">
        <v>3434</v>
      </c>
      <c r="P24" s="73" t="s">
        <v>3435</v>
      </c>
      <c r="Q24" s="73" t="s">
        <v>3436</v>
      </c>
      <c r="R24" s="73" t="s">
        <v>3437</v>
      </c>
      <c r="S24" s="73" t="s">
        <v>3438</v>
      </c>
      <c r="U24" s="36" t="s">
        <v>61</v>
      </c>
      <c r="V24" s="36" t="s">
        <v>0</v>
      </c>
      <c r="W24" s="36" t="s">
        <v>22</v>
      </c>
      <c r="X24" s="36" t="s">
        <v>23</v>
      </c>
      <c r="Y24" s="36" t="s">
        <v>24</v>
      </c>
      <c r="Z24" s="36" t="s">
        <v>32</v>
      </c>
      <c r="AA24" s="36" t="s">
        <v>25</v>
      </c>
      <c r="AB24" s="36" t="s">
        <v>29</v>
      </c>
    </row>
    <row r="25" spans="1:28" ht="14.25" customHeight="1">
      <c r="A25" s="37">
        <v>1818</v>
      </c>
      <c r="B25" s="39">
        <v>52</v>
      </c>
      <c r="C25" s="75">
        <v>52</v>
      </c>
      <c r="D25" s="77">
        <v>52</v>
      </c>
      <c r="E25" s="40">
        <f>COUNTIF(总表!K954:K1005,"&gt;="&amp;V29)</f>
        <v>46</v>
      </c>
      <c r="F25" s="40">
        <f>COUNTIF(总表!K954:K1005,"&gt;="&amp;V30)</f>
        <v>52</v>
      </c>
      <c r="G25" s="79">
        <f>E25-C25</f>
        <v>-6</v>
      </c>
      <c r="H25" s="40">
        <f>COUNTIF(总表!E954:E1005,"&gt;="&amp;W29)</f>
        <v>41</v>
      </c>
      <c r="I25" s="40">
        <f>COUNTIF(总表!E954:E1005,"&gt;="&amp;W30)</f>
        <v>52</v>
      </c>
      <c r="J25" s="40">
        <f>COUNTIF(总表!F954:F1005,"&gt;="&amp;X29)</f>
        <v>44</v>
      </c>
      <c r="K25" s="40">
        <f>COUNTIF(总表!F954:F1005,"&gt;="&amp;X30)</f>
        <v>52</v>
      </c>
      <c r="L25" s="40">
        <f>COUNTIF(总表!G954:G1005,"&gt;="&amp;Y29)</f>
        <v>43</v>
      </c>
      <c r="M25" s="40">
        <f>COUNTIF(总表!G954:G1005,"&gt;="&amp;Y30)</f>
        <v>52</v>
      </c>
      <c r="N25" s="40">
        <f>COUNTIF(总表!H954:H1005,"&gt;="&amp;Z29)</f>
        <v>40</v>
      </c>
      <c r="O25" s="40">
        <f>COUNTIF(总表!H954:H1005,"&gt;="&amp;Z30)</f>
        <v>52</v>
      </c>
      <c r="P25" s="40">
        <f>COUNTIF(总表!I954:I1005,"&gt;="&amp;AA29)</f>
        <v>43</v>
      </c>
      <c r="Q25" s="40">
        <f>COUNTIF(总表!I954:I1005,"&gt;="&amp;AA30)</f>
        <v>52</v>
      </c>
      <c r="R25" s="40">
        <f>COUNTIF(总表!J954:J1005,"&gt;="&amp;AB29)</f>
        <v>46</v>
      </c>
      <c r="S25" s="40">
        <f>COUNTIF(总表!J954:J1005,"&gt;="&amp;AB30)</f>
        <v>52</v>
      </c>
      <c r="U25" s="36" t="s">
        <v>55</v>
      </c>
      <c r="V25" s="36">
        <v>501.5</v>
      </c>
      <c r="W25" s="36">
        <v>103</v>
      </c>
      <c r="X25" s="36">
        <v>86</v>
      </c>
      <c r="Y25" s="36">
        <v>103.5</v>
      </c>
      <c r="Z25" s="36">
        <v>61</v>
      </c>
      <c r="AA25" s="36">
        <v>77</v>
      </c>
      <c r="AB25" s="36">
        <v>63</v>
      </c>
    </row>
    <row r="26" spans="1:28" ht="14.25" customHeight="1">
      <c r="A26" s="37">
        <v>1819</v>
      </c>
      <c r="B26" s="39">
        <v>34</v>
      </c>
      <c r="C26" s="76">
        <v>10</v>
      </c>
      <c r="D26" s="77">
        <v>34</v>
      </c>
      <c r="E26" s="40">
        <f>COUNTIF(总表!K1006:K1039,"&gt;="&amp;V29)</f>
        <v>15</v>
      </c>
      <c r="F26" s="40">
        <f>COUNTIF(总表!K1006:K1039,"&gt;="&amp;V30)</f>
        <v>34</v>
      </c>
      <c r="G26" s="79">
        <f>E26-C26</f>
        <v>5</v>
      </c>
      <c r="H26" s="40">
        <f>COUNTIF(总表!E1006:E1039,"&gt;="&amp;W29)</f>
        <v>15</v>
      </c>
      <c r="I26" s="40">
        <f>COUNTIF(总表!E1006:E1039,"&gt;="&amp;W30)</f>
        <v>34</v>
      </c>
      <c r="J26" s="40">
        <f>COUNTIF(总表!F1006:F1039,"&gt;="&amp;X29)</f>
        <v>14</v>
      </c>
      <c r="K26" s="40">
        <f>COUNTIF(总表!F1006:F1039,"&gt;="&amp;X30)</f>
        <v>34</v>
      </c>
      <c r="L26" s="40">
        <f>COUNTIF(总表!G1006:G1039,"&gt;="&amp;Y29)</f>
        <v>11</v>
      </c>
      <c r="M26" s="40">
        <f>COUNTIF(总表!G1006:G1039,"&gt;="&amp;Y30)</f>
        <v>34</v>
      </c>
      <c r="N26" s="40">
        <f>COUNTIF(总表!H1006:H1039,"&gt;="&amp;Z29)</f>
        <v>17</v>
      </c>
      <c r="O26" s="40">
        <f>COUNTIF(总表!H1006:H1039,"&gt;="&amp;Z30)</f>
        <v>34</v>
      </c>
      <c r="P26" s="40">
        <f>COUNTIF(总表!I1006:I1039,"&gt;="&amp;AA29)</f>
        <v>17</v>
      </c>
      <c r="Q26" s="40">
        <f>COUNTIF(总表!I1006:I1039,"&gt;="&amp;AA30)</f>
        <v>34</v>
      </c>
      <c r="R26" s="40">
        <f>COUNTIF(总表!J1006:J1039,"&gt;="&amp;AB29)</f>
        <v>15</v>
      </c>
      <c r="S26" s="40">
        <f>COUNTIF(总表!J1006:J1039,"&gt;="&amp;AB30)</f>
        <v>34</v>
      </c>
      <c r="U26" s="36" t="s">
        <v>56</v>
      </c>
      <c r="V26" s="36">
        <v>227</v>
      </c>
      <c r="W26" s="36">
        <v>59</v>
      </c>
      <c r="X26" s="36">
        <v>15</v>
      </c>
      <c r="Y26" s="36">
        <v>35</v>
      </c>
      <c r="Z26" s="36">
        <v>11</v>
      </c>
      <c r="AA26" s="36">
        <v>21</v>
      </c>
      <c r="AB26" s="36">
        <v>25</v>
      </c>
    </row>
    <row r="27" spans="1:28" ht="14.25" customHeight="1">
      <c r="A27" s="37">
        <v>1820</v>
      </c>
      <c r="B27" s="39">
        <v>35</v>
      </c>
      <c r="C27" s="76">
        <v>11</v>
      </c>
      <c r="D27" s="77">
        <v>35</v>
      </c>
      <c r="E27" s="40">
        <f>COUNTIF(总表!K1040:K1073,"&gt;="&amp;V29)</f>
        <v>12</v>
      </c>
      <c r="F27" s="40">
        <f>COUNTIF(总表!K1040:K1073,"&gt;="&amp;V30)</f>
        <v>34</v>
      </c>
      <c r="G27" s="79">
        <f>E27-C27</f>
        <v>1</v>
      </c>
      <c r="H27" s="40">
        <f>COUNTIF(总表!E1040:E1073,"&gt;="&amp;W29)</f>
        <v>17</v>
      </c>
      <c r="I27" s="40">
        <f>COUNTIF(总表!E1040:E1073,"&gt;="&amp;W30)</f>
        <v>34</v>
      </c>
      <c r="J27" s="40">
        <f>COUNTIF(总表!F1040:F1073,"&gt;="&amp;X29)</f>
        <v>15</v>
      </c>
      <c r="K27" s="40">
        <f>COUNTIF(总表!F1040:F1073,"&gt;="&amp;X30)</f>
        <v>34</v>
      </c>
      <c r="L27" s="40">
        <f>COUNTIF(总表!G1040:G1073,"&gt;="&amp;Y29)</f>
        <v>19</v>
      </c>
      <c r="M27" s="40">
        <f>COUNTIF(总表!G1040:G1073,"&gt;="&amp;Y30)</f>
        <v>34</v>
      </c>
      <c r="N27" s="40">
        <f>COUNTIF(总表!H1040:H1073,"&gt;="&amp;Z29)</f>
        <v>19</v>
      </c>
      <c r="O27" s="40">
        <f>COUNTIF(总表!H1040:H1073,"&gt;="&amp;Z30)</f>
        <v>34</v>
      </c>
      <c r="P27" s="40">
        <f>COUNTIF(总表!I1040:I1073,"&gt;="&amp;AA29)</f>
        <v>16</v>
      </c>
      <c r="Q27" s="40">
        <f>COUNTIF(总表!I1040:I1073,"&gt;="&amp;AA30)</f>
        <v>34</v>
      </c>
      <c r="R27" s="40">
        <f>COUNTIF(总表!J1040:J1073,"&gt;="&amp;AB29)</f>
        <v>12</v>
      </c>
      <c r="S27" s="40">
        <f>COUNTIF(总表!J1040:J1073,"&gt;="&amp;AB30)</f>
        <v>34</v>
      </c>
    </row>
    <row r="28" spans="1:28" ht="14.25" customHeight="1">
      <c r="A28" s="44" t="s">
        <v>51</v>
      </c>
      <c r="B28" s="39">
        <f>SUM(B25:B27)</f>
        <v>121</v>
      </c>
      <c r="C28" s="80">
        <f>SUM(C25:C27)</f>
        <v>73</v>
      </c>
      <c r="D28" s="80">
        <f>SUM(D25:D27)</f>
        <v>121</v>
      </c>
      <c r="E28" s="36">
        <f t="shared" ref="E28:S28" si="2">SUM(E25:E27)</f>
        <v>73</v>
      </c>
      <c r="F28" s="36">
        <f t="shared" si="2"/>
        <v>120</v>
      </c>
      <c r="G28" s="79">
        <f>E28-C28</f>
        <v>0</v>
      </c>
      <c r="H28" s="36">
        <f t="shared" si="2"/>
        <v>73</v>
      </c>
      <c r="I28" s="36">
        <f t="shared" si="2"/>
        <v>120</v>
      </c>
      <c r="J28" s="36">
        <f t="shared" si="2"/>
        <v>73</v>
      </c>
      <c r="K28" s="36">
        <f t="shared" si="2"/>
        <v>120</v>
      </c>
      <c r="L28" s="36">
        <f t="shared" si="2"/>
        <v>73</v>
      </c>
      <c r="M28" s="36">
        <f t="shared" si="2"/>
        <v>120</v>
      </c>
      <c r="N28" s="36">
        <f t="shared" si="2"/>
        <v>76</v>
      </c>
      <c r="O28" s="36">
        <f t="shared" si="2"/>
        <v>120</v>
      </c>
      <c r="P28" s="36">
        <f t="shared" si="2"/>
        <v>76</v>
      </c>
      <c r="Q28" s="36">
        <f t="shared" si="2"/>
        <v>120</v>
      </c>
      <c r="R28" s="36">
        <f t="shared" si="2"/>
        <v>73</v>
      </c>
      <c r="S28" s="36">
        <f t="shared" si="2"/>
        <v>120</v>
      </c>
      <c r="U28" s="36" t="s">
        <v>62</v>
      </c>
      <c r="V28" s="36" t="s">
        <v>0</v>
      </c>
      <c r="W28" s="36" t="s">
        <v>22</v>
      </c>
      <c r="X28" s="36" t="s">
        <v>23</v>
      </c>
      <c r="Y28" s="36" t="s">
        <v>24</v>
      </c>
      <c r="Z28" s="36" t="s">
        <v>58</v>
      </c>
      <c r="AA28" s="36" t="s">
        <v>59</v>
      </c>
      <c r="AB28" s="36" t="s">
        <v>60</v>
      </c>
    </row>
    <row r="29" spans="1:28" ht="16.5" customHeight="1">
      <c r="A29" s="44" t="s">
        <v>63</v>
      </c>
      <c r="B29" s="37">
        <f t="shared" ref="B29:S29" si="3">SUM(B21,B28)</f>
        <v>1072</v>
      </c>
      <c r="C29" s="77">
        <f t="shared" si="3"/>
        <v>701</v>
      </c>
      <c r="D29" s="77">
        <f t="shared" si="3"/>
        <v>1072</v>
      </c>
      <c r="E29" s="37">
        <f t="shared" si="3"/>
        <v>703</v>
      </c>
      <c r="F29" s="37">
        <f t="shared" si="3"/>
        <v>1071</v>
      </c>
      <c r="G29" s="77">
        <f t="shared" si="3"/>
        <v>2</v>
      </c>
      <c r="H29" s="37">
        <f t="shared" si="3"/>
        <v>727</v>
      </c>
      <c r="I29" s="37">
        <f t="shared" si="3"/>
        <v>1071</v>
      </c>
      <c r="J29" s="37">
        <f t="shared" si="3"/>
        <v>716</v>
      </c>
      <c r="K29" s="37">
        <f t="shared" si="3"/>
        <v>1071</v>
      </c>
      <c r="L29" s="37">
        <f t="shared" si="3"/>
        <v>702</v>
      </c>
      <c r="M29" s="37">
        <f t="shared" si="3"/>
        <v>1071</v>
      </c>
      <c r="N29" s="37">
        <f t="shared" si="3"/>
        <v>722</v>
      </c>
      <c r="O29" s="37">
        <f t="shared" si="3"/>
        <v>1071</v>
      </c>
      <c r="P29" s="37">
        <f t="shared" si="3"/>
        <v>717</v>
      </c>
      <c r="Q29" s="37">
        <f t="shared" si="3"/>
        <v>1071</v>
      </c>
      <c r="R29" s="37">
        <f t="shared" si="3"/>
        <v>729</v>
      </c>
      <c r="S29" s="37">
        <f t="shared" si="3"/>
        <v>1071</v>
      </c>
      <c r="U29" s="36" t="s">
        <v>55</v>
      </c>
      <c r="V29" s="36">
        <v>484.5</v>
      </c>
      <c r="W29" s="36">
        <v>110</v>
      </c>
      <c r="X29" s="36">
        <v>69</v>
      </c>
      <c r="Y29" s="36">
        <v>108.5</v>
      </c>
      <c r="Z29" s="36">
        <v>75</v>
      </c>
      <c r="AA29" s="36">
        <v>72</v>
      </c>
      <c r="AB29" s="36">
        <v>52</v>
      </c>
    </row>
    <row r="30" spans="1:28" ht="16.5" customHeight="1">
      <c r="U30" s="37" t="s">
        <v>64</v>
      </c>
      <c r="V30" s="37">
        <v>399.5</v>
      </c>
      <c r="W30" s="37">
        <v>78</v>
      </c>
      <c r="X30" s="37">
        <v>31</v>
      </c>
      <c r="Y30" s="37">
        <v>69.5</v>
      </c>
      <c r="Z30" s="37">
        <v>50</v>
      </c>
      <c r="AA30" s="37">
        <v>51</v>
      </c>
      <c r="AB30" s="37">
        <v>33</v>
      </c>
    </row>
    <row r="31" spans="1:28" ht="16.5" customHeight="1"/>
  </sheetData>
  <mergeCells count="19">
    <mergeCell ref="A1:S1"/>
    <mergeCell ref="A2:D2"/>
    <mergeCell ref="E2:F2"/>
    <mergeCell ref="H2:I2"/>
    <mergeCell ref="J2:K2"/>
    <mergeCell ref="L2:M2"/>
    <mergeCell ref="N2:O2"/>
    <mergeCell ref="P2:Q2"/>
    <mergeCell ref="R2:S2"/>
    <mergeCell ref="G2:G3"/>
    <mergeCell ref="G23:G24"/>
    <mergeCell ref="P23:Q23"/>
    <mergeCell ref="R23:S23"/>
    <mergeCell ref="A23:D23"/>
    <mergeCell ref="E23:F23"/>
    <mergeCell ref="H23:I23"/>
    <mergeCell ref="J23:K23"/>
    <mergeCell ref="L23:M23"/>
    <mergeCell ref="N23:O23"/>
  </mergeCells>
  <phoneticPr fontId="84" type="noConversion"/>
  <pageMargins left="0.15748031496062992" right="0.15748031496062992" top="0.19685039370078741" bottom="0.19685039370078741" header="0.51181102362204722" footer="0.5118110236220472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光荣榜</vt:lpstr>
      <vt:lpstr>机改成绩</vt:lpstr>
      <vt:lpstr>理科</vt:lpstr>
      <vt:lpstr>文科</vt:lpstr>
      <vt:lpstr>总表</vt:lpstr>
      <vt:lpstr>统计表</vt:lpstr>
      <vt:lpstr>贡献值</vt:lpstr>
      <vt:lpstr>贡献值!Print_Area</vt:lpstr>
    </vt:vector>
  </TitlesOfParts>
  <Company>Microsoft Corpation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T A</cp:lastModifiedBy>
  <cp:lastPrinted>2018-07-17T08:17:14Z</cp:lastPrinted>
  <dcterms:created xsi:type="dcterms:W3CDTF">2004-04-27T13:11:49Z</dcterms:created>
  <dcterms:modified xsi:type="dcterms:W3CDTF">2019-06-07T14:35:51Z</dcterms:modified>
</cp:coreProperties>
</file>